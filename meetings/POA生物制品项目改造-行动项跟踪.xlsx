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行动项总账" sheetId="2" state="visible" r:id="rId2"/>
    <sheet xmlns:r="http://schemas.openxmlformats.org/officeDocument/2006/relationships" name="20260921" sheetId="3" state="visible" r:id="rId3"/>
    <sheet xmlns:r="http://schemas.openxmlformats.org/officeDocument/2006/relationships" name="使用说明" sheetId="4" state="visible" r:id="rId4"/>
  </sheets>
  <definedNames>
    <definedName name="MilestoneHandover">'总览'!$C$11</definedName>
    <definedName name="MilestoneStart">'总览'!$C$8</definedName>
    <definedName name="_xlnm._FilterDatabase" localSheetId="1" hidden="1">'行动项总账'!$A$4:$N$38</definedName>
    <definedName name="_xlnm.Print_Titles" localSheetId="1">'行动项总账'!$1:$4</definedName>
    <definedName name="_xlnm._FilterDatabase" localSheetId="2" hidden="1">'20260921'!$A$3:$G$22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D4E6F1"/>
      <sz val="10"/>
    </font>
    <font>
      <name val="Arial"/>
      <b val="1"/>
      <color rgb="001B4F72"/>
      <sz val="10"/>
    </font>
    <font>
      <name val="Arial"/>
      <b val="1"/>
      <color rgb="001C2833"/>
      <sz val="10"/>
    </font>
    <font>
      <name val="Arial"/>
      <b val="1"/>
      <color rgb="001A5276"/>
      <sz val="11"/>
    </font>
    <font>
      <name val="Arial"/>
      <i val="1"/>
      <color rgb="005D6D7E"/>
      <sz val="8"/>
    </font>
    <font>
      <name val="Arial"/>
      <b val="1"/>
      <color rgb="00FDEBD0"/>
      <sz val="9"/>
    </font>
    <font>
      <name val="Arial"/>
      <b val="1"/>
      <color rgb="00FFFFFF"/>
      <sz val="22"/>
    </font>
    <font>
      <name val="Arial"/>
      <b val="1"/>
      <color rgb="00FFFFFF"/>
      <sz val="9"/>
    </font>
    <font>
      <name val="Arial"/>
      <color rgb="001C2833"/>
      <sz val="10"/>
    </font>
  </fonts>
  <fills count="1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C9A227"/>
      </patternFill>
    </fill>
    <fill>
      <patternFill patternType="solid">
        <fgColor rgb="00EBF5FB"/>
      </patternFill>
    </fill>
    <fill>
      <patternFill patternType="solid">
        <fgColor rgb="00FFF3CD"/>
      </patternFill>
    </fill>
    <fill>
      <patternFill patternType="solid">
        <fgColor rgb="00922B21"/>
      </patternFill>
    </fill>
    <fill>
      <patternFill patternType="solid">
        <fgColor rgb="00B9770E"/>
      </patternFill>
    </fill>
    <fill>
      <patternFill patternType="solid">
        <fgColor rgb="007B241C"/>
      </patternFill>
    </fill>
    <fill>
      <patternFill patternType="solid">
        <fgColor rgb="00F4F8FB"/>
      </patternFill>
    </fill>
    <fill>
      <patternFill patternType="solid">
        <fgColor rgb="00FFFFFF"/>
      </patternFill>
    </fill>
    <fill>
      <patternFill patternType="solid">
        <fgColor rgb="00FBF8F1"/>
      </patternFill>
    </fill>
    <fill>
      <patternFill patternType="solid">
        <fgColor rgb="00D6EAF8"/>
      </patternFill>
    </fill>
    <fill>
      <patternFill patternType="solid">
        <fgColor rgb="00FADBD8"/>
      </patternFill>
    </fill>
  </fills>
  <borders count="4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/>
    <border>
      <left style="thin">
        <color rgb="00D5D8DC"/>
      </left>
      <right style="thin">
        <color rgb="00D5D8DC"/>
      </right>
      <top style="thin">
        <color rgb="00D5D8DC"/>
      </top>
      <bottom style="medium">
        <color rgb="001B4F72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2" pivotButton="0" quotePrefix="0" xfId="0"/>
    <xf numFmtId="0" fontId="2" fillId="3" borderId="1" applyAlignment="1" pivotButton="0" quotePrefix="0" xfId="0">
      <alignment vertical="center" wrapText="1"/>
    </xf>
    <xf numFmtId="0" fontId="0" fillId="3" borderId="2" pivotButton="0" quotePrefix="0" xfId="0"/>
    <xf numFmtId="0" fontId="3" fillId="4" borderId="2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vertical="top" wrapText="1"/>
    </xf>
    <xf numFmtId="0" fontId="0" fillId="5" borderId="2" pivotButton="0" quotePrefix="0" xfId="0"/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2" fillId="3" borderId="2" applyAlignment="1" pivotButton="0" quotePrefix="0" xfId="0">
      <alignment vertical="center"/>
    </xf>
    <xf numFmtId="0" fontId="9" fillId="2" borderId="3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5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165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5" fontId="10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165" fontId="10" fillId="11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vertical="center"/>
    </xf>
    <xf numFmtId="165" fontId="10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5" fontId="10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1">
    <dxf>
      <font>
        <name val="Arial"/>
        <b val="1"/>
        <color rgb="001C2833"/>
        <sz val="10"/>
      </font>
      <fill>
        <patternFill patternType="solid">
          <fgColor rgb="00D5D8DC"/>
        </patternFill>
      </fill>
    </dxf>
    <dxf>
      <font>
        <name val="Arial"/>
        <b val="1"/>
        <color rgb="001C2833"/>
        <sz val="10"/>
      </font>
      <fill>
        <patternFill patternType="solid">
          <fgColor rgb="00AED6F1"/>
        </patternFill>
      </fill>
    </dxf>
    <dxf>
      <font>
        <name val="Arial"/>
        <b val="1"/>
        <color rgb="001C2833"/>
        <sz val="10"/>
      </font>
      <fill>
        <patternFill patternType="solid">
          <fgColor rgb="00F5B7B1"/>
        </patternFill>
      </fill>
    </dxf>
    <dxf>
      <font>
        <name val="Arial"/>
        <b val="1"/>
        <color rgb="001C2833"/>
        <sz val="10"/>
      </font>
      <fill>
        <patternFill patternType="solid">
          <fgColor rgb="00ABEBC6"/>
        </patternFill>
      </fill>
    </dxf>
    <dxf>
      <font>
        <name val="Arial"/>
        <b val="1"/>
        <color rgb="001C2833"/>
        <sz val="10"/>
      </font>
      <fill>
        <patternFill patternType="solid">
          <fgColor rgb="00E5E8E8"/>
        </patternFill>
      </fill>
    </dxf>
    <dxf>
      <font>
        <name val="Arial"/>
        <b val="1"/>
        <color rgb="001C2833"/>
        <sz val="10"/>
      </font>
      <fill>
        <patternFill patternType="solid">
          <fgColor rgb="00F5B041"/>
        </patternFill>
      </fill>
    </dxf>
    <dxf>
      <font>
        <name val="Arial"/>
        <b val="1"/>
        <color rgb="001C2833"/>
        <sz val="10"/>
      </font>
      <fill>
        <patternFill patternType="solid">
          <fgColor rgb="00F9E79F"/>
        </patternFill>
      </fill>
    </dxf>
    <dxf>
      <font>
        <name val="Arial"/>
        <b val="1"/>
        <color rgb="001C2833"/>
        <sz val="10"/>
      </font>
      <fill>
        <patternFill patternType="solid">
          <fgColor rgb="00D5DBDB"/>
        </patternFill>
      </fill>
    </dxf>
    <dxf>
      <font>
        <name val="Arial"/>
        <b val="1"/>
        <color rgb="001C2833"/>
        <sz val="10"/>
      </font>
      <fill>
        <patternFill patternType="solid">
          <fgColor rgb="00FAD7A0"/>
        </patternFill>
      </fill>
    </dxf>
    <dxf>
      <font>
        <name val="Arial"/>
        <b val="1"/>
        <color rgb="001C2833"/>
        <sz val="10"/>
      </font>
      <fill>
        <patternFill patternType="solid">
          <fgColor rgb="00D5F5E3"/>
        </patternFill>
      </fill>
    </dxf>
    <dxf>
      <font>
        <name val="Arial"/>
        <b val="1"/>
        <color rgb="001C2833"/>
        <sz val="10"/>
      </font>
      <fill>
        <patternFill patternType="solid">
          <fgColor rgb="00F4F6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纪要</author>
  </authors>
  <commentList>
    <comment ref="C11" authorId="0" shapeId="0">
      <text>
        <t>Hard gate from 21 Sep 2026 meeting. Do not treat other dates as equally firm.</t>
      </text>
    </comment>
  </commentList>
</comments>
</file>

<file path=xl/comments/comment2.xml><?xml version="1.0" encoding="utf-8"?>
<comments xmlns="http://schemas.openxmlformats.org/spreadsheetml/2006/main">
  <authors>
    <author>纪要</author>
  </authors>
  <commentList>
    <comment ref="E5" authorId="0" shapeId="0">
      <text>
        <t>人员以张俊峰会前消息为准。</t>
      </text>
    </comment>
    <comment ref="E12" authorId="0" shapeId="0">
      <text>
        <t>会前消息未点名汉邦，保留转写。</t>
      </text>
    </comment>
    <comment ref="E15" authorId="0" shapeId="0">
      <text>
        <t>项目号 139788。</t>
      </text>
    </comment>
    <comment ref="E16" authorId="0" shapeId="0">
      <text>
        <t>配合人：田子才。</t>
      </text>
    </comment>
    <comment ref="E17" authorId="0" shapeId="0">
      <text>
        <t>三合一 = AFD。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B2:I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2" ht="24" customHeight="1">
      <c r="B2" s="1" t="inlineStr">
        <is>
          <t>POA 生物制品项目改造 · 行动项跟踪</t>
        </is>
      </c>
      <c r="C2" s="2" t="n"/>
      <c r="D2" s="2" t="n"/>
      <c r="E2" s="2" t="n"/>
      <c r="F2" s="2" t="n"/>
      <c r="G2" s="2" t="n"/>
      <c r="H2" s="2" t="n"/>
      <c r="I2" s="2" t="n"/>
    </row>
    <row r="3" ht="18" customHeight="1">
      <c r="C3" s="2" t="n"/>
      <c r="D3" s="2" t="n"/>
      <c r="E3" s="2" t="n"/>
      <c r="F3" s="2" t="n"/>
      <c r="G3" s="2" t="n"/>
      <c r="H3" s="2" t="n"/>
      <c r="I3" s="2" t="n"/>
    </row>
    <row r="4" ht="32" customHeight="1">
      <c r="B4" s="3" t="inlineStr">
        <is>
          <t>持续总账，不再按会议日期新开主表。模板列习惯保留：提出方 / 内容 / 进展 / 完成 / 负责人。黄色格子为里程碑输入，改这里，下面卡片用公式重算。</t>
        </is>
      </c>
      <c r="C4" s="4" t="n"/>
      <c r="D4" s="4" t="n"/>
      <c r="E4" s="4" t="n"/>
      <c r="F4" s="4" t="n"/>
      <c r="G4" s="4" t="n"/>
      <c r="H4" s="4" t="n"/>
      <c r="I4" s="4" t="n"/>
    </row>
    <row r="6">
      <c r="B6" s="5" t="inlineStr">
        <is>
          <t>里程碑（方案一，会上：领导要求）</t>
        </is>
      </c>
    </row>
    <row r="7">
      <c r="B7" s="6" t="inlineStr">
        <is>
          <t>Demo 期</t>
        </is>
      </c>
      <c r="C7" s="7" t="n">
        <v>46300</v>
      </c>
      <c r="D7" s="8" t="inlineStr">
        <is>
          <t>Source: 2026-09-21 部署会。demo 推迟则开工推迟；提前则可能提前 1–2 天拆设备。</t>
        </is>
      </c>
    </row>
    <row r="8">
      <c r="B8" s="6" t="inlineStr">
        <is>
          <t>计划开工</t>
        </is>
      </c>
      <c r="C8" s="7" t="n">
        <v>46310</v>
      </c>
      <c r="D8" s="8" t="inlineStr">
        <is>
          <t>Source: 2026-09-21 部署会，方案一。</t>
        </is>
      </c>
    </row>
    <row r="9">
      <c r="B9" s="6" t="inlineStr">
        <is>
          <t>建设完成</t>
        </is>
      </c>
      <c r="C9" s="7" t="n">
        <v>46329</v>
      </c>
      <c r="D9" s="8" t="inlineStr">
        <is>
          <t>Source: 2026-09-21 部署会约数。</t>
        </is>
      </c>
    </row>
    <row r="10">
      <c r="B10" s="6" t="inlineStr">
        <is>
          <t>验证完成</t>
        </is>
      </c>
      <c r="C10" s="7" t="n">
        <v>46342</v>
      </c>
      <c r="D10" s="8" t="inlineStr">
        <is>
          <t>Source: 2026-09-21 部署会约数。</t>
        </is>
      </c>
    </row>
    <row r="11">
      <c r="B11" s="6" t="inlineStr">
        <is>
          <t>交付</t>
        </is>
      </c>
      <c r="C11" s="7" t="n">
        <v>46344</v>
      </c>
      <c r="D11" s="8" t="inlineStr">
        <is>
          <t>Source: 2026-09-21 部署会硬门禁。</t>
        </is>
      </c>
    </row>
    <row r="13" ht="18" customHeight="1">
      <c r="B13" s="9" t="inlineStr">
        <is>
          <t>未关闭</t>
        </is>
      </c>
      <c r="C13" s="9" t="n"/>
      <c r="D13" s="10" t="inlineStr">
        <is>
          <t>阻塞</t>
        </is>
      </c>
      <c r="E13" s="10" t="n"/>
      <c r="F13" s="11" t="inlineStr">
        <is>
          <t>今日到期</t>
        </is>
      </c>
      <c r="G13" s="11" t="n"/>
      <c r="H13" s="12" t="inlineStr">
        <is>
          <t>逾期未完成</t>
        </is>
      </c>
      <c r="I13" s="12" t="n"/>
    </row>
    <row r="14" ht="22" customHeight="1">
      <c r="B14" s="13">
        <f>COUNTIFS('行动项总账'!I:I,"未开始")+COUNTIFS('行动项总账'!I:I,"进行中")+COUNTIFS('行动项总账'!I:I,"阻塞")</f>
        <v/>
      </c>
      <c r="C14" s="13" t="n"/>
      <c r="D14" s="14">
        <f>COUNTIF('行动项总账'!I:I,"阻塞")</f>
        <v/>
      </c>
      <c r="E14" s="14" t="n"/>
      <c r="F14" s="15">
        <f>COUNTIFS('行动项总账'!H:H,TODAY(),'行动项总账'!I:I,"&lt;&gt;已完成",'行动项总账'!I:I,"&lt;&gt;取消")</f>
        <v/>
      </c>
      <c r="G14" s="15" t="n"/>
      <c r="H14" s="16">
        <f>COUNTIF('行动项总账'!N:N,"逾期")</f>
        <v/>
      </c>
      <c r="I14" s="16" t="n"/>
    </row>
    <row r="15" ht="22" customHeight="1">
      <c r="B15" s="13" t="n"/>
      <c r="C15" s="13" t="n"/>
      <c r="D15" s="14" t="n"/>
      <c r="E15" s="14" t="n"/>
      <c r="F15" s="15" t="n"/>
      <c r="G15" s="15" t="n"/>
      <c r="H15" s="16" t="n"/>
      <c r="I15" s="16" t="n"/>
    </row>
    <row r="17">
      <c r="B17" s="5" t="inlineStr">
        <is>
          <t>按片断未关闭（公式）</t>
        </is>
      </c>
      <c r="F17" s="5" t="inlineStr">
        <is>
          <t>用法（1 分钟）</t>
        </is>
      </c>
    </row>
    <row r="18" ht="18" customHeight="1">
      <c r="B18" s="17" t="inlineStr">
        <is>
          <t>片断</t>
        </is>
      </c>
      <c r="C18" s="17" t="inlineStr">
        <is>
          <t>未关闭</t>
        </is>
      </c>
      <c r="D18" s="17" t="inlineStr">
        <is>
          <t>阻塞</t>
        </is>
      </c>
      <c r="F18" s="18" t="inlineStr">
        <is>
          <t>1. 只改「行动项总账」。不要再为每次会新建主表。
2. 进展日志只追加，格式：YYYY-MM-DD：一句话。不要覆盖旧进展。
3. 完成后：状态=已完成，在进展里写证据（文件名 / 版本 / 会议日期）。
4. 用表头筛选看「未开始 / 进行中 / 阻塞」。
5. 截止日期空着时，交通灯为「—」，请尽快补日期。
6. 黄色里程碑可改；卡片和片断统计全部是公式。
7. 三合一对外写 AFD（agitated filter dryer）。
8. 本文件为内部跟踪，不直接发给客户。</t>
        </is>
      </c>
      <c r="G18" s="19" t="n"/>
      <c r="H18" s="19" t="n"/>
      <c r="I18" s="19" t="n"/>
    </row>
    <row r="19">
      <c r="B19" s="20" t="inlineStr">
        <is>
          <t>制备配液</t>
        </is>
      </c>
      <c r="C19" s="21">
        <f>COUNTIFS('行动项总账'!$D:$D,B19,'行动项总账'!$I:$I,"&lt;&gt;已完成",'行动项总账'!$I:$I,"&lt;&gt;取消",'行动项总账'!$I:$I,"&lt;&gt;")</f>
        <v/>
      </c>
      <c r="D19" s="21">
        <f>COUNTIFS('行动项总账'!$D:$D,B19,'行动项总账'!$I:$I,"阻塞")</f>
        <v/>
      </c>
      <c r="F19" s="19" t="n"/>
      <c r="G19" s="19" t="n"/>
      <c r="H19" s="19" t="n"/>
      <c r="I19" s="19" t="n"/>
    </row>
    <row r="20">
      <c r="B20" s="22" t="inlineStr">
        <is>
          <t>超滤</t>
        </is>
      </c>
      <c r="C20" s="23">
        <f>COUNTIFS('行动项总账'!$D:$D,B20,'行动项总账'!$I:$I,"&lt;&gt;已完成",'行动项总账'!$I:$I,"&lt;&gt;取消",'行动项总账'!$I:$I,"&lt;&gt;")</f>
        <v/>
      </c>
      <c r="D20" s="23">
        <f>COUNTIFS('行动项总账'!$D:$D,B20,'行动项总账'!$I:$I,"阻塞")</f>
        <v/>
      </c>
      <c r="F20" s="19" t="n"/>
      <c r="G20" s="19" t="n"/>
      <c r="H20" s="19" t="n"/>
      <c r="I20" s="19" t="n"/>
    </row>
    <row r="21">
      <c r="B21" s="20" t="inlineStr">
        <is>
          <t>沉淀</t>
        </is>
      </c>
      <c r="C21" s="21">
        <f>COUNTIFS('行动项总账'!$D:$D,B21,'行动项总账'!$I:$I,"&lt;&gt;已完成",'行动项总账'!$I:$I,"&lt;&gt;取消",'行动项总账'!$I:$I,"&lt;&gt;")</f>
        <v/>
      </c>
      <c r="D21" s="21">
        <f>COUNTIFS('行动项总账'!$D:$D,B21,'行动项总账'!$I:$I,"阻塞")</f>
        <v/>
      </c>
      <c r="F21" s="19" t="n"/>
      <c r="G21" s="19" t="n"/>
      <c r="H21" s="19" t="n"/>
      <c r="I21" s="19" t="n"/>
    </row>
    <row r="22">
      <c r="B22" s="22" t="inlineStr">
        <is>
          <t>采购到货</t>
        </is>
      </c>
      <c r="C22" s="23">
        <f>COUNTIFS('行动项总账'!$D:$D,B22,'行动项总账'!$I:$I,"&lt;&gt;已完成",'行动项总账'!$I:$I,"&lt;&gt;取消",'行动项总账'!$I:$I,"&lt;&gt;")</f>
        <v/>
      </c>
      <c r="D22" s="23">
        <f>COUNTIFS('行动项总账'!$D:$D,B22,'行动项总账'!$I:$I,"阻塞")</f>
        <v/>
      </c>
      <c r="F22" s="19" t="n"/>
      <c r="G22" s="19" t="n"/>
      <c r="H22" s="19" t="n"/>
      <c r="I22" s="19" t="n"/>
    </row>
    <row r="23">
      <c r="B23" s="20" t="inlineStr">
        <is>
          <t>设计方案</t>
        </is>
      </c>
      <c r="C23" s="21">
        <f>COUNTIFS('行动项总账'!$D:$D,B23,'行动项总账'!$I:$I,"&lt;&gt;已完成",'行动项总账'!$I:$I,"&lt;&gt;取消",'行动项总账'!$I:$I,"&lt;&gt;")</f>
        <v/>
      </c>
      <c r="D23" s="21">
        <f>COUNTIFS('行动项总账'!$D:$D,B23,'行动项总账'!$I:$I,"阻塞")</f>
        <v/>
      </c>
      <c r="F23" s="19" t="n"/>
      <c r="G23" s="19" t="n"/>
      <c r="H23" s="19" t="n"/>
      <c r="I23" s="19" t="n"/>
    </row>
    <row r="24">
      <c r="B24" s="22" t="inlineStr">
        <is>
          <t>QA质量</t>
        </is>
      </c>
      <c r="C24" s="23">
        <f>COUNTIFS('行动项总账'!$D:$D,B24,'行动项总账'!$I:$I,"&lt;&gt;已完成",'行动项总账'!$I:$I,"&lt;&gt;取消",'行动项总账'!$I:$I,"&lt;&gt;")</f>
        <v/>
      </c>
      <c r="D24" s="23">
        <f>COUNTIFS('行动项总账'!$D:$D,B24,'行动项总账'!$I:$I,"阻塞")</f>
        <v/>
      </c>
      <c r="F24" s="19" t="n"/>
      <c r="G24" s="19" t="n"/>
      <c r="H24" s="19" t="n"/>
      <c r="I24" s="19" t="n"/>
    </row>
    <row r="25">
      <c r="B25" s="20" t="inlineStr">
        <is>
          <t>客户沟通</t>
        </is>
      </c>
      <c r="C25" s="21">
        <f>COUNTIFS('行动项总账'!$D:$D,B25,'行动项总账'!$I:$I,"&lt;&gt;已完成",'行动项总账'!$I:$I,"&lt;&gt;取消",'行动项总账'!$I:$I,"&lt;&gt;")</f>
        <v/>
      </c>
      <c r="D25" s="21">
        <f>COUNTIFS('行动项总账'!$D:$D,B25,'行动项总账'!$I:$I,"阻塞")</f>
        <v/>
      </c>
      <c r="F25" s="19" t="n"/>
      <c r="G25" s="19" t="n"/>
      <c r="H25" s="19" t="n"/>
      <c r="I25" s="19" t="n"/>
    </row>
    <row r="26">
      <c r="B26" s="22" t="inlineStr">
        <is>
          <t>综合协调</t>
        </is>
      </c>
      <c r="C26" s="23">
        <f>COUNTIFS('行动项总账'!$D:$D,B26,'行动项总账'!$I:$I,"&lt;&gt;已完成",'行动项总账'!$I:$I,"&lt;&gt;取消",'行动项总账'!$I:$I,"&lt;&gt;")</f>
        <v/>
      </c>
      <c r="D26" s="23">
        <f>COUNTIFS('行动项总账'!$D:$D,B26,'行动项总账'!$I:$I,"阻塞")</f>
        <v/>
      </c>
      <c r="F26" s="19" t="n"/>
      <c r="G26" s="19" t="n"/>
      <c r="H26" s="19" t="n"/>
      <c r="I26" s="19" t="n"/>
    </row>
    <row r="28">
      <c r="B28" s="8" t="inlineStr">
        <is>
          <t>最近会议：2026-09-21 部署会。人员以张俊峰会前分工为准。纪要 Word：meetings/2026/2026-09-21-BLA改造沟通会会议纪要-修订.docx。项目 139788。</t>
        </is>
      </c>
    </row>
  </sheetData>
  <mergeCells count="20">
    <mergeCell ref="D11:I11"/>
    <mergeCell ref="F18:I26"/>
    <mergeCell ref="D7:I7"/>
    <mergeCell ref="D13:E13"/>
    <mergeCell ref="D9:I9"/>
    <mergeCell ref="D14:E15"/>
    <mergeCell ref="B17:C17"/>
    <mergeCell ref="F14:G15"/>
    <mergeCell ref="H14:I15"/>
    <mergeCell ref="D8:I8"/>
    <mergeCell ref="B13:C13"/>
    <mergeCell ref="B28:I28"/>
    <mergeCell ref="F13:G13"/>
    <mergeCell ref="H13:I13"/>
    <mergeCell ref="B6:C6"/>
    <mergeCell ref="D10:I10"/>
    <mergeCell ref="F17:I17"/>
    <mergeCell ref="B2:I3"/>
    <mergeCell ref="B14:C15"/>
    <mergeCell ref="B4:I4"/>
  </mergeCells>
  <pageMargins left="0.5" right="0.5" top="0.6" bottom="0.5" header="0.5" footer="0.5"/>
  <pageSetup orientation="landscape" paperSize="9" fitToHeight="1" fitToWidth="1"/>
  <headerFooter>
    <oddHeader>&amp;LPOA 生物制品改造 · 内部</oddHeader>
    <oddFooter>&amp;RSource: 2026-09-21 deployment meeting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N3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42" customWidth="1" min="5" max="5"/>
    <col width="28" customWidth="1" min="6" max="6"/>
    <col width="20" customWidth="1" min="7" max="7"/>
    <col width="13" customWidth="1" min="8" max="8"/>
    <col width="12" customWidth="1" min="9" max="9"/>
    <col width="10" customWidth="1" min="10" max="10"/>
    <col width="46" customWidth="1" min="11" max="11"/>
    <col width="12" customWidth="1" min="12" max="12"/>
    <col width="18" customWidth="1" min="13" max="13"/>
    <col width="12" customWidth="1" min="14" max="14"/>
  </cols>
  <sheetData>
    <row r="1" ht="22" customHeight="1">
      <c r="A1" s="24" t="inlineStr">
        <is>
          <t>POA 生物制品项目改造 · 行动项总账（持续）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5" t="inlineStr">
        <is>
          <t>筛选「状态 / 片断 / 负责人」。进展只追加。交通灯=公式（对比截止日期与 TODAY）。ID 不换号。黄色状态/日期可改。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 ht="32" customHeight="1">
      <c r="A4" s="26" t="inlineStr">
        <is>
          <t>ID</t>
        </is>
      </c>
      <c r="B4" s="26" t="inlineStr">
        <is>
          <t>提出日
Raised</t>
        </is>
      </c>
      <c r="C4" s="26" t="inlineStr">
        <is>
          <t>提出方
Originator</t>
        </is>
      </c>
      <c r="D4" s="26" t="inlineStr">
        <is>
          <t>片断 / 专业
Workstream</t>
        </is>
      </c>
      <c r="E4" s="26" t="inlineStr">
        <is>
          <t>行动项
Action</t>
        </is>
      </c>
      <c r="F4" s="26" t="inlineStr">
        <is>
          <t>验收标准
Done means</t>
        </is>
      </c>
      <c r="G4" s="26" t="inlineStr">
        <is>
          <t>负责人
Owner</t>
        </is>
      </c>
      <c r="H4" s="26" t="inlineStr">
        <is>
          <t>截止日期
Due</t>
        </is>
      </c>
      <c r="I4" s="26" t="inlineStr">
        <is>
          <t>状态
Status</t>
        </is>
      </c>
      <c r="J4" s="26" t="inlineStr">
        <is>
          <t>优先级
Priority</t>
        </is>
      </c>
      <c r="K4" s="26" t="inlineStr">
        <is>
          <t>进展日志（只追加）
Progress log</t>
        </is>
      </c>
      <c r="L4" s="26" t="inlineStr">
        <is>
          <t>更新日
Updated</t>
        </is>
      </c>
      <c r="M4" s="26" t="inlineStr">
        <is>
          <t>来源会议
Source</t>
        </is>
      </c>
      <c r="N4" s="26" t="inlineStr">
        <is>
          <t>交通灯
Traffic</t>
        </is>
      </c>
    </row>
    <row r="5" ht="56" customHeight="1">
      <c r="A5" s="27" t="inlineStr">
        <is>
          <t>A-20260921-01</t>
        </is>
      </c>
      <c r="B5" s="28" t="n">
        <v>46286</v>
      </c>
      <c r="C5" s="29" t="inlineStr">
        <is>
          <t>张俊峰</t>
        </is>
      </c>
      <c r="D5" s="30" t="inlineStr">
        <is>
          <t>设计方案</t>
        </is>
      </c>
      <c r="E5" s="29" t="inlineStr">
        <is>
          <t>打印改造事项清单；与东富龙技术员逐管路、逐设备过制备配液和超滤，缺项补进同一清单。</t>
        </is>
      </c>
      <c r="F5" s="29" t="inlineStr">
        <is>
          <t>清单已查漏补缺，可与下午沉淀对表合并。</t>
        </is>
      </c>
      <c r="G5" s="27" t="inlineStr">
        <is>
          <t>王志恒</t>
        </is>
      </c>
      <c r="H5" s="28" t="n">
        <v>46286</v>
      </c>
      <c r="I5" s="27" t="inlineStr">
        <is>
          <t>未开始</t>
        </is>
      </c>
      <c r="J5" s="30" t="inlineStr">
        <is>
          <t>高</t>
        </is>
      </c>
      <c r="K5" s="29" t="inlineStr">
        <is>
          <t>2026-09-21：总指挥会前指定。皮轶杰跟制备，张冬跟超滤，郭泽鹏随队。</t>
        </is>
      </c>
      <c r="L5" s="28" t="n">
        <v>46286</v>
      </c>
      <c r="M5" s="29" t="inlineStr">
        <is>
          <t>2026-09-21 部署会</t>
        </is>
      </c>
      <c r="N5" s="30">
        <f>IF(OR(I5="已完成",I5="取消"),"—",IF(H5="",IF(I5="阻塞","逾期","—"),IF(H5&lt;TODAY(),"逾期",IF(H5=TODAY(),"今日到期","按期"))))</f>
        <v/>
      </c>
    </row>
    <row r="6" ht="56" customHeight="1">
      <c r="A6" s="27" t="inlineStr">
        <is>
          <t>A-20260921-02</t>
        </is>
      </c>
      <c r="B6" s="28" t="n">
        <v>46286</v>
      </c>
      <c r="C6" s="29" t="inlineStr">
        <is>
          <t>张俊峰</t>
        </is>
      </c>
      <c r="D6" s="30" t="inlineStr">
        <is>
          <t>制备配液</t>
        </is>
      </c>
      <c r="E6" s="29" t="inlineStr">
        <is>
          <t>负责制备配液和制备工序整改；今日跟王志恒、东富龙走现场并跟踪本片段。</t>
        </is>
      </c>
      <c r="F6" s="29" t="inlineStr">
        <is>
          <t>本片段事项有人跟，缺项已记入王志恒清单。</t>
        </is>
      </c>
      <c r="G6" s="27" t="inlineStr">
        <is>
          <t>皮轶杰</t>
        </is>
      </c>
      <c r="H6" s="28" t="n">
        <v>46286</v>
      </c>
      <c r="I6" s="27" t="inlineStr">
        <is>
          <t>未开始</t>
        </is>
      </c>
      <c r="J6" s="30" t="inlineStr">
        <is>
          <t>高</t>
        </is>
      </c>
      <c r="K6" s="29" t="inlineStr">
        <is>
          <t>2026-09-21：总指挥会前指定。不是「李主任」对接厂家。</t>
        </is>
      </c>
      <c r="L6" s="28" t="n">
        <v>46286</v>
      </c>
      <c r="M6" s="29" t="inlineStr">
        <is>
          <t>2026-09-21 部署会</t>
        </is>
      </c>
      <c r="N6" s="30">
        <f>IF(OR(I6="已完成",I6="取消"),"—",IF(H6="",IF(I6="阻塞","逾期","—"),IF(H6&lt;TODAY(),"逾期",IF(H6=TODAY(),"今日到期","按期"))))</f>
        <v/>
      </c>
    </row>
    <row r="7" ht="56" customHeight="1">
      <c r="A7" s="27" t="inlineStr">
        <is>
          <t>A-20260921-03</t>
        </is>
      </c>
      <c r="B7" s="28" t="n">
        <v>46286</v>
      </c>
      <c r="C7" s="29" t="inlineStr">
        <is>
          <t>张俊峰</t>
        </is>
      </c>
      <c r="D7" s="30" t="inlineStr">
        <is>
          <t>超滤</t>
        </is>
      </c>
      <c r="E7" s="29" t="inlineStr">
        <is>
          <t>负责超滤工序整改；今日跟王志恒、东富龙走现场并记录缺项。</t>
        </is>
      </c>
      <c r="F7" s="29" t="inlineStr">
        <is>
          <t>超滤缺项已记入同一清单。</t>
        </is>
      </c>
      <c r="G7" s="27" t="inlineStr">
        <is>
          <t>张冬</t>
        </is>
      </c>
      <c r="H7" s="28" t="n">
        <v>46286</v>
      </c>
      <c r="I7" s="27" t="inlineStr">
        <is>
          <t>未开始</t>
        </is>
      </c>
      <c r="J7" s="30" t="inlineStr">
        <is>
          <t>高</t>
        </is>
      </c>
      <c r="K7" s="29" t="inlineStr">
        <is>
          <t>2026-09-21：总指挥会前指定。姓名为张冬，不是张东。</t>
        </is>
      </c>
      <c r="L7" s="28" t="n">
        <v>46286</v>
      </c>
      <c r="M7" s="29" t="inlineStr">
        <is>
          <t>2026-09-21 部署会</t>
        </is>
      </c>
      <c r="N7" s="30">
        <f>IF(OR(I7="已完成",I7="取消"),"—",IF(H7="",IF(I7="阻塞","逾期","—"),IF(H7&lt;TODAY(),"逾期",IF(H7=TODAY(),"今日到期","按期"))))</f>
        <v/>
      </c>
    </row>
    <row r="8" ht="56" customHeight="1">
      <c r="A8" s="27" t="inlineStr">
        <is>
          <t>A-20260921-04</t>
        </is>
      </c>
      <c r="B8" s="28" t="n">
        <v>46286</v>
      </c>
      <c r="C8" s="29" t="inlineStr">
        <is>
          <t>张俊峰</t>
        </is>
      </c>
      <c r="D8" s="30" t="inlineStr">
        <is>
          <t>沉淀</t>
        </is>
      </c>
      <c r="E8" s="29" t="inlineStr">
        <is>
          <t>负责沉淀工序整改；13:00 跟王志恒、亚光过沉淀区域。</t>
        </is>
      </c>
      <c r="F8" s="29" t="inlineStr">
        <is>
          <t>沉淀缺项已记入同一清单。</t>
        </is>
      </c>
      <c r="G8" s="27" t="inlineStr">
        <is>
          <t>韩瑞衡</t>
        </is>
      </c>
      <c r="H8" s="28" t="n">
        <v>46286</v>
      </c>
      <c r="I8" s="27" t="inlineStr">
        <is>
          <t>未开始</t>
        </is>
      </c>
      <c r="J8" s="30" t="inlineStr">
        <is>
          <t>高</t>
        </is>
      </c>
      <c r="K8" s="29" t="inlineStr">
        <is>
          <t>2026-09-21：总指挥会前指定。姓名为韩瑞衡。</t>
        </is>
      </c>
      <c r="L8" s="28" t="n">
        <v>46286</v>
      </c>
      <c r="M8" s="29" t="inlineStr">
        <is>
          <t>2026-09-21 部署会</t>
        </is>
      </c>
      <c r="N8" s="30">
        <f>IF(OR(I8="已完成",I8="取消"),"—",IF(H8="",IF(I8="阻塞","逾期","—"),IF(H8&lt;TODAY(),"逾期",IF(H8=TODAY(),"今日到期","按期"))))</f>
        <v/>
      </c>
    </row>
    <row r="9" ht="56" customHeight="1">
      <c r="A9" s="27" t="inlineStr">
        <is>
          <t>A-20260921-05</t>
        </is>
      </c>
      <c r="B9" s="28" t="n">
        <v>46286</v>
      </c>
      <c r="C9" s="29" t="inlineStr">
        <is>
          <t>张俊峰</t>
        </is>
      </c>
      <c r="D9" s="30" t="inlineStr">
        <is>
          <t>客户沟通</t>
        </is>
      </c>
      <c r="E9" s="29" t="inlineStr">
        <is>
          <t>梳理客户来访全部问题，核三个片段涉及整改的内容是否都举一反三、都有整改要求。</t>
        </is>
      </c>
      <c r="F9" s="29" t="inlineStr">
        <is>
          <t>三个片段的覆盖与缺口写得清楚。</t>
        </is>
      </c>
      <c r="G9" s="27" t="inlineStr">
        <is>
          <t>范兴涛</t>
        </is>
      </c>
      <c r="H9" s="28" t="n">
        <v>46286</v>
      </c>
      <c r="I9" s="27" t="inlineStr">
        <is>
          <t>未开始</t>
        </is>
      </c>
      <c r="J9" s="30" t="inlineStr">
        <is>
          <t>高</t>
        </is>
      </c>
      <c r="K9" s="29" t="inlineStr">
        <is>
          <t>2026-09-21：总指挥会前指定。不是「松涛」。</t>
        </is>
      </c>
      <c r="L9" s="28" t="n">
        <v>46286</v>
      </c>
      <c r="M9" s="29" t="inlineStr">
        <is>
          <t>2026-09-21 部署会</t>
        </is>
      </c>
      <c r="N9" s="30">
        <f>IF(OR(I9="已完成",I9="取消"),"—",IF(H9="",IF(I9="阻塞","逾期","—"),IF(H9&lt;TODAY(),"逾期",IF(H9=TODAY(),"今日到期","按期"))))</f>
        <v/>
      </c>
    </row>
    <row r="10" ht="56" customHeight="1">
      <c r="A10" s="27" t="inlineStr">
        <is>
          <t>A-20260921-06</t>
        </is>
      </c>
      <c r="B10" s="28" t="n">
        <v>46286</v>
      </c>
      <c r="C10" s="29" t="inlineStr">
        <is>
          <t>张俊峰</t>
        </is>
      </c>
      <c r="D10" s="30" t="inlineStr">
        <is>
          <t>制备配液</t>
        </is>
      </c>
      <c r="E10" s="29" t="inlineStr">
        <is>
          <t>对接东富龙，下午交出利旧与推倒重建两套方案的时间/事项对比。</t>
        </is>
      </c>
      <c r="F10" s="29" t="inlineStr">
        <is>
          <t>两套方案可对比。</t>
        </is>
      </c>
      <c r="G10" s="27" t="inlineStr">
        <is>
          <t>王志恒</t>
        </is>
      </c>
      <c r="H10" s="28" t="n">
        <v>46286</v>
      </c>
      <c r="I10" s="27" t="inlineStr">
        <is>
          <t>未开始</t>
        </is>
      </c>
      <c r="J10" s="30" t="inlineStr">
        <is>
          <t>高</t>
        </is>
      </c>
      <c r="K10" s="29" t="inlineStr">
        <is>
          <t>2026-09-21：会上要求厂家出两套方案。</t>
        </is>
      </c>
      <c r="L10" s="28" t="n">
        <v>46286</v>
      </c>
      <c r="M10" s="29" t="inlineStr">
        <is>
          <t>2026-09-21 部署会</t>
        </is>
      </c>
      <c r="N10" s="30">
        <f>IF(OR(I10="已完成",I10="取消"),"—",IF(H10="",IF(I10="阻塞","逾期","—"),IF(H10&lt;TODAY(),"逾期",IF(H10=TODAY(),"今日到期","按期"))))</f>
        <v/>
      </c>
    </row>
    <row r="11" ht="56" customHeight="1">
      <c r="A11" s="27" t="inlineStr">
        <is>
          <t>A-20260921-07</t>
        </is>
      </c>
      <c r="B11" s="28" t="n">
        <v>46286</v>
      </c>
      <c r="C11" s="29" t="inlineStr">
        <is>
          <t>张俊峰</t>
        </is>
      </c>
      <c r="D11" s="30" t="inlineStr">
        <is>
          <t>沉淀</t>
        </is>
      </c>
      <c r="E11" s="29" t="inlineStr">
        <is>
          <t>13:00 与亚光技术员梳理沉淀区域整改项，更新同一份改造清单。</t>
        </is>
      </c>
      <c r="F11" s="29" t="inlineStr">
        <is>
          <t>沉淀项已并入清单。</t>
        </is>
      </c>
      <c r="G11" s="27" t="inlineStr">
        <is>
          <t>王志恒</t>
        </is>
      </c>
      <c r="H11" s="28" t="n">
        <v>46286</v>
      </c>
      <c r="I11" s="27" t="inlineStr">
        <is>
          <t>未开始</t>
        </is>
      </c>
      <c r="J11" s="30" t="inlineStr">
        <is>
          <t>高</t>
        </is>
      </c>
      <c r="K11" s="29" t="inlineStr">
        <is>
          <t>2026-09-21：总指挥会前指定。不是全员内部会。韩瑞衡现场跟。</t>
        </is>
      </c>
      <c r="L11" s="28" t="n">
        <v>46286</v>
      </c>
      <c r="M11" s="29" t="inlineStr">
        <is>
          <t>2026-09-21 部署会</t>
        </is>
      </c>
      <c r="N11" s="30">
        <f>IF(OR(I11="已完成",I11="取消"),"—",IF(H11="",IF(I11="阻塞","逾期","—"),IF(H11&lt;TODAY(),"逾期",IF(H11=TODAY(),"今日到期","按期"))))</f>
        <v/>
      </c>
    </row>
    <row r="12" ht="56" customHeight="1">
      <c r="A12" s="27" t="inlineStr">
        <is>
          <t>A-20260921-08</t>
        </is>
      </c>
      <c r="B12" s="28" t="n">
        <v>46286</v>
      </c>
      <c r="C12" s="29" t="inlineStr">
        <is>
          <t>张俊峰</t>
        </is>
      </c>
      <c r="D12" s="30" t="inlineStr">
        <is>
          <t>设计方案</t>
        </is>
      </c>
      <c r="E12" s="29" t="inlineStr">
        <is>
          <t>汉邦到场后梳理事项并出方案，次日早上评审。</t>
        </is>
      </c>
      <c r="F12" s="29" t="inlineStr">
        <is>
          <t>方案可上会。</t>
        </is>
      </c>
      <c r="G12" s="27" t="inlineStr">
        <is>
          <t>王志恒</t>
        </is>
      </c>
      <c r="H12" s="28" t="n">
        <v>46287</v>
      </c>
      <c r="I12" s="27" t="inlineStr">
        <is>
          <t>未开始</t>
        </is>
      </c>
      <c r="J12" s="30" t="inlineStr">
        <is>
          <t>中</t>
        </is>
      </c>
      <c r="K12" s="29" t="inlineStr">
        <is>
          <t>2026-09-21：转写提到下午汉邦到场。对接人若另有指定再改。</t>
        </is>
      </c>
      <c r="L12" s="28" t="n">
        <v>46286</v>
      </c>
      <c r="M12" s="29" t="inlineStr">
        <is>
          <t>2026-09-21 部署会</t>
        </is>
      </c>
      <c r="N12" s="30">
        <f>IF(OR(I12="已完成",I12="取消"),"—",IF(H12="",IF(I12="阻塞","逾期","—"),IF(H12&lt;TODAY(),"逾期",IF(H12=TODAY(),"今日到期","按期"))))</f>
        <v/>
      </c>
    </row>
    <row r="13" ht="56" customHeight="1">
      <c r="A13" s="27" t="inlineStr">
        <is>
          <t>A-20260921-09</t>
        </is>
      </c>
      <c r="B13" s="28" t="n">
        <v>46286</v>
      </c>
      <c r="C13" s="29" t="inlineStr">
        <is>
          <t>张俊峰</t>
        </is>
      </c>
      <c r="D13" s="30" t="inlineStr">
        <is>
          <t>设计方案</t>
        </is>
      </c>
      <c r="E13" s="29" t="inlineStr">
        <is>
          <t>三片段厂家方案与原方案合并为一套改造方案。</t>
        </is>
      </c>
      <c r="F13" s="29" t="inlineStr">
        <is>
          <t>合并方案一版。</t>
        </is>
      </c>
      <c r="G13" s="27" t="inlineStr">
        <is>
          <t>王志恒</t>
        </is>
      </c>
      <c r="H13" s="28" t="n">
        <v>46287</v>
      </c>
      <c r="I13" s="27" t="inlineStr">
        <is>
          <t>未开始</t>
        </is>
      </c>
      <c r="J13" s="30" t="inlineStr">
        <is>
          <t>高</t>
        </is>
      </c>
      <c r="K13" s="29" t="inlineStr">
        <is>
          <t>2026-09-21：IEPE 由王志恒、张国睿整体负责。</t>
        </is>
      </c>
      <c r="L13" s="28" t="n">
        <v>46286</v>
      </c>
      <c r="M13" s="29" t="inlineStr">
        <is>
          <t>2026-09-21 部署会</t>
        </is>
      </c>
      <c r="N13" s="30">
        <f>IF(OR(I13="已完成",I13="取消"),"—",IF(H13="",IF(I13="阻塞","逾期","—"),IF(H13&lt;TODAY(),"逾期",IF(H13=TODAY(),"今日到期","按期"))))</f>
        <v/>
      </c>
    </row>
    <row r="14" ht="56" customHeight="1">
      <c r="A14" s="27" t="inlineStr">
        <is>
          <t>A-20260921-10</t>
        </is>
      </c>
      <c r="B14" s="28" t="n">
        <v>46286</v>
      </c>
      <c r="C14" s="29" t="inlineStr">
        <is>
          <t>张俊峰</t>
        </is>
      </c>
      <c r="D14" s="30" t="inlineStr">
        <is>
          <t>制备配液</t>
        </is>
      </c>
      <c r="E14" s="29" t="inlineStr">
        <is>
          <t>配液利旧还是推倒，方案列出后报领导。</t>
        </is>
      </c>
      <c r="F14" s="29" t="inlineStr">
        <is>
          <t>对比表 + 汇报口径。未选出之前不得写成已定。</t>
        </is>
      </c>
      <c r="G14" s="27" t="inlineStr">
        <is>
          <t>张俊峰</t>
        </is>
      </c>
      <c r="H14" s="28" t="n"/>
      <c r="I14" s="27" t="inlineStr">
        <is>
          <t>未开始</t>
        </is>
      </c>
      <c r="J14" s="30" t="inlineStr">
        <is>
          <t>高</t>
        </is>
      </c>
      <c r="K14" s="29" t="inlineStr">
        <is>
          <t>2026-09-21：会上明确未决。</t>
        </is>
      </c>
      <c r="L14" s="28" t="n">
        <v>46286</v>
      </c>
      <c r="M14" s="29" t="inlineStr">
        <is>
          <t>2026-09-21 部署会</t>
        </is>
      </c>
      <c r="N14" s="30">
        <f>IF(OR(I14="已完成",I14="取消"),"—",IF(H14="",IF(I14="阻塞","逾期","—"),IF(H14&lt;TODAY(),"逾期",IF(H14=TODAY(),"今日到期","按期"))))</f>
        <v/>
      </c>
    </row>
    <row r="15" ht="56" customHeight="1">
      <c r="A15" s="27" t="inlineStr">
        <is>
          <t>A-20260921-11</t>
        </is>
      </c>
      <c r="B15" s="28" t="n">
        <v>46286</v>
      </c>
      <c r="C15" s="29" t="inlineStr">
        <is>
          <t>张俊峰</t>
        </is>
      </c>
      <c r="D15" s="30" t="inlineStr">
        <is>
          <t>采购到货</t>
        </is>
      </c>
      <c r="E15" s="29" t="inlineStr">
        <is>
          <t>交出 139788 项目采购总台账，三类写清：已下单采买、询价中、尚未采购。</t>
        </is>
      </c>
      <c r="F15" s="29" t="inlineStr">
        <is>
          <t>总台账可按三类点名到物料。</t>
        </is>
      </c>
      <c r="G15" s="27" t="inlineStr">
        <is>
          <t>宋金柱</t>
        </is>
      </c>
      <c r="H15" s="28" t="n">
        <v>46286</v>
      </c>
      <c r="I15" s="27" t="inlineStr">
        <is>
          <t>未开始</t>
        </is>
      </c>
      <c r="J15" s="30" t="inlineStr">
        <is>
          <t>高</t>
        </is>
      </c>
      <c r="K15" s="29" t="inlineStr">
        <is>
          <t>2026-09-21：总指挥指定宋金柱跟采购同事今天出总账。工程亦由宋金柱整体负责。</t>
        </is>
      </c>
      <c r="L15" s="28" t="n">
        <v>46286</v>
      </c>
      <c r="M15" s="29" t="inlineStr">
        <is>
          <t>2026-09-21 部署会</t>
        </is>
      </c>
      <c r="N15" s="30">
        <f>IF(OR(I15="已完成",I15="取消"),"—",IF(H15="",IF(I15="阻塞","逾期","—"),IF(H15&lt;TODAY(),"逾期",IF(H15=TODAY(),"今日到期","按期"))))</f>
        <v/>
      </c>
    </row>
    <row r="16" ht="56" customHeight="1">
      <c r="A16" s="31" t="inlineStr">
        <is>
          <t>A-20260921-12</t>
        </is>
      </c>
      <c r="B16" s="32" t="n">
        <v>46286</v>
      </c>
      <c r="C16" s="33" t="inlineStr">
        <is>
          <t>张俊峰</t>
        </is>
      </c>
      <c r="D16" s="34" t="inlineStr">
        <is>
          <t>采购到货</t>
        </is>
      </c>
      <c r="E16" s="33" t="inlineStr">
        <is>
          <t>冯毅、田子才每日在群里上报采购与到货进展。</t>
        </is>
      </c>
      <c r="F16" s="33" t="inlineStr">
        <is>
          <t>群里每日有进展，不空报。</t>
        </is>
      </c>
      <c r="G16" s="31" t="inlineStr">
        <is>
          <t>冯毅</t>
        </is>
      </c>
      <c r="H16" s="32" t="n">
        <v>46286</v>
      </c>
      <c r="I16" s="31" t="inlineStr">
        <is>
          <t>进行中</t>
        </is>
      </c>
      <c r="J16" s="34" t="inlineStr">
        <is>
          <t>中</t>
        </is>
      </c>
      <c r="K16" s="33" t="inlineStr">
        <is>
          <t>2026-09-21：总指挥指定冯毅、田子才后续每日上报，不是冯毅+宋金柱双主责日报。</t>
        </is>
      </c>
      <c r="L16" s="32" t="n">
        <v>46286</v>
      </c>
      <c r="M16" s="33" t="inlineStr">
        <is>
          <t>2026-09-21 部署会</t>
        </is>
      </c>
      <c r="N16" s="34">
        <f>IF(OR(I16="已完成",I16="取消"),"—",IF(H16="",IF(I16="阻塞","逾期","—"),IF(H16&lt;TODAY(),"逾期",IF(H16=TODAY(),"今日到期","按期"))))</f>
        <v/>
      </c>
    </row>
    <row r="17" ht="56" customHeight="1">
      <c r="A17" s="27" t="inlineStr">
        <is>
          <t>A-20260921-13</t>
        </is>
      </c>
      <c r="B17" s="28" t="n">
        <v>46286</v>
      </c>
      <c r="C17" s="29" t="inlineStr">
        <is>
          <t>张俊峰</t>
        </is>
      </c>
      <c r="D17" s="30" t="inlineStr">
        <is>
          <t>综合协调</t>
        </is>
      </c>
      <c r="E17" s="29" t="inlineStr">
        <is>
          <t>湿氮气擦净、消毒、中午前转移至 AFD（三合一）后侧。</t>
        </is>
      </c>
      <c r="F17" s="29" t="inlineStr">
        <is>
          <t>13:00 客户进车间前就位。</t>
        </is>
      </c>
      <c r="G17" s="27" t="inlineStr">
        <is>
          <t>郭泽鹏</t>
        </is>
      </c>
      <c r="H17" s="28" t="n">
        <v>46286</v>
      </c>
      <c r="I17" s="27" t="inlineStr">
        <is>
          <t>未开始</t>
        </is>
      </c>
      <c r="J17" s="30" t="inlineStr">
        <is>
          <t>高</t>
        </is>
      </c>
      <c r="K17" s="29" t="inlineStr">
        <is>
          <t>2026-09-21：郭泽鹏运到门口；宋金柱安排拆卸转移。郭泽鹏 50% 精力在整改，今日跟王志恒和厂家走现场。</t>
        </is>
      </c>
      <c r="L17" s="28" t="n">
        <v>46286</v>
      </c>
      <c r="M17" s="29" t="inlineStr">
        <is>
          <t>2026-09-21 部署会</t>
        </is>
      </c>
      <c r="N17" s="30">
        <f>IF(OR(I17="已完成",I17="取消"),"—",IF(H17="",IF(I17="阻塞","逾期","—"),IF(H17&lt;TODAY(),"逾期",IF(H17=TODAY(),"今日到期","按期"))))</f>
        <v/>
      </c>
    </row>
    <row r="18" ht="56" customHeight="1">
      <c r="A18" s="27" t="inlineStr">
        <is>
          <t>A-20260921-14</t>
        </is>
      </c>
      <c r="B18" s="28" t="n">
        <v>46286</v>
      </c>
      <c r="C18" s="29" t="inlineStr">
        <is>
          <t>张俊峰</t>
        </is>
      </c>
      <c r="D18" s="30" t="inlineStr">
        <is>
          <t>综合协调</t>
        </is>
      </c>
      <c r="E18" s="29" t="inlineStr">
        <is>
          <t>到岗后与于总确认工作分工及下一步执行计划。</t>
        </is>
      </c>
      <c r="F18" s="29" t="inlineStr">
        <is>
          <t>分工与计划已对接总指挥侧。</t>
        </is>
      </c>
      <c r="G18" s="27" t="inlineStr">
        <is>
          <t>刘维江</t>
        </is>
      </c>
      <c r="H18" s="28" t="n">
        <v>46288</v>
      </c>
      <c r="I18" s="27" t="inlineStr">
        <is>
          <t>未开始</t>
        </is>
      </c>
      <c r="J18" s="30" t="inlineStr">
        <is>
          <t>中</t>
        </is>
      </c>
      <c r="K18" s="29" t="inlineStr">
        <is>
          <t>2026-09-21：会中明确后天到岗。QA 等 DH 支持后再交底。</t>
        </is>
      </c>
      <c r="L18" s="28" t="n">
        <v>46286</v>
      </c>
      <c r="M18" s="29" t="inlineStr">
        <is>
          <t>2026-09-21 部署会</t>
        </is>
      </c>
      <c r="N18" s="30">
        <f>IF(OR(I18="已完成",I18="取消"),"—",IF(H18="",IF(I18="阻塞","逾期","—"),IF(H18&lt;TODAY(),"逾期",IF(H18=TODAY(),"今日到期","按期"))))</f>
        <v/>
      </c>
    </row>
    <row r="19" ht="56" customHeight="1">
      <c r="A19" s="35" t="inlineStr">
        <is>
          <t>A-20260921-15</t>
        </is>
      </c>
      <c r="B19" s="36" t="n">
        <v>46286</v>
      </c>
      <c r="C19" s="37" t="inlineStr">
        <is>
          <t>刘美佳</t>
        </is>
      </c>
      <c r="D19" s="38" t="inlineStr">
        <is>
          <t>制备配液</t>
        </is>
      </c>
      <c r="E19" s="37" t="inlineStr">
        <is>
          <t>向腾信压缩 D 区现有搅拌罐改口工期；达不成则把完不成节点报到中午沟通会。</t>
        </is>
      </c>
      <c r="F19" s="37" t="inlineStr">
        <is>
          <t>新工期，或正式报出的冲突节点。</t>
        </is>
      </c>
      <c r="G19" s="35" t="inlineStr">
        <is>
          <t>刘美佳</t>
        </is>
      </c>
      <c r="H19" s="36" t="n">
        <v>46286</v>
      </c>
      <c r="I19" s="35" t="inlineStr">
        <is>
          <t>阻塞</t>
        </is>
      </c>
      <c r="J19" s="38" t="inlineStr">
        <is>
          <t>高</t>
        </is>
      </c>
      <c r="K19" s="37" t="inlineStr">
        <is>
          <t>2026-09-21：约 5 台、工期 20 天，与 11/18 冲突。资源不够找郭宏杰。初稿误写诚信、徐瑞。</t>
        </is>
      </c>
      <c r="L19" s="36" t="n">
        <v>46286</v>
      </c>
      <c r="M19" s="37" t="inlineStr">
        <is>
          <t>2026-09-21 部署会</t>
        </is>
      </c>
      <c r="N19" s="38">
        <f>IF(OR(I19="已完成",I19="取消"),"—",IF(H19="",IF(I19="阻塞","逾期","—"),IF(H19&lt;TODAY(),"逾期",IF(H19=TODAY(),"今日到期","按期"))))</f>
        <v/>
      </c>
    </row>
    <row r="20" ht="56" customHeight="1">
      <c r="A20" s="27" t="inlineStr">
        <is>
          <t>A-20260921-16</t>
        </is>
      </c>
      <c r="B20" s="28" t="n">
        <v>46286</v>
      </c>
      <c r="C20" s="29" t="inlineStr">
        <is>
          <t>张俊峰</t>
        </is>
      </c>
      <c r="D20" s="30" t="inlineStr">
        <is>
          <t>采购到货</t>
        </is>
      </c>
      <c r="E20" s="29" t="inlineStr">
        <is>
          <t>总台账先出既有项，再补客户新加项和厂家新识别项。</t>
        </is>
      </c>
      <c r="F20" s="29" t="inlineStr">
        <is>
          <t>新旧项可区分。</t>
        </is>
      </c>
      <c r="G20" s="27" t="inlineStr">
        <is>
          <t>宋金柱</t>
        </is>
      </c>
      <c r="H20" s="28" t="n">
        <v>46286</v>
      </c>
      <c r="I20" s="27" t="inlineStr">
        <is>
          <t>未开始</t>
        </is>
      </c>
      <c r="J20" s="30" t="inlineStr">
        <is>
          <t>高</t>
        </is>
      </c>
      <c r="K20" s="29" t="inlineStr">
        <is>
          <t>2026-09-21：与 A-11 联动。</t>
        </is>
      </c>
      <c r="L20" s="28" t="n">
        <v>46286</v>
      </c>
      <c r="M20" s="29" t="inlineStr">
        <is>
          <t>2026-09-21 部署会</t>
        </is>
      </c>
      <c r="N20" s="30">
        <f>IF(OR(I20="已完成",I20="取消"),"—",IF(H20="",IF(I20="阻塞","逾期","—"),IF(H20&lt;TODAY(),"逾期",IF(H20=TODAY(),"今日到期","按期"))))</f>
        <v/>
      </c>
    </row>
    <row r="21" ht="56" customHeight="1">
      <c r="A21" s="31" t="inlineStr">
        <is>
          <t>A-20260921-17</t>
        </is>
      </c>
      <c r="B21" s="32" t="n">
        <v>46286</v>
      </c>
      <c r="C21" s="33" t="inlineStr">
        <is>
          <t>张俊峰</t>
        </is>
      </c>
      <c r="D21" s="34" t="inlineStr">
        <is>
          <t>综合协调</t>
        </is>
      </c>
      <c r="E21" s="33" t="inlineStr">
        <is>
          <t>每日 19:00 改造沟通会（可线上）；周一早晨约 30 分钟同步。</t>
        </is>
      </c>
      <c r="F21" s="33" t="inlineStr">
        <is>
          <t>会议召开，当日行动有进展。</t>
        </is>
      </c>
      <c r="G21" s="31" t="inlineStr">
        <is>
          <t>张俊峰</t>
        </is>
      </c>
      <c r="H21" s="32" t="n">
        <v>46286</v>
      </c>
      <c r="I21" s="31" t="inlineStr">
        <is>
          <t>进行中</t>
        </is>
      </c>
      <c r="J21" s="34" t="inlineStr">
        <is>
          <t>中</t>
        </is>
      </c>
      <c r="K21" s="33" t="inlineStr">
        <is>
          <t>2026-09-21：总指挥要求全员参加。初稿写「德鹏组织」未再核实，主责记总指挥。</t>
        </is>
      </c>
      <c r="L21" s="32" t="n">
        <v>46286</v>
      </c>
      <c r="M21" s="33" t="inlineStr">
        <is>
          <t>2026-09-21 部署会</t>
        </is>
      </c>
      <c r="N21" s="34">
        <f>IF(OR(I21="已完成",I21="取消"),"—",IF(H21="",IF(I21="阻塞","逾期","—"),IF(H21&lt;TODAY(),"逾期",IF(H21=TODAY(),"今日到期","按期"))))</f>
        <v/>
      </c>
    </row>
    <row r="22" ht="56" customHeight="1">
      <c r="A22" s="27" t="inlineStr">
        <is>
          <t>A-20260921-18</t>
        </is>
      </c>
      <c r="B22" s="28" t="n">
        <v>46286</v>
      </c>
      <c r="C22" s="29" t="inlineStr">
        <is>
          <t>张俊峰</t>
        </is>
      </c>
      <c r="D22" s="30" t="inlineStr">
        <is>
          <t>综合协调</t>
        </is>
      </c>
      <c r="E22" s="29" t="inlineStr">
        <is>
          <t>郭泽鹏 50% 精力投入整改，今日跟王志恒和厂家完成车间勘察跟踪。</t>
        </is>
      </c>
      <c r="F22" s="29" t="inlineStr">
        <is>
          <t>现场有跟，不代替王志恒出清单。</t>
        </is>
      </c>
      <c r="G22" s="27" t="inlineStr">
        <is>
          <t>郭泽鹏</t>
        </is>
      </c>
      <c r="H22" s="28" t="n">
        <v>46286</v>
      </c>
      <c r="I22" s="27" t="inlineStr">
        <is>
          <t>未开始</t>
        </is>
      </c>
      <c r="J22" s="30" t="inlineStr">
        <is>
          <t>中</t>
        </is>
      </c>
      <c r="K22" s="29" t="inlineStr">
        <is>
          <t>2026-09-21：总指挥明确是配合和学习，不是三个片段总协调。</t>
        </is>
      </c>
      <c r="L22" s="28" t="n">
        <v>46286</v>
      </c>
      <c r="M22" s="29" t="inlineStr">
        <is>
          <t>2026-09-21 部署会</t>
        </is>
      </c>
      <c r="N22" s="30">
        <f>IF(OR(I22="已完成",I22="取消"),"—",IF(H22="",IF(I22="阻塞","逾期","—"),IF(H22&lt;TODAY(),"逾期",IF(H22=TODAY(),"今日到期","按期"))))</f>
        <v/>
      </c>
    </row>
    <row r="23" ht="56" customHeight="1">
      <c r="A23" s="27" t="inlineStr">
        <is>
          <t>A-20260921-19</t>
        </is>
      </c>
      <c r="B23" s="28" t="n">
        <v>46286</v>
      </c>
      <c r="C23" s="29" t="inlineStr">
        <is>
          <t>张俊峰</t>
        </is>
      </c>
      <c r="D23" s="30" t="inlineStr">
        <is>
          <t>设计方案</t>
        </is>
      </c>
      <c r="E23" s="29" t="inlineStr">
        <is>
          <t>10 月中下旬前完成设计并报客户敲定，避免边改边设计。</t>
        </is>
      </c>
      <c r="F23" s="29" t="inlineStr">
        <is>
          <t>客户确认方案。</t>
        </is>
      </c>
      <c r="G23" s="27" t="inlineStr">
        <is>
          <t>王志恒</t>
        </is>
      </c>
      <c r="H23" s="28" t="n">
        <v>46315</v>
      </c>
      <c r="I23" s="27" t="inlineStr">
        <is>
          <t>未开始</t>
        </is>
      </c>
      <c r="J23" s="30" t="inlineStr">
        <is>
          <t>高</t>
        </is>
      </c>
      <c r="K23" s="29" t="inlineStr">
        <is>
          <t>2026-09-21：IEPE 王志恒、张国睿整体负责。截止日期 10/20 为纪要推断，待核实。</t>
        </is>
      </c>
      <c r="L23" s="28" t="n">
        <v>46286</v>
      </c>
      <c r="M23" s="29" t="inlineStr">
        <is>
          <t>2026-09-21 部署会</t>
        </is>
      </c>
      <c r="N23" s="30">
        <f>IF(OR(I23="已完成",I23="取消"),"—",IF(H23="",IF(I23="阻塞","逾期","—"),IF(H23&lt;TODAY(),"逾期",IF(H23=TODAY(),"今日到期","按期"))))</f>
        <v/>
      </c>
    </row>
    <row r="24" ht="22" customHeight="1">
      <c r="A24" s="22" t="n"/>
      <c r="B24" s="39" t="n"/>
      <c r="C24" s="22" t="n"/>
      <c r="D24" s="22" t="n"/>
      <c r="E24" s="22" t="n"/>
      <c r="F24" s="22" t="n"/>
      <c r="G24" s="22" t="n"/>
      <c r="H24" s="39" t="n"/>
      <c r="I24" s="22" t="n"/>
      <c r="J24" s="22" t="n"/>
      <c r="K24" s="22" t="n"/>
      <c r="L24" s="39" t="n"/>
      <c r="M24" s="22" t="n"/>
      <c r="N24" s="22">
        <f>IF(OR(I24="",I24="已完成",I24="取消"),IF(I24="","","—"),IF(H24="",IF(I24="阻塞","逾期","—"),IF(H24&lt;TODAY(),"逾期",IF(H24=TODAY(),"今日到期","按期"))))</f>
        <v/>
      </c>
    </row>
    <row r="25" ht="22" customHeight="1">
      <c r="A25" s="22" t="n"/>
      <c r="B25" s="39" t="n"/>
      <c r="C25" s="22" t="n"/>
      <c r="D25" s="22" t="n"/>
      <c r="E25" s="22" t="n"/>
      <c r="F25" s="22" t="n"/>
      <c r="G25" s="22" t="n"/>
      <c r="H25" s="39" t="n"/>
      <c r="I25" s="22" t="n"/>
      <c r="J25" s="22" t="n"/>
      <c r="K25" s="22" t="n"/>
      <c r="L25" s="39" t="n"/>
      <c r="M25" s="22" t="n"/>
      <c r="N25" s="22">
        <f>IF(OR(I25="",I25="已完成",I25="取消"),IF(I25="","","—"),IF(H25="",IF(I25="阻塞","逾期","—"),IF(H25&lt;TODAY(),"逾期",IF(H25=TODAY(),"今日到期","按期"))))</f>
        <v/>
      </c>
    </row>
    <row r="26" ht="22" customHeight="1">
      <c r="A26" s="22" t="n"/>
      <c r="B26" s="39" t="n"/>
      <c r="C26" s="22" t="n"/>
      <c r="D26" s="22" t="n"/>
      <c r="E26" s="22" t="n"/>
      <c r="F26" s="22" t="n"/>
      <c r="G26" s="22" t="n"/>
      <c r="H26" s="39" t="n"/>
      <c r="I26" s="22" t="n"/>
      <c r="J26" s="22" t="n"/>
      <c r="K26" s="22" t="n"/>
      <c r="L26" s="39" t="n"/>
      <c r="M26" s="22" t="n"/>
      <c r="N26" s="22">
        <f>IF(OR(I26="",I26="已完成",I26="取消"),IF(I26="","","—"),IF(H26="",IF(I26="阻塞","逾期","—"),IF(H26&lt;TODAY(),"逾期",IF(H26=TODAY(),"今日到期","按期"))))</f>
        <v/>
      </c>
    </row>
    <row r="27" ht="22" customHeight="1">
      <c r="A27" s="22" t="n"/>
      <c r="B27" s="39" t="n"/>
      <c r="C27" s="22" t="n"/>
      <c r="D27" s="22" t="n"/>
      <c r="E27" s="22" t="n"/>
      <c r="F27" s="22" t="n"/>
      <c r="G27" s="22" t="n"/>
      <c r="H27" s="39" t="n"/>
      <c r="I27" s="22" t="n"/>
      <c r="J27" s="22" t="n"/>
      <c r="K27" s="22" t="n"/>
      <c r="L27" s="39" t="n"/>
      <c r="M27" s="22" t="n"/>
      <c r="N27" s="22">
        <f>IF(OR(I27="",I27="已完成",I27="取消"),IF(I27="","","—"),IF(H27="",IF(I27="阻塞","逾期","—"),IF(H27&lt;TODAY(),"逾期",IF(H27=TODAY(),"今日到期","按期"))))</f>
        <v/>
      </c>
    </row>
    <row r="28" ht="22" customHeight="1">
      <c r="A28" s="22" t="n"/>
      <c r="B28" s="39" t="n"/>
      <c r="C28" s="22" t="n"/>
      <c r="D28" s="22" t="n"/>
      <c r="E28" s="22" t="n"/>
      <c r="F28" s="22" t="n"/>
      <c r="G28" s="22" t="n"/>
      <c r="H28" s="39" t="n"/>
      <c r="I28" s="22" t="n"/>
      <c r="J28" s="22" t="n"/>
      <c r="K28" s="22" t="n"/>
      <c r="L28" s="39" t="n"/>
      <c r="M28" s="22" t="n"/>
      <c r="N28" s="22">
        <f>IF(OR(I28="",I28="已完成",I28="取消"),IF(I28="","","—"),IF(H28="",IF(I28="阻塞","逾期","—"),IF(H28&lt;TODAY(),"逾期",IF(H28=TODAY(),"今日到期","按期"))))</f>
        <v/>
      </c>
    </row>
    <row r="29" ht="22" customHeight="1">
      <c r="A29" s="22" t="n"/>
      <c r="B29" s="39" t="n"/>
      <c r="C29" s="22" t="n"/>
      <c r="D29" s="22" t="n"/>
      <c r="E29" s="22" t="n"/>
      <c r="F29" s="22" t="n"/>
      <c r="G29" s="22" t="n"/>
      <c r="H29" s="39" t="n"/>
      <c r="I29" s="22" t="n"/>
      <c r="J29" s="22" t="n"/>
      <c r="K29" s="22" t="n"/>
      <c r="L29" s="39" t="n"/>
      <c r="M29" s="22" t="n"/>
      <c r="N29" s="22">
        <f>IF(OR(I29="",I29="已完成",I29="取消"),IF(I29="","","—"),IF(H29="",IF(I29="阻塞","逾期","—"),IF(H29&lt;TODAY(),"逾期",IF(H29=TODAY(),"今日到期","按期"))))</f>
        <v/>
      </c>
    </row>
    <row r="30" ht="22" customHeight="1">
      <c r="A30" s="22" t="n"/>
      <c r="B30" s="39" t="n"/>
      <c r="C30" s="22" t="n"/>
      <c r="D30" s="22" t="n"/>
      <c r="E30" s="22" t="n"/>
      <c r="F30" s="22" t="n"/>
      <c r="G30" s="22" t="n"/>
      <c r="H30" s="39" t="n"/>
      <c r="I30" s="22" t="n"/>
      <c r="J30" s="22" t="n"/>
      <c r="K30" s="22" t="n"/>
      <c r="L30" s="39" t="n"/>
      <c r="M30" s="22" t="n"/>
      <c r="N30" s="22">
        <f>IF(OR(I30="",I30="已完成",I30="取消"),IF(I30="","","—"),IF(H30="",IF(I30="阻塞","逾期","—"),IF(H30&lt;TODAY(),"逾期",IF(H30=TODAY(),"今日到期","按期"))))</f>
        <v/>
      </c>
    </row>
    <row r="31" ht="22" customHeight="1">
      <c r="A31" s="22" t="n"/>
      <c r="B31" s="39" t="n"/>
      <c r="C31" s="22" t="n"/>
      <c r="D31" s="22" t="n"/>
      <c r="E31" s="22" t="n"/>
      <c r="F31" s="22" t="n"/>
      <c r="G31" s="22" t="n"/>
      <c r="H31" s="39" t="n"/>
      <c r="I31" s="22" t="n"/>
      <c r="J31" s="22" t="n"/>
      <c r="K31" s="22" t="n"/>
      <c r="L31" s="39" t="n"/>
      <c r="M31" s="22" t="n"/>
      <c r="N31" s="22">
        <f>IF(OR(I31="",I31="已完成",I31="取消"),IF(I31="","","—"),IF(H31="",IF(I31="阻塞","逾期","—"),IF(H31&lt;TODAY(),"逾期",IF(H31=TODAY(),"今日到期","按期"))))</f>
        <v/>
      </c>
    </row>
    <row r="32" ht="22" customHeight="1">
      <c r="A32" s="22" t="n"/>
      <c r="B32" s="39" t="n"/>
      <c r="C32" s="22" t="n"/>
      <c r="D32" s="22" t="n"/>
      <c r="E32" s="22" t="n"/>
      <c r="F32" s="22" t="n"/>
      <c r="G32" s="22" t="n"/>
      <c r="H32" s="39" t="n"/>
      <c r="I32" s="22" t="n"/>
      <c r="J32" s="22" t="n"/>
      <c r="K32" s="22" t="n"/>
      <c r="L32" s="39" t="n"/>
      <c r="M32" s="22" t="n"/>
      <c r="N32" s="22">
        <f>IF(OR(I32="",I32="已完成",I32="取消"),IF(I32="","","—"),IF(H32="",IF(I32="阻塞","逾期","—"),IF(H32&lt;TODAY(),"逾期",IF(H32=TODAY(),"今日到期","按期"))))</f>
        <v/>
      </c>
    </row>
    <row r="33" ht="22" customHeight="1">
      <c r="A33" s="22" t="n"/>
      <c r="B33" s="39" t="n"/>
      <c r="C33" s="22" t="n"/>
      <c r="D33" s="22" t="n"/>
      <c r="E33" s="22" t="n"/>
      <c r="F33" s="22" t="n"/>
      <c r="G33" s="22" t="n"/>
      <c r="H33" s="39" t="n"/>
      <c r="I33" s="22" t="n"/>
      <c r="J33" s="22" t="n"/>
      <c r="K33" s="22" t="n"/>
      <c r="L33" s="39" t="n"/>
      <c r="M33" s="22" t="n"/>
      <c r="N33" s="22">
        <f>IF(OR(I33="",I33="已完成",I33="取消"),IF(I33="","","—"),IF(H33="",IF(I33="阻塞","逾期","—"),IF(H33&lt;TODAY(),"逾期",IF(H33=TODAY(),"今日到期","按期"))))</f>
        <v/>
      </c>
    </row>
    <row r="34" ht="22" customHeight="1">
      <c r="A34" s="22" t="n"/>
      <c r="B34" s="39" t="n"/>
      <c r="C34" s="22" t="n"/>
      <c r="D34" s="22" t="n"/>
      <c r="E34" s="22" t="n"/>
      <c r="F34" s="22" t="n"/>
      <c r="G34" s="22" t="n"/>
      <c r="H34" s="39" t="n"/>
      <c r="I34" s="22" t="n"/>
      <c r="J34" s="22" t="n"/>
      <c r="K34" s="22" t="n"/>
      <c r="L34" s="39" t="n"/>
      <c r="M34" s="22" t="n"/>
      <c r="N34" s="22">
        <f>IF(OR(I34="",I34="已完成",I34="取消"),IF(I34="","","—"),IF(H34="",IF(I34="阻塞","逾期","—"),IF(H34&lt;TODAY(),"逾期",IF(H34=TODAY(),"今日到期","按期"))))</f>
        <v/>
      </c>
    </row>
    <row r="35" ht="22" customHeight="1">
      <c r="A35" s="22" t="n"/>
      <c r="B35" s="39" t="n"/>
      <c r="C35" s="22" t="n"/>
      <c r="D35" s="22" t="n"/>
      <c r="E35" s="22" t="n"/>
      <c r="F35" s="22" t="n"/>
      <c r="G35" s="22" t="n"/>
      <c r="H35" s="39" t="n"/>
      <c r="I35" s="22" t="n"/>
      <c r="J35" s="22" t="n"/>
      <c r="K35" s="22" t="n"/>
      <c r="L35" s="39" t="n"/>
      <c r="M35" s="22" t="n"/>
      <c r="N35" s="22">
        <f>IF(OR(I35="",I35="已完成",I35="取消"),IF(I35="","","—"),IF(H35="",IF(I35="阻塞","逾期","—"),IF(H35&lt;TODAY(),"逾期",IF(H35=TODAY(),"今日到期","按期"))))</f>
        <v/>
      </c>
    </row>
    <row r="36" ht="22" customHeight="1">
      <c r="A36" s="22" t="n"/>
      <c r="B36" s="39" t="n"/>
      <c r="C36" s="22" t="n"/>
      <c r="D36" s="22" t="n"/>
      <c r="E36" s="22" t="n"/>
      <c r="F36" s="22" t="n"/>
      <c r="G36" s="22" t="n"/>
      <c r="H36" s="39" t="n"/>
      <c r="I36" s="22" t="n"/>
      <c r="J36" s="22" t="n"/>
      <c r="K36" s="22" t="n"/>
      <c r="L36" s="39" t="n"/>
      <c r="M36" s="22" t="n"/>
      <c r="N36" s="22">
        <f>IF(OR(I36="",I36="已完成",I36="取消"),IF(I36="","","—"),IF(H36="",IF(I36="阻塞","逾期","—"),IF(H36&lt;TODAY(),"逾期",IF(H36=TODAY(),"今日到期","按期"))))</f>
        <v/>
      </c>
    </row>
    <row r="37" ht="22" customHeight="1">
      <c r="A37" s="22" t="n"/>
      <c r="B37" s="39" t="n"/>
      <c r="C37" s="22" t="n"/>
      <c r="D37" s="22" t="n"/>
      <c r="E37" s="22" t="n"/>
      <c r="F37" s="22" t="n"/>
      <c r="G37" s="22" t="n"/>
      <c r="H37" s="39" t="n"/>
      <c r="I37" s="22" t="n"/>
      <c r="J37" s="22" t="n"/>
      <c r="K37" s="22" t="n"/>
      <c r="L37" s="39" t="n"/>
      <c r="M37" s="22" t="n"/>
      <c r="N37" s="22">
        <f>IF(OR(I37="",I37="已完成",I37="取消"),IF(I37="","","—"),IF(H37="",IF(I37="阻塞","逾期","—"),IF(H37&lt;TODAY(),"逾期",IF(H37=TODAY(),"今日到期","按期"))))</f>
        <v/>
      </c>
    </row>
    <row r="38" ht="22" customHeight="1">
      <c r="A38" s="22" t="n"/>
      <c r="B38" s="39" t="n"/>
      <c r="C38" s="22" t="n"/>
      <c r="D38" s="22" t="n"/>
      <c r="E38" s="22" t="n"/>
      <c r="F38" s="22" t="n"/>
      <c r="G38" s="22" t="n"/>
      <c r="H38" s="39" t="n"/>
      <c r="I38" s="22" t="n"/>
      <c r="J38" s="22" t="n"/>
      <c r="K38" s="22" t="n"/>
      <c r="L38" s="39" t="n"/>
      <c r="M38" s="22" t="n"/>
      <c r="N38" s="22">
        <f>IF(OR(I38="",I38="已完成",I38="取消"),IF(I38="","","—"),IF(H38="",IF(I38="阻塞","逾期","—"),IF(H38&lt;TODAY(),"逾期",IF(H38=TODAY(),"今日到期","按期"))))</f>
        <v/>
      </c>
    </row>
  </sheetData>
  <autoFilter ref="A4:N38">
    <sortState ref="A4:N38">
      <sortCondition descending="0" ref="H5"/>
    </sortState>
  </autoFilter>
  <mergeCells count="2">
    <mergeCell ref="A1:N2"/>
    <mergeCell ref="A3:N3"/>
  </mergeCells>
  <conditionalFormatting sqref="I5:I38">
    <cfRule type="cellIs" priority="1" operator="equal" dxfId="0">
      <formula>"未开始"</formula>
    </cfRule>
    <cfRule type="cellIs" priority="2" operator="equal" dxfId="1">
      <formula>"进行中"</formula>
    </cfRule>
    <cfRule type="cellIs" priority="3" operator="equal" dxfId="2">
      <formula>"阻塞"</formula>
    </cfRule>
    <cfRule type="cellIs" priority="4" operator="equal" dxfId="3">
      <formula>"已完成"</formula>
    </cfRule>
    <cfRule type="cellIs" priority="5" operator="equal" dxfId="4">
      <formula>"取消"</formula>
    </cfRule>
  </conditionalFormatting>
  <conditionalFormatting sqref="J5:J38">
    <cfRule type="cellIs" priority="6" operator="equal" dxfId="5">
      <formula>"高"</formula>
    </cfRule>
    <cfRule type="cellIs" priority="7" operator="equal" dxfId="6">
      <formula>"中"</formula>
    </cfRule>
    <cfRule type="cellIs" priority="8" operator="equal" dxfId="7">
      <formula>"低"</formula>
    </cfRule>
  </conditionalFormatting>
  <conditionalFormatting sqref="N5:N38">
    <cfRule type="cellIs" priority="9" operator="equal" dxfId="2">
      <formula>"逾期"</formula>
    </cfRule>
    <cfRule type="cellIs" priority="10" operator="equal" dxfId="8">
      <formula>"今日到期"</formula>
    </cfRule>
    <cfRule type="cellIs" priority="11" operator="equal" dxfId="9">
      <formula>"按期"</formula>
    </cfRule>
    <cfRule type="cellIs" priority="12" operator="equal" dxfId="10">
      <formula>"—"</formula>
    </cfRule>
  </conditionalFormatting>
  <dataValidations count="3">
    <dataValidation sqref="I5:I38" showDropDown="0" showInputMessage="0" showErrorMessage="0" allowBlank="1" errorTitle="状态" error="请选：未开始 / 进行中 / 阻塞 / 已完成 / 取消" promptTitle="状态" prompt="选择状态" type="list">
      <formula1>"未开始,进行中,阻塞,已完成,取消"</formula1>
    </dataValidation>
    <dataValidation sqref="J5:J38" showDropDown="0" showInputMessage="0" showErrorMessage="0" allowBlank="1" type="list">
      <formula1>"高,中,低"</formula1>
    </dataValidation>
    <dataValidation sqref="D5:D38" showDropDown="0" showInputMessage="0" showErrorMessage="0" allowBlank="1" type="list">
      <formula1>"制备配液,超滤,沉淀,采购到货,设计方案,QA质量,客户沟通,综合协调"</formula1>
    </dataValidation>
  </dataValidations>
  <pageMargins left="0.4" right="0.4" top="0.5" bottom="0.5" header="0.5" footer="0.5"/>
  <pageSetup orientation="landscape" paperSize="8" fitToHeight="0" fitToWidth="1"/>
  <headerFooter>
    <oddHeader>&amp;L&amp;B POA 改造行动项总账</oddHeader>
    <oddFooter>&amp;L内部 · 只追加进展，不删历史行&amp;R&amp;P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D6D7E"/>
    <outlinePr summaryBelow="1" summaryRight="1"/>
    <pageSetUpPr fitToPage="1"/>
  </sheetPr>
  <dimension ref="A1:G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48" customWidth="1" min="4" max="4"/>
    <col width="14" customWidth="1" min="5" max="5"/>
    <col width="22" customWidth="1" min="6" max="6"/>
    <col width="18" customWidth="1" min="7" max="7"/>
  </cols>
  <sheetData>
    <row r="1" ht="22" customHeight="1">
      <c r="A1" s="40" t="inlineStr">
        <is>
          <t>2026-09-21 部署会快照（模板列）· 主跟踪请回「行动项总账」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2" t="n"/>
      <c r="B2" s="2" t="n"/>
      <c r="C2" s="2" t="n"/>
      <c r="D2" s="2" t="n"/>
      <c r="E2" s="2" t="n"/>
      <c r="F2" s="2" t="n"/>
      <c r="G2" s="2" t="n"/>
    </row>
    <row r="3" ht="32" customHeight="1">
      <c r="A3" s="26" t="inlineStr">
        <is>
          <t>日期
Date</t>
        </is>
      </c>
      <c r="B3" s="26" t="inlineStr">
        <is>
          <t>议题提出方
Issue Originator</t>
        </is>
      </c>
      <c r="C3" s="26" t="inlineStr">
        <is>
          <t>会议主题内容
Meeting Theme and Content</t>
        </is>
      </c>
      <c r="D3" s="26" t="inlineStr">
        <is>
          <t>进展
Progress</t>
        </is>
      </c>
      <c r="E3" s="26" t="inlineStr">
        <is>
          <t>是否完成
Completed or not</t>
        </is>
      </c>
      <c r="F3" s="26" t="inlineStr">
        <is>
          <t>负责人
Person in charge</t>
        </is>
      </c>
      <c r="G3" s="26" t="inlineStr">
        <is>
          <t>对应总账 ID
Register ID</t>
        </is>
      </c>
    </row>
    <row r="4" ht="48" customHeight="1">
      <c r="A4" s="41" t="n">
        <v>46286</v>
      </c>
      <c r="B4" s="22" t="inlineStr">
        <is>
          <t>张俊峰</t>
        </is>
      </c>
      <c r="C4" s="22" t="inlineStr">
        <is>
          <t>打印改造事项清单；与东富龙技术员逐管路、逐设备过制备配液和超滤，缺项补进同一清单。</t>
        </is>
      </c>
      <c r="D4" s="22">
        <f>IFERROR(INDEX('行动项总账'!$K:$K,MATCH(G4,'行动项总账'!$A:$A,0)),"")</f>
        <v/>
      </c>
      <c r="E4" s="42">
        <f>IFERROR(IF(INDEX('行动项总账'!$I:$I,MATCH(G4,'行动项总账'!$A:$A,0))="已完成","YES",IF(INDEX('行动项总账'!$I:$I,MATCH(G4,'行动项总账'!$A:$A,0))="阻塞","BLOCKED","NO")),"NO")</f>
        <v/>
      </c>
      <c r="F4" s="43">
        <f>IFERROR(INDEX('行动项总账'!$G:$G,MATCH(G4,'行动项总账'!$A:$A,0)),"王志恒")</f>
        <v/>
      </c>
      <c r="G4" s="42" t="inlineStr">
        <is>
          <t>A-20260921-01</t>
        </is>
      </c>
    </row>
    <row r="5" ht="48" customHeight="1">
      <c r="A5" s="44" t="n">
        <v>46286</v>
      </c>
      <c r="B5" s="20" t="inlineStr">
        <is>
          <t>张俊峰</t>
        </is>
      </c>
      <c r="C5" s="20" t="inlineStr">
        <is>
          <t>负责制备配液和制备工序整改；今日跟王志恒、东富龙走现场并跟踪本片段。</t>
        </is>
      </c>
      <c r="D5" s="20">
        <f>IFERROR(INDEX('行动项总账'!$K:$K,MATCH(G5,'行动项总账'!$A:$A,0)),"")</f>
        <v/>
      </c>
      <c r="E5" s="45">
        <f>IFERROR(IF(INDEX('行动项总账'!$I:$I,MATCH(G5,'行动项总账'!$A:$A,0))="已完成","YES",IF(INDEX('行动项总账'!$I:$I,MATCH(G5,'行动项总账'!$A:$A,0))="阻塞","BLOCKED","NO")),"NO")</f>
        <v/>
      </c>
      <c r="F5" s="46">
        <f>IFERROR(INDEX('行动项总账'!$G:$G,MATCH(G5,'行动项总账'!$A:$A,0)),"皮轶杰")</f>
        <v/>
      </c>
      <c r="G5" s="45" t="inlineStr">
        <is>
          <t>A-20260921-02</t>
        </is>
      </c>
    </row>
    <row r="6" ht="48" customHeight="1">
      <c r="A6" s="41" t="n">
        <v>46286</v>
      </c>
      <c r="B6" s="22" t="inlineStr">
        <is>
          <t>张俊峰</t>
        </is>
      </c>
      <c r="C6" s="22" t="inlineStr">
        <is>
          <t>负责超滤工序整改；今日跟王志恒、东富龙走现场并记录缺项。</t>
        </is>
      </c>
      <c r="D6" s="22">
        <f>IFERROR(INDEX('行动项总账'!$K:$K,MATCH(G6,'行动项总账'!$A:$A,0)),"")</f>
        <v/>
      </c>
      <c r="E6" s="42">
        <f>IFERROR(IF(INDEX('行动项总账'!$I:$I,MATCH(G6,'行动项总账'!$A:$A,0))="已完成","YES",IF(INDEX('行动项总账'!$I:$I,MATCH(G6,'行动项总账'!$A:$A,0))="阻塞","BLOCKED","NO")),"NO")</f>
        <v/>
      </c>
      <c r="F6" s="43">
        <f>IFERROR(INDEX('行动项总账'!$G:$G,MATCH(G6,'行动项总账'!$A:$A,0)),"张冬")</f>
        <v/>
      </c>
      <c r="G6" s="42" t="inlineStr">
        <is>
          <t>A-20260921-03</t>
        </is>
      </c>
    </row>
    <row r="7" ht="48" customHeight="1">
      <c r="A7" s="44" t="n">
        <v>46286</v>
      </c>
      <c r="B7" s="20" t="inlineStr">
        <is>
          <t>张俊峰</t>
        </is>
      </c>
      <c r="C7" s="20" t="inlineStr">
        <is>
          <t>负责沉淀工序整改；13:00 跟王志恒、亚光过沉淀区域。</t>
        </is>
      </c>
      <c r="D7" s="20">
        <f>IFERROR(INDEX('行动项总账'!$K:$K,MATCH(G7,'行动项总账'!$A:$A,0)),"")</f>
        <v/>
      </c>
      <c r="E7" s="45">
        <f>IFERROR(IF(INDEX('行动项总账'!$I:$I,MATCH(G7,'行动项总账'!$A:$A,0))="已完成","YES",IF(INDEX('行动项总账'!$I:$I,MATCH(G7,'行动项总账'!$A:$A,0))="阻塞","BLOCKED","NO")),"NO")</f>
        <v/>
      </c>
      <c r="F7" s="46">
        <f>IFERROR(INDEX('行动项总账'!$G:$G,MATCH(G7,'行动项总账'!$A:$A,0)),"韩瑞衡")</f>
        <v/>
      </c>
      <c r="G7" s="45" t="inlineStr">
        <is>
          <t>A-20260921-04</t>
        </is>
      </c>
    </row>
    <row r="8" ht="48" customHeight="1">
      <c r="A8" s="41" t="n">
        <v>46286</v>
      </c>
      <c r="B8" s="22" t="inlineStr">
        <is>
          <t>张俊峰</t>
        </is>
      </c>
      <c r="C8" s="22" t="inlineStr">
        <is>
          <t>梳理客户来访全部问题，核三个片段涉及整改的内容是否都举一反三、都有整改要求。</t>
        </is>
      </c>
      <c r="D8" s="22">
        <f>IFERROR(INDEX('行动项总账'!$K:$K,MATCH(G8,'行动项总账'!$A:$A,0)),"")</f>
        <v/>
      </c>
      <c r="E8" s="42">
        <f>IFERROR(IF(INDEX('行动项总账'!$I:$I,MATCH(G8,'行动项总账'!$A:$A,0))="已完成","YES",IF(INDEX('行动项总账'!$I:$I,MATCH(G8,'行动项总账'!$A:$A,0))="阻塞","BLOCKED","NO")),"NO")</f>
        <v/>
      </c>
      <c r="F8" s="43">
        <f>IFERROR(INDEX('行动项总账'!$G:$G,MATCH(G8,'行动项总账'!$A:$A,0)),"范兴涛")</f>
        <v/>
      </c>
      <c r="G8" s="42" t="inlineStr">
        <is>
          <t>A-20260921-05</t>
        </is>
      </c>
    </row>
    <row r="9" ht="48" customHeight="1">
      <c r="A9" s="44" t="n">
        <v>46286</v>
      </c>
      <c r="B9" s="20" t="inlineStr">
        <is>
          <t>张俊峰</t>
        </is>
      </c>
      <c r="C9" s="20" t="inlineStr">
        <is>
          <t>对接东富龙，下午交出利旧与推倒重建两套方案的时间/事项对比。</t>
        </is>
      </c>
      <c r="D9" s="20">
        <f>IFERROR(INDEX('行动项总账'!$K:$K,MATCH(G9,'行动项总账'!$A:$A,0)),"")</f>
        <v/>
      </c>
      <c r="E9" s="45">
        <f>IFERROR(IF(INDEX('行动项总账'!$I:$I,MATCH(G9,'行动项总账'!$A:$A,0))="已完成","YES",IF(INDEX('行动项总账'!$I:$I,MATCH(G9,'行动项总账'!$A:$A,0))="阻塞","BLOCKED","NO")),"NO")</f>
        <v/>
      </c>
      <c r="F9" s="46">
        <f>IFERROR(INDEX('行动项总账'!$G:$G,MATCH(G9,'行动项总账'!$A:$A,0)),"王志恒")</f>
        <v/>
      </c>
      <c r="G9" s="45" t="inlineStr">
        <is>
          <t>A-20260921-06</t>
        </is>
      </c>
    </row>
    <row r="10" ht="48" customHeight="1">
      <c r="A10" s="41" t="n">
        <v>46286</v>
      </c>
      <c r="B10" s="22" t="inlineStr">
        <is>
          <t>张俊峰</t>
        </is>
      </c>
      <c r="C10" s="22" t="inlineStr">
        <is>
          <t>13:00 与亚光技术员梳理沉淀区域整改项，更新同一份改造清单。</t>
        </is>
      </c>
      <c r="D10" s="22">
        <f>IFERROR(INDEX('行动项总账'!$K:$K,MATCH(G10,'行动项总账'!$A:$A,0)),"")</f>
        <v/>
      </c>
      <c r="E10" s="42">
        <f>IFERROR(IF(INDEX('行动项总账'!$I:$I,MATCH(G10,'行动项总账'!$A:$A,0))="已完成","YES",IF(INDEX('行动项总账'!$I:$I,MATCH(G10,'行动项总账'!$A:$A,0))="阻塞","BLOCKED","NO")),"NO")</f>
        <v/>
      </c>
      <c r="F10" s="43">
        <f>IFERROR(INDEX('行动项总账'!$G:$G,MATCH(G10,'行动项总账'!$A:$A,0)),"王志恒")</f>
        <v/>
      </c>
      <c r="G10" s="42" t="inlineStr">
        <is>
          <t>A-20260921-07</t>
        </is>
      </c>
    </row>
    <row r="11" ht="48" customHeight="1">
      <c r="A11" s="44" t="n">
        <v>46286</v>
      </c>
      <c r="B11" s="20" t="inlineStr">
        <is>
          <t>张俊峰</t>
        </is>
      </c>
      <c r="C11" s="20" t="inlineStr">
        <is>
          <t>汉邦到场后梳理事项并出方案，次日早上评审。</t>
        </is>
      </c>
      <c r="D11" s="20">
        <f>IFERROR(INDEX('行动项总账'!$K:$K,MATCH(G11,'行动项总账'!$A:$A,0)),"")</f>
        <v/>
      </c>
      <c r="E11" s="45">
        <f>IFERROR(IF(INDEX('行动项总账'!$I:$I,MATCH(G11,'行动项总账'!$A:$A,0))="已完成","YES",IF(INDEX('行动项总账'!$I:$I,MATCH(G11,'行动项总账'!$A:$A,0))="阻塞","BLOCKED","NO")),"NO")</f>
        <v/>
      </c>
      <c r="F11" s="46">
        <f>IFERROR(INDEX('行动项总账'!$G:$G,MATCH(G11,'行动项总账'!$A:$A,0)),"王志恒")</f>
        <v/>
      </c>
      <c r="G11" s="45" t="inlineStr">
        <is>
          <t>A-20260921-08</t>
        </is>
      </c>
    </row>
    <row r="12" ht="48" customHeight="1">
      <c r="A12" s="41" t="n">
        <v>46286</v>
      </c>
      <c r="B12" s="22" t="inlineStr">
        <is>
          <t>张俊峰</t>
        </is>
      </c>
      <c r="C12" s="22" t="inlineStr">
        <is>
          <t>三片段厂家方案与原方案合并为一套改造方案。</t>
        </is>
      </c>
      <c r="D12" s="22">
        <f>IFERROR(INDEX('行动项总账'!$K:$K,MATCH(G12,'行动项总账'!$A:$A,0)),"")</f>
        <v/>
      </c>
      <c r="E12" s="42">
        <f>IFERROR(IF(INDEX('行动项总账'!$I:$I,MATCH(G12,'行动项总账'!$A:$A,0))="已完成","YES",IF(INDEX('行动项总账'!$I:$I,MATCH(G12,'行动项总账'!$A:$A,0))="阻塞","BLOCKED","NO")),"NO")</f>
        <v/>
      </c>
      <c r="F12" s="43">
        <f>IFERROR(INDEX('行动项总账'!$G:$G,MATCH(G12,'行动项总账'!$A:$A,0)),"王志恒")</f>
        <v/>
      </c>
      <c r="G12" s="42" t="inlineStr">
        <is>
          <t>A-20260921-09</t>
        </is>
      </c>
    </row>
    <row r="13" ht="48" customHeight="1">
      <c r="A13" s="44" t="n">
        <v>46286</v>
      </c>
      <c r="B13" s="20" t="inlineStr">
        <is>
          <t>张俊峰</t>
        </is>
      </c>
      <c r="C13" s="20" t="inlineStr">
        <is>
          <t>配液利旧还是推倒，方案列出后报领导。</t>
        </is>
      </c>
      <c r="D13" s="20">
        <f>IFERROR(INDEX('行动项总账'!$K:$K,MATCH(G13,'行动项总账'!$A:$A,0)),"")</f>
        <v/>
      </c>
      <c r="E13" s="45">
        <f>IFERROR(IF(INDEX('行动项总账'!$I:$I,MATCH(G13,'行动项总账'!$A:$A,0))="已完成","YES",IF(INDEX('行动项总账'!$I:$I,MATCH(G13,'行动项总账'!$A:$A,0))="阻塞","BLOCKED","NO")),"NO")</f>
        <v/>
      </c>
      <c r="F13" s="46">
        <f>IFERROR(INDEX('行动项总账'!$G:$G,MATCH(G13,'行动项总账'!$A:$A,0)),"张俊峰")</f>
        <v/>
      </c>
      <c r="G13" s="45" t="inlineStr">
        <is>
          <t>A-20260921-10</t>
        </is>
      </c>
    </row>
    <row r="14" ht="48" customHeight="1">
      <c r="A14" s="41" t="n">
        <v>46286</v>
      </c>
      <c r="B14" s="22" t="inlineStr">
        <is>
          <t>张俊峰</t>
        </is>
      </c>
      <c r="C14" s="22" t="inlineStr">
        <is>
          <t>交出 139788 项目采购总台账，三类写清：已下单采买、询价中、尚未采购。</t>
        </is>
      </c>
      <c r="D14" s="22">
        <f>IFERROR(INDEX('行动项总账'!$K:$K,MATCH(G14,'行动项总账'!$A:$A,0)),"")</f>
        <v/>
      </c>
      <c r="E14" s="42">
        <f>IFERROR(IF(INDEX('行动项总账'!$I:$I,MATCH(G14,'行动项总账'!$A:$A,0))="已完成","YES",IF(INDEX('行动项总账'!$I:$I,MATCH(G14,'行动项总账'!$A:$A,0))="阻塞","BLOCKED","NO")),"NO")</f>
        <v/>
      </c>
      <c r="F14" s="43">
        <f>IFERROR(INDEX('行动项总账'!$G:$G,MATCH(G14,'行动项总账'!$A:$A,0)),"宋金柱")</f>
        <v/>
      </c>
      <c r="G14" s="42" t="inlineStr">
        <is>
          <t>A-20260921-11</t>
        </is>
      </c>
    </row>
    <row r="15" ht="48" customHeight="1">
      <c r="A15" s="44" t="n">
        <v>46286</v>
      </c>
      <c r="B15" s="20" t="inlineStr">
        <is>
          <t>张俊峰</t>
        </is>
      </c>
      <c r="C15" s="20" t="inlineStr">
        <is>
          <t>冯毅、田子才每日在群里上报采购与到货进展。</t>
        </is>
      </c>
      <c r="D15" s="20">
        <f>IFERROR(INDEX('行动项总账'!$K:$K,MATCH(G15,'行动项总账'!$A:$A,0)),"")</f>
        <v/>
      </c>
      <c r="E15" s="45">
        <f>IFERROR(IF(INDEX('行动项总账'!$I:$I,MATCH(G15,'行动项总账'!$A:$A,0))="已完成","YES",IF(INDEX('行动项总账'!$I:$I,MATCH(G15,'行动项总账'!$A:$A,0))="阻塞","BLOCKED","NO")),"NO")</f>
        <v/>
      </c>
      <c r="F15" s="46">
        <f>IFERROR(INDEX('行动项总账'!$G:$G,MATCH(G15,'行动项总账'!$A:$A,0)),"冯毅")</f>
        <v/>
      </c>
      <c r="G15" s="45" t="inlineStr">
        <is>
          <t>A-20260921-12</t>
        </is>
      </c>
    </row>
    <row r="16" ht="48" customHeight="1">
      <c r="A16" s="41" t="n">
        <v>46286</v>
      </c>
      <c r="B16" s="22" t="inlineStr">
        <is>
          <t>张俊峰</t>
        </is>
      </c>
      <c r="C16" s="22" t="inlineStr">
        <is>
          <t>湿氮气擦净、消毒、中午前转移至 AFD（三合一）后侧。</t>
        </is>
      </c>
      <c r="D16" s="22">
        <f>IFERROR(INDEX('行动项总账'!$K:$K,MATCH(G16,'行动项总账'!$A:$A,0)),"")</f>
        <v/>
      </c>
      <c r="E16" s="42">
        <f>IFERROR(IF(INDEX('行动项总账'!$I:$I,MATCH(G16,'行动项总账'!$A:$A,0))="已完成","YES",IF(INDEX('行动项总账'!$I:$I,MATCH(G16,'行动项总账'!$A:$A,0))="阻塞","BLOCKED","NO")),"NO")</f>
        <v/>
      </c>
      <c r="F16" s="43">
        <f>IFERROR(INDEX('行动项总账'!$G:$G,MATCH(G16,'行动项总账'!$A:$A,0)),"郭泽鹏")</f>
        <v/>
      </c>
      <c r="G16" s="42" t="inlineStr">
        <is>
          <t>A-20260921-13</t>
        </is>
      </c>
    </row>
    <row r="17" ht="48" customHeight="1">
      <c r="A17" s="44" t="n">
        <v>46286</v>
      </c>
      <c r="B17" s="20" t="inlineStr">
        <is>
          <t>张俊峰</t>
        </is>
      </c>
      <c r="C17" s="20" t="inlineStr">
        <is>
          <t>到岗后与于总确认工作分工及下一步执行计划。</t>
        </is>
      </c>
      <c r="D17" s="20">
        <f>IFERROR(INDEX('行动项总账'!$K:$K,MATCH(G17,'行动项总账'!$A:$A,0)),"")</f>
        <v/>
      </c>
      <c r="E17" s="45">
        <f>IFERROR(IF(INDEX('行动项总账'!$I:$I,MATCH(G17,'行动项总账'!$A:$A,0))="已完成","YES",IF(INDEX('行动项总账'!$I:$I,MATCH(G17,'行动项总账'!$A:$A,0))="阻塞","BLOCKED","NO")),"NO")</f>
        <v/>
      </c>
      <c r="F17" s="46">
        <f>IFERROR(INDEX('行动项总账'!$G:$G,MATCH(G17,'行动项总账'!$A:$A,0)),"刘维江")</f>
        <v/>
      </c>
      <c r="G17" s="45" t="inlineStr">
        <is>
          <t>A-20260921-14</t>
        </is>
      </c>
    </row>
    <row r="18" ht="48" customHeight="1">
      <c r="A18" s="36" t="n">
        <v>46286</v>
      </c>
      <c r="B18" s="37" t="inlineStr">
        <is>
          <t>刘美佳</t>
        </is>
      </c>
      <c r="C18" s="37" t="inlineStr">
        <is>
          <t>向腾信压缩 D 区现有搅拌罐改口工期；达不成则把完不成节点报到中午沟通会。</t>
        </is>
      </c>
      <c r="D18" s="37">
        <f>IFERROR(INDEX('行动项总账'!$K:$K,MATCH(G18,'行动项总账'!$A:$A,0)),"")</f>
        <v/>
      </c>
      <c r="E18" s="35">
        <f>IFERROR(IF(INDEX('行动项总账'!$I:$I,MATCH(G18,'行动项总账'!$A:$A,0))="已完成","YES",IF(INDEX('行动项总账'!$I:$I,MATCH(G18,'行动项总账'!$A:$A,0))="阻塞","BLOCKED","NO")),"NO")</f>
        <v/>
      </c>
      <c r="F18" s="47">
        <f>IFERROR(INDEX('行动项总账'!$G:$G,MATCH(G18,'行动项总账'!$A:$A,0)),"刘美佳")</f>
        <v/>
      </c>
      <c r="G18" s="35" t="inlineStr">
        <is>
          <t>A-20260921-15</t>
        </is>
      </c>
    </row>
    <row r="19" ht="48" customHeight="1">
      <c r="A19" s="44" t="n">
        <v>46286</v>
      </c>
      <c r="B19" s="20" t="inlineStr">
        <is>
          <t>张俊峰</t>
        </is>
      </c>
      <c r="C19" s="20" t="inlineStr">
        <is>
          <t>总台账先出既有项，再补客户新加项和厂家新识别项。</t>
        </is>
      </c>
      <c r="D19" s="20">
        <f>IFERROR(INDEX('行动项总账'!$K:$K,MATCH(G19,'行动项总账'!$A:$A,0)),"")</f>
        <v/>
      </c>
      <c r="E19" s="45">
        <f>IFERROR(IF(INDEX('行动项总账'!$I:$I,MATCH(G19,'行动项总账'!$A:$A,0))="已完成","YES",IF(INDEX('行动项总账'!$I:$I,MATCH(G19,'行动项总账'!$A:$A,0))="阻塞","BLOCKED","NO")),"NO")</f>
        <v/>
      </c>
      <c r="F19" s="46">
        <f>IFERROR(INDEX('行动项总账'!$G:$G,MATCH(G19,'行动项总账'!$A:$A,0)),"宋金柱")</f>
        <v/>
      </c>
      <c r="G19" s="45" t="inlineStr">
        <is>
          <t>A-20260921-16</t>
        </is>
      </c>
    </row>
    <row r="20" ht="48" customHeight="1">
      <c r="A20" s="41" t="n">
        <v>46286</v>
      </c>
      <c r="B20" s="22" t="inlineStr">
        <is>
          <t>张俊峰</t>
        </is>
      </c>
      <c r="C20" s="22" t="inlineStr">
        <is>
          <t>每日 19:00 改造沟通会（可线上）；周一早晨约 30 分钟同步。</t>
        </is>
      </c>
      <c r="D20" s="22">
        <f>IFERROR(INDEX('行动项总账'!$K:$K,MATCH(G20,'行动项总账'!$A:$A,0)),"")</f>
        <v/>
      </c>
      <c r="E20" s="42">
        <f>IFERROR(IF(INDEX('行动项总账'!$I:$I,MATCH(G20,'行动项总账'!$A:$A,0))="已完成","YES",IF(INDEX('行动项总账'!$I:$I,MATCH(G20,'行动项总账'!$A:$A,0))="阻塞","BLOCKED","NO")),"NO")</f>
        <v/>
      </c>
      <c r="F20" s="43">
        <f>IFERROR(INDEX('行动项总账'!$G:$G,MATCH(G20,'行动项总账'!$A:$A,0)),"张俊峰")</f>
        <v/>
      </c>
      <c r="G20" s="42" t="inlineStr">
        <is>
          <t>A-20260921-17</t>
        </is>
      </c>
    </row>
    <row r="21" ht="48" customHeight="1">
      <c r="A21" s="44" t="n">
        <v>46286</v>
      </c>
      <c r="B21" s="20" t="inlineStr">
        <is>
          <t>张俊峰</t>
        </is>
      </c>
      <c r="C21" s="20" t="inlineStr">
        <is>
          <t>郭泽鹏 50% 精力投入整改，今日跟王志恒和厂家完成车间勘察跟踪。</t>
        </is>
      </c>
      <c r="D21" s="20">
        <f>IFERROR(INDEX('行动项总账'!$K:$K,MATCH(G21,'行动项总账'!$A:$A,0)),"")</f>
        <v/>
      </c>
      <c r="E21" s="45">
        <f>IFERROR(IF(INDEX('行动项总账'!$I:$I,MATCH(G21,'行动项总账'!$A:$A,0))="已完成","YES",IF(INDEX('行动项总账'!$I:$I,MATCH(G21,'行动项总账'!$A:$A,0))="阻塞","BLOCKED","NO")),"NO")</f>
        <v/>
      </c>
      <c r="F21" s="46">
        <f>IFERROR(INDEX('行动项总账'!$G:$G,MATCH(G21,'行动项总账'!$A:$A,0)),"郭泽鹏")</f>
        <v/>
      </c>
      <c r="G21" s="45" t="inlineStr">
        <is>
          <t>A-20260921-18</t>
        </is>
      </c>
    </row>
    <row r="22" ht="48" customHeight="1">
      <c r="A22" s="41" t="n">
        <v>46286</v>
      </c>
      <c r="B22" s="22" t="inlineStr">
        <is>
          <t>张俊峰</t>
        </is>
      </c>
      <c r="C22" s="22" t="inlineStr">
        <is>
          <t>10 月中下旬前完成设计并报客户敲定，避免边改边设计。</t>
        </is>
      </c>
      <c r="D22" s="22">
        <f>IFERROR(INDEX('行动项总账'!$K:$K,MATCH(G22,'行动项总账'!$A:$A,0)),"")</f>
        <v/>
      </c>
      <c r="E22" s="42">
        <f>IFERROR(IF(INDEX('行动项总账'!$I:$I,MATCH(G22,'行动项总账'!$A:$A,0))="已完成","YES",IF(INDEX('行动项总账'!$I:$I,MATCH(G22,'行动项总账'!$A:$A,0))="阻塞","BLOCKED","NO")),"NO")</f>
        <v/>
      </c>
      <c r="F22" s="43">
        <f>IFERROR(INDEX('行动项总账'!$G:$G,MATCH(G22,'行动项总账'!$A:$A,0)),"王志恒")</f>
        <v/>
      </c>
      <c r="G22" s="42" t="inlineStr">
        <is>
          <t>A-20260921-19</t>
        </is>
      </c>
    </row>
  </sheetData>
  <autoFilter ref="A3:G22">
    <filterColumn colId="4" hiddenButton="0" showButton="1">
      <filters blank="0">
        <filter val="NO"/>
        <filter val="BLOCKED"/>
      </filters>
    </filterColumn>
  </autoFilter>
  <mergeCells count="1">
    <mergeCell ref="A1:G2"/>
  </mergeCells>
  <pageMargins left="0.75" right="0.75" top="1" bottom="1" header="0.5" footer="0.5"/>
  <pageSetup orientation="landscape" paperSize="8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2" ht="28" customHeight="1">
      <c r="B2" s="48" t="inlineStr">
        <is>
          <t>与另一项目「行动项跟踪-0921-0928.xlsx」的对照</t>
        </is>
      </c>
      <c r="C2" s="2" t="n"/>
      <c r="D2" s="2" t="n"/>
      <c r="E2" s="2" t="n"/>
      <c r="F2" s="2" t="n"/>
    </row>
    <row r="4" ht="28" customHeight="1">
      <c r="B4" s="49" t="inlineStr">
        <is>
          <t>原模板</t>
        </is>
      </c>
      <c r="C4" s="49" t="inlineStr">
        <is>
          <t>本文件</t>
        </is>
      </c>
      <c r="D4" s="49" t="n"/>
      <c r="E4" s="49" t="n"/>
      <c r="F4" s="49" t="n"/>
    </row>
    <row r="5" ht="28" customHeight="1">
      <c r="B5" s="22" t="inlineStr">
        <is>
          <t>每个会议日期一张主表（0915、0907…）</t>
        </is>
      </c>
      <c r="C5" s="22" t="inlineStr">
        <is>
          <t>一张「行动项总账」跨会跟踪，日期表只作快照</t>
        </is>
      </c>
      <c r="D5" s="22" t="n"/>
      <c r="E5" s="22" t="n"/>
      <c r="F5" s="22" t="n"/>
    </row>
    <row r="6" ht="28" customHeight="1">
      <c r="B6" s="20" t="inlineStr">
        <is>
          <t>是否完成 = YES/空</t>
        </is>
      </c>
      <c r="C6" s="20" t="inlineStr">
        <is>
          <t>状态五档 + 交通灯公式，能看出逾期</t>
        </is>
      </c>
      <c r="D6" s="20" t="n"/>
      <c r="E6" s="20" t="n"/>
      <c r="F6" s="20" t="n"/>
    </row>
    <row r="7" ht="28" customHeight="1">
      <c r="B7" s="22" t="inlineStr">
        <is>
          <t>进展中英混写、越写越长</t>
        </is>
      </c>
      <c r="C7" s="22" t="inlineStr">
        <is>
          <t>中文为主；只追加带日期的一行</t>
        </is>
      </c>
      <c r="D7" s="22" t="n"/>
      <c r="E7" s="22" t="n"/>
      <c r="F7" s="22" t="n"/>
    </row>
    <row r="8" ht="28" customHeight="1">
      <c r="B8" s="20" t="inlineStr">
        <is>
          <t>无 ID，难引用</t>
        </is>
      </c>
      <c r="C8" s="20" t="inlineStr">
        <is>
          <t>A-YYYYMMDD-xx，纪要与 Excel 同一编号</t>
        </is>
      </c>
      <c r="D8" s="20" t="n"/>
      <c r="E8" s="20" t="n"/>
      <c r="F8" s="20" t="n"/>
    </row>
    <row r="9" ht="28" customHeight="1">
      <c r="B9" s="22" t="inlineStr">
        <is>
          <t>无片断 / 截止日期 / 优先级</t>
        </is>
      </c>
      <c r="C9" s="22" t="inlineStr">
        <is>
          <t>补齐片断、到期日、优先级、验收标准</t>
        </is>
      </c>
      <c r="D9" s="22" t="n"/>
      <c r="E9" s="22" t="n"/>
      <c r="F9" s="22" t="n"/>
    </row>
    <row r="10" ht="28" customHeight="1">
      <c r="B10" s="20" t="inlineStr">
        <is>
          <t>无总览</t>
        </is>
      </c>
      <c r="C10" s="20" t="inlineStr">
        <is>
          <t>总览卡片和片断统计全部用公式</t>
        </is>
      </c>
      <c r="D10" s="20" t="n"/>
      <c r="E10" s="20" t="n"/>
      <c r="F10" s="20" t="n"/>
    </row>
    <row r="11" ht="28" customHeight="1">
      <c r="B11" s="22" t="inlineStr">
        <is>
          <t>适合客户双语周会</t>
        </is>
      </c>
      <c r="C11" s="22" t="inlineStr">
        <is>
          <t>本项目先做内部执行账；对外稿另出</t>
        </is>
      </c>
      <c r="D11" s="22" t="n"/>
      <c r="E11" s="22" t="n"/>
      <c r="F11" s="22" t="n"/>
    </row>
    <row r="13">
      <c r="B13" s="18" t="inlineStr">
        <is>
          <t>每周更新建议：会后 2 小时内改总账（状态、截止日期、进展）。不要复制整行到新 sheet。关闭项留在表里，用筛选看未关闭。术语：三合一 = AFD（agitated filter dryer）。</t>
        </is>
      </c>
      <c r="C13" s="19" t="n"/>
      <c r="D13" s="19" t="n"/>
      <c r="E13" s="19" t="n"/>
      <c r="F13" s="19" t="n"/>
    </row>
    <row r="14">
      <c r="B14" s="19" t="n"/>
      <c r="C14" s="19" t="n"/>
      <c r="D14" s="19" t="n"/>
      <c r="E14" s="19" t="n"/>
      <c r="F14" s="19" t="n"/>
    </row>
    <row r="15">
      <c r="B15" s="19" t="n"/>
      <c r="C15" s="19" t="n"/>
      <c r="D15" s="19" t="n"/>
      <c r="E15" s="19" t="n"/>
      <c r="F15" s="19" t="n"/>
    </row>
    <row r="16">
      <c r="B16" s="19" t="n"/>
      <c r="C16" s="19" t="n"/>
      <c r="D16" s="19" t="n"/>
      <c r="E16" s="19" t="n"/>
      <c r="F16" s="19" t="n"/>
    </row>
  </sheetData>
  <mergeCells count="10">
    <mergeCell ref="C9:F9"/>
    <mergeCell ref="B2:F2"/>
    <mergeCell ref="C8:F8"/>
    <mergeCell ref="C4:F4"/>
    <mergeCell ref="C6:F6"/>
    <mergeCell ref="C7:F7"/>
    <mergeCell ref="C11:F11"/>
    <mergeCell ref="B13:F16"/>
    <mergeCell ref="C10:F10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2026-09-21T03:02:53Z</dcterms:created>
  <dcterms:modified xmlns:dcterms="http://purl.org/dc/terms/" xmlns:xsi="http://www.w3.org/2001/XMLSchema-instance" xsi:type="dcterms:W3CDTF">2026-09-21T03:02:53Z</dcterms:modified>
</cp:coreProperties>
</file>