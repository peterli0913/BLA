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P 批注" sheetId="1" state="visible" r:id="rId1"/>
    <sheet xmlns:r="http://schemas.openxmlformats.org/officeDocument/2006/relationships" name="已对齐或可关批注" sheetId="2" state="visible" r:id="rId2"/>
  </sheets>
  <definedNames>
    <definedName name="_xlnm._FilterDatabase" localSheetId="0" hidden="1">'CVP 批注'!$A$1:$F$19</definedName>
    <definedName name="_xlnm._FilterDatabase" localSheetId="1" hidden="1">'已对齐或可关批注'!$A$1:$E$4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34" customWidth="1" min="4" max="4"/>
    <col width="36" customWidth="1" min="5" max="5"/>
    <col width="92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内容（Word 中搜索）</t>
        </is>
      </c>
      <c r="F1" s="1" t="inlineStr">
        <is>
          <t>问题与改法</t>
        </is>
      </c>
    </row>
    <row r="2">
      <c r="A2" s="2" t="n">
        <v>1</v>
      </c>
      <c r="B2" s="2" t="inlineStr">
        <is>
          <t>与 CMa/CMb 不一致</t>
        </is>
      </c>
      <c r="C2" s="2" t="inlineStr">
        <is>
          <t>高</t>
        </is>
      </c>
      <c r="D2" s="2" t="inlineStr">
        <is>
          <t>表 6-10、表 6-19；CMa 的 124852 淋洗限度</t>
        </is>
      </c>
      <c r="E2" s="2" t="inlineStr">
        <is>
          <t>0.00867~0.00950</t>
        </is>
      </c>
      <c r="F2" s="2" t="inlineStr">
        <is>
          <t>CVP 两处都把 ASYM-124852 批次间淋洗限度写成 0.00867~0.00950 mg/mL，和 ASYM-140020 相同。CMa 写成 ≤0.000867~0.000950 mg/mL，差 10 倍。CMa 里 ASYM-140020 的限度还有多余的点：“≤.0.00062”“≤.0.00867”。回收率行把 level 写成 1evel。先确定哪一个数是方法学结果，再改另一份。</t>
        </is>
      </c>
    </row>
    <row r="3">
      <c r="A3" s="3" t="n">
        <v>2</v>
      </c>
      <c r="B3" s="3" t="inlineStr">
        <is>
          <t>与 CMa/CMb 不一致</t>
        </is>
      </c>
      <c r="C3" s="3" t="inlineStr">
        <is>
          <t>高</t>
        </is>
      </c>
      <c r="D3" s="3" t="inlineStr">
        <is>
          <t>表 6-19</t>
        </is>
      </c>
      <c r="E3" s="3" t="inlineStr">
        <is>
          <t>507.39μg /100cm2</t>
        </is>
      </c>
      <c r="F3" s="3" t="inlineStr">
        <is>
          <t>这张表只给了批次间的松限度：擦拭 507.39 μg/100cm²，淋洗 0.00867~0.00950 mg/mL。表 6-10 项目结束后是擦拭 36.03 μg/100cm²、淋洗 0.00062~0.00067 mg/mL。实验室若按表 6-19 放行，项目结束会松 10 倍以上。两套限度都写上，并标明用在批次间还是项目结束。μg 和 cm2 之间的空格也去掉。</t>
        </is>
      </c>
    </row>
    <row r="4">
      <c r="A4" s="2" t="n">
        <v>3</v>
      </c>
      <c r="B4" s="2" t="inlineStr">
        <is>
          <t>与 CMa/CMb 不一致</t>
        </is>
      </c>
      <c r="C4" s="2" t="inlineStr">
        <is>
          <t>高</t>
        </is>
      </c>
      <c r="D4" s="2" t="inlineStr">
        <is>
          <t>表 6-15 合成仪</t>
        </is>
      </c>
      <c r="E4" s="2" t="inlineStr">
        <is>
          <t>29.0~31.0kg</t>
        </is>
      </c>
      <c r="F4" s="2" t="inlineStr">
        <is>
          <t>CVP 把纯化水擦洗 29.0~31.0 kg 列为要记录的关键参数。CMa 的手动清洁是 110±5 kg 纯化水淋洗内壁和筛板，没有 29~31 kg 这一档。方案里有、清洁方法里没有，验证时无法执行。删掉这一行，或补进 CMa。</t>
        </is>
      </c>
    </row>
    <row r="5">
      <c r="A5" s="3" t="n">
        <v>4</v>
      </c>
      <c r="B5" s="3" t="inlineStr">
        <is>
          <t>客户批注未改完</t>
        </is>
      </c>
      <c r="C5" s="3" t="inlineStr">
        <is>
          <t>高</t>
        </is>
      </c>
      <c r="D5" s="3" t="inlineStr">
        <is>
          <t>表 6-17、表 6-18；附件 3</t>
        </is>
      </c>
      <c r="E5" s="3" t="inlineStr">
        <is>
          <t>Sampling glove box</t>
        </is>
      </c>
      <c r="F5" s="3" t="inlineStr">
        <is>
          <t>Novie Atakiwe（礼来）2026-08-27 未关闭：取样位置和附件 3 不一致。附件 3 只有 1 个淋洗点（合成釜上膨胀阀口）。表 6-17 还有搅拌桨、内壁、侧出料口、取样手套箱四个擦拭点，表 6-18 还有在线取样器淋洗。这些点不在图上。图里英文是 “After string washing”，应为 stirring。把擦拭点和在线取样器补到图上，或写明附件 3 只画淋洗点 1。</t>
        </is>
      </c>
    </row>
    <row r="6">
      <c r="A6" s="2" t="n">
        <v>5</v>
      </c>
      <c r="B6" s="2" t="inlineStr">
        <is>
          <t>与 CMa/CMb 不一致</t>
        </is>
      </c>
      <c r="C6" s="2" t="inlineStr">
        <is>
          <t>中</t>
        </is>
      </c>
      <c r="D6" s="2" t="inlineStr">
        <is>
          <t>表 5-1，R22 批次间</t>
        </is>
      </c>
      <c r="E6" s="2" t="inlineStr">
        <is>
          <t>rinse thoroughly with DMF followed by water</t>
        </is>
      </c>
      <c r="F6" s="2" t="inlineStr">
        <is>
          <t>这句话放在批次间冲洗那一格。CMb 批次间只加 175±5 kg DMF 后吹干，不加水。加水拆洗在 CMa 项目结束后：175±5 kg DMF、165±5 kg 纯化水、配件 105±5 kg 纯化水。表 6-16 的数量和这两份方法是对的。把 “followed by water” 移到项目结束后。</t>
        </is>
      </c>
    </row>
    <row r="7">
      <c r="A7" s="3" t="n">
        <v>6</v>
      </c>
      <c r="B7" s="3" t="inlineStr">
        <is>
          <t>与 CMa/CMb 不一致</t>
        </is>
      </c>
      <c r="C7" s="3" t="inlineStr">
        <is>
          <t>中</t>
        </is>
      </c>
      <c r="D7" s="3" t="inlineStr">
        <is>
          <t>表 6-2 手套箱；CMa 与 CMb</t>
        </is>
      </c>
      <c r="E7" s="3" t="inlineStr">
        <is>
          <t>Glove box</t>
        </is>
      </c>
      <c r="F7" s="3" t="inlineStr">
        <is>
          <t>CMa 项目结束：DMF 和纯化水各 10±5 kg。CMb 批次内：DMF 后再用甲醇，其中一处没有重量。CVP 两份都是批准的清洁方法，同一手套箱溶剂不一样。统一后再执行。</t>
        </is>
      </c>
    </row>
    <row r="8">
      <c r="A8" s="2" t="n">
        <v>7</v>
      </c>
      <c r="B8" s="2" t="inlineStr">
        <is>
          <t>与 CMa/CMb 不一致</t>
        </is>
      </c>
      <c r="C8" s="2" t="inlineStr">
        <is>
          <t>中</t>
        </is>
      </c>
      <c r="D8" s="2" t="inlineStr">
        <is>
          <t>表 6-1</t>
        </is>
      </c>
      <c r="E8" s="2" t="inlineStr">
        <is>
          <t>Table 6-1, Intended equipment train</t>
        </is>
      </c>
      <c r="F8" s="2" t="inlineStr">
        <is>
          <t>设备清单是 Sy15、R01、R22、AT02。CMa 还清洁配哌啶溶液的 TJ4S-1213-SPS01-AT01 和 AT02，并引用 SOP QM03148。这两台不在表 6-1，也不在清洁验证策略里。要么补进范围，要么在 CMa 写明不由本 CVP 覆盖。</t>
        </is>
      </c>
    </row>
    <row r="9">
      <c r="A9" s="3" t="n">
        <v>8</v>
      </c>
      <c r="B9" s="3" t="inlineStr">
        <is>
          <t>内部数值/逻辑</t>
        </is>
      </c>
      <c r="C9" s="3" t="inlineStr">
        <is>
          <t>高</t>
        </is>
      </c>
      <c r="D9" s="3" t="inlineStr">
        <is>
          <t>表 6-3、表 6-9、表 6-10</t>
        </is>
      </c>
      <c r="E9" s="3" t="inlineStr">
        <is>
          <t>105.63 kg</t>
        </is>
      </c>
      <c r="F9" s="3" t="inlineStr">
        <is>
          <t>最小批量用 105.63 kg。10 ppm × 105.63 kg = 1056.3 mg，再除以内表面积 208185 cm²，得到擦拭 507.39 μg/100cm²。PVP/MOR 按取代度 1.0–1.2 mmol/g 算出的下限是 108.84 kg，105.63 kg 对不上。批量一改，MACO 和擦拭限度都要重算。表 6-3 的下一批产品是 ASYM-141366，表 6-9 写成 ASYM-140020。141366 是树脂肽，140020 是片段代号，CMa 的残留目标物是 140020。三处统一。</t>
        </is>
      </c>
    </row>
    <row r="10">
      <c r="A10" s="2" t="n">
        <v>9</v>
      </c>
      <c r="B10" s="2" t="inlineStr">
        <is>
          <t>内部数值/逻辑</t>
        </is>
      </c>
      <c r="C10" s="2" t="inlineStr">
        <is>
          <t>中</t>
        </is>
      </c>
      <c r="D10" s="2" t="inlineStr">
        <is>
          <t>表 6-3、表 6-9</t>
        </is>
      </c>
      <c r="E10" s="2" t="inlineStr">
        <is>
          <t>OEL:10-100</t>
        </is>
      </c>
      <c r="F10" s="2" t="inlineStr">
        <is>
          <t>健康数据写成 10–100 μg/m³ 的范围，计算只用 10 μg/m³，得到 100 ppm，再和 10 ppm 比。应写明取下限的理由。同一套数有的写 ug，有的写 μg；表 6-9 写成 =1000mg，缺 /day 和空格。公式名仍是 MTDDnext=，像没排版完的下标。</t>
        </is>
      </c>
    </row>
    <row r="11">
      <c r="A11" s="3" t="n">
        <v>10</v>
      </c>
      <c r="B11" s="3" t="inlineStr">
        <is>
          <t>内部数值/逻辑</t>
        </is>
      </c>
      <c r="C11" s="3" t="inlineStr">
        <is>
          <t>中</t>
        </is>
      </c>
      <c r="D11" s="3" t="inlineStr">
        <is>
          <t>表 6-3，R22</t>
        </is>
      </c>
      <c r="E11" s="3">
        <f>1 μg/m3×10 m3/day/1000 mg/day</f>
        <v/>
      </c>
      <c r="F11" s="3" t="inlineStr">
        <is>
          <t>算出的 ARL 正好是 10 ppm。表头写 “compared to 10 ppm, which is lower”。这一行不是更低，是相等。Sy15 那行 100 ppm 才高于 10 ppm。R22 的结论改成等于 10 ppm，仍按 NMT 10 ppm 放行可以，但不要写 lower。</t>
        </is>
      </c>
    </row>
    <row r="12">
      <c r="A12" s="2" t="n">
        <v>11</v>
      </c>
      <c r="B12" s="2" t="inlineStr">
        <is>
          <t>客户批注未改完</t>
        </is>
      </c>
      <c r="C12" s="2" t="inlineStr">
        <is>
          <t>中</t>
        </is>
      </c>
      <c r="D12" s="2" t="inlineStr">
        <is>
          <t>备件评估</t>
        </is>
      </c>
      <c r="E12" s="2" t="inlineStr">
        <is>
          <t>sight glass U-bend</t>
        </is>
      </c>
      <c r="F12" s="2" t="inlineStr">
        <is>
          <t>Johan Granander（礼来）2026-08-18 未关闭：到底是 “sight glass U-bend” 一个部件，还是 “sight glass, U-bend” 两个部件。回复写 Revised，句子没改，仍然没有逗号。确认后二选一。condenser 已经改对。</t>
        </is>
      </c>
    </row>
    <row r="13">
      <c r="A13" s="3" t="n">
        <v>12</v>
      </c>
      <c r="B13" s="3" t="inlineStr">
        <is>
          <t>客户批注未改完</t>
        </is>
      </c>
      <c r="C13" s="3" t="inlineStr">
        <is>
          <t>中</t>
        </is>
      </c>
      <c r="D13" s="3" t="inlineStr">
        <is>
          <t>第 4 节、附件 1</t>
        </is>
      </c>
      <c r="E13" s="3" t="inlineStr">
        <is>
          <t>CMa-TJ414002001</t>
        </is>
      </c>
      <c r="F13" s="3" t="inlineStr">
        <is>
          <t>Novie 2026-08-19 未关闭：要求写上执行本方案的清洁 MOR/MBR。回复说每台设备有清洁记录本，正文只引用了 CMa-TJ414002001 和 CMb-TJ414002001，没有记录本或 MBR 的编号。有编号就写上；没有 MBR，就写明执行文件是这两份清洁方法和对应记录本。</t>
        </is>
      </c>
    </row>
    <row r="14">
      <c r="A14" s="2" t="n">
        <v>13</v>
      </c>
      <c r="B14" s="2" t="inlineStr">
        <is>
          <t>笔误/格式</t>
        </is>
      </c>
      <c r="C14" s="2" t="inlineStr">
        <is>
          <t>低</t>
        </is>
      </c>
      <c r="D14" s="2" t="inlineStr">
        <is>
          <t>表 6-3、表 6-9、表 6-10</t>
        </is>
      </c>
      <c r="E14" s="2" t="inlineStr">
        <is>
          <t>NMT10 ppm</t>
        </is>
      </c>
      <c r="F14" s="2" t="inlineStr">
        <is>
          <t>Novie 要求的 NMT 已经加上。空格不统一：NMT10 ppm 一处，NMT 10ppm 两处。统一成 NMT 10 ppm。批注可以关。</t>
        </is>
      </c>
    </row>
    <row r="15">
      <c r="A15" s="3" t="n">
        <v>14</v>
      </c>
      <c r="B15" s="3" t="inlineStr">
        <is>
          <t>笔误/格式</t>
        </is>
      </c>
      <c r="C15" s="3" t="inlineStr">
        <is>
          <t>低</t>
        </is>
      </c>
      <c r="D15" s="3" t="inlineStr">
        <is>
          <t>表 6-19 标题</t>
        </is>
      </c>
      <c r="E15" s="3" t="inlineStr">
        <is>
          <t>Test methed</t>
        </is>
      </c>
      <c r="F15" s="3" t="inlineStr">
        <is>
          <t>methed 应为 method。</t>
        </is>
      </c>
    </row>
    <row r="16">
      <c r="A16" s="2" t="n">
        <v>15</v>
      </c>
      <c r="B16" s="2" t="inlineStr">
        <is>
          <t>笔误/格式</t>
        </is>
      </c>
      <c r="C16" s="2" t="inlineStr">
        <is>
          <t>低</t>
        </is>
      </c>
      <c r="D16" s="2" t="inlineStr">
        <is>
          <t>软管</t>
        </is>
      </c>
      <c r="E16" s="2" t="inlineStr">
        <is>
          <t>The-flexible hose</t>
        </is>
      </c>
      <c r="F16" s="2" t="inlineStr">
        <is>
          <t>连字符用在了单词之间：The-flexible hose is-disposable-for project。改为 The flexible hose is disposable for the project。</t>
        </is>
      </c>
    </row>
    <row r="17">
      <c r="A17" s="3" t="n">
        <v>16</v>
      </c>
      <c r="B17" s="3" t="inlineStr">
        <is>
          <t>笔误/格式</t>
        </is>
      </c>
      <c r="C17" s="3" t="inlineStr">
        <is>
          <t>低</t>
        </is>
      </c>
      <c r="D17" s="3" t="inlineStr">
        <is>
          <t>表 6-1、表 6-2</t>
        </is>
      </c>
      <c r="E17" s="3" t="inlineStr">
        <is>
          <t>((TJ4S-1213-R22)</t>
        </is>
      </c>
      <c r="F17" s="3" t="inlineStr">
        <is>
          <t>多一个左括号。同表 “Activation tank2” 缺空格；AT02 那行多一个右括号 “AT02))”；隔膜泵写成 TJ4S1200-PDP040，少一个连字符，CMa 是 TJ4S-1200-PDP040。</t>
        </is>
      </c>
    </row>
    <row r="18">
      <c r="A18" s="2" t="n">
        <v>17</v>
      </c>
      <c r="B18" s="2" t="inlineStr">
        <is>
          <t>笔误/格式</t>
        </is>
      </c>
      <c r="C18" s="2" t="inlineStr">
        <is>
          <t>低</t>
        </is>
      </c>
      <c r="D18" s="2" t="inlineStr">
        <is>
          <t>放行和变更</t>
        </is>
      </c>
      <c r="E18" s="2" t="inlineStr">
        <is>
          <t>will summarized</t>
        </is>
      </c>
      <c r="F18" s="2" t="inlineStr">
        <is>
          <t>will summarized 应为 will be summarized。同页 “will shall be evaluated” 重复，删 will 或 shall。报告一句 “shall be completeted” 应为 completed。表 6-12 标题和上一句之间少空格：“Table 6-12.The”。</t>
        </is>
      </c>
    </row>
    <row r="19">
      <c r="A19" s="3" t="n">
        <v>18</v>
      </c>
      <c r="B19" s="3" t="inlineStr">
        <is>
          <t>笔误/格式</t>
        </is>
      </c>
      <c r="C19" s="3" t="inlineStr">
        <is>
          <t>低</t>
        </is>
      </c>
      <c r="D19" s="3" t="inlineStr">
        <is>
          <t>CMb 搅拌罐批次间；表 6-16</t>
        </is>
      </c>
      <c r="E19" s="3" t="inlineStr">
        <is>
          <t>90~110kg</t>
        </is>
      </c>
      <c r="F19" s="3" t="inlineStr">
        <is>
          <t>CVP 的 90~110 kg 等于 CMb 的 100±10 kg，数量是对的。CMb 英文写成 “he Agitation tank”，少了 T；“drain waste liquid tank” 少 to。CMa 回收率的 level 写成 1evel。改清洁方法，CVP 不用改数量。</t>
        </is>
      </c>
    </row>
  </sheetData>
  <autoFilter ref="A1:F1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6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客户与日期</t>
        </is>
      </c>
      <c r="C1" s="1" t="inlineStr">
        <is>
          <t>批注要求或核对项</t>
        </is>
      </c>
      <c r="D1" s="1" t="inlineStr">
        <is>
          <t>内容（Word 中搜索）</t>
        </is>
      </c>
      <c r="E1" s="1" t="inlineStr">
        <is>
          <t>现状</t>
        </is>
      </c>
    </row>
    <row r="2">
      <c r="A2" s="2" t="n">
        <v>1</v>
      </c>
      <c r="B2" s="2" t="inlineStr">
        <is>
          <t>Johan，2026-08-18</t>
        </is>
      </c>
      <c r="C2" s="2" t="inlineStr">
        <is>
          <t>condense 是不是 condenser。</t>
        </is>
      </c>
      <c r="D2" s="2" t="inlineStr">
        <is>
          <t>condenser and reducers</t>
        </is>
      </c>
      <c r="E2" s="2" t="inlineStr">
        <is>
          <t>已改成 condenser。批注可关。sight glass 那条还没改，见上一张表。</t>
        </is>
      </c>
    </row>
    <row r="3">
      <c r="A3" s="3" t="n">
        <v>2</v>
      </c>
      <c r="B3" s="3" t="inlineStr">
        <is>
          <t>Novie，2026-08-18</t>
        </is>
      </c>
      <c r="C3" s="3" t="inlineStr">
        <is>
          <t>10 ppm 前加 NMT。</t>
        </is>
      </c>
      <c r="D3" s="3" t="inlineStr">
        <is>
          <t>NMT 10 ppm</t>
        </is>
      </c>
      <c r="E3" s="3" t="inlineStr">
        <is>
          <t>限度行已加 NMT。空格不统一，见上一张表的笔误行。意思已经改完，批注可关。</t>
        </is>
      </c>
    </row>
    <row r="4">
      <c r="A4" s="2" t="n">
        <v>3</v>
      </c>
      <c r="B4" s="2" t="inlineStr">
        <is>
          <t>清洗量核对</t>
        </is>
      </c>
      <c r="C4" s="2" t="inlineStr">
        <is>
          <t>合成仪、R22、AT02 的主要加料量。</t>
        </is>
      </c>
      <c r="D4" s="2" t="inlineStr">
        <is>
          <t>290~310kg</t>
        </is>
      </c>
      <c r="E4" s="2" t="inlineStr">
        <is>
          <t>和 CMa/CMb 一致：DMF 和水各 300±10 kg，MTBE 180±10 kg，搅拌 25±5 rpm，氮气 10±3 m³/h，浸泡不少于 0.5 h，DMF 共 2 次、水共 3 次。R22 为 DMF 175±5 kg、水 165±5 kg、擦洗 105±5 kg；批次间只有 DMF 175±5 kg。AT02 项目结束 DMF 100±5 kg，批次间 100±10 kg。29.0~31.0 kg 那一行和 124852 的淋洗限度不在这套对齐结果里。</t>
        </is>
      </c>
    </row>
  </sheetData>
  <autoFilter ref="A1:E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2026-10-28T12:59:45Z</dcterms:created>
  <dcterms:modified xmlns:dcterms="http://purl.org/dc/terms/" xmlns:xsi="http://www.w3.org/2001/XMLSchema-instance" xsi:type="dcterms:W3CDTF">2026-10-28T12:59:45Z</dcterms:modified>
</cp:coreProperties>
</file>