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collab.lilly.com/sites/GG-917APITeam/Shared Documents/General/Engineering (APIEM)/"/>
    </mc:Choice>
  </mc:AlternateContent>
  <xr:revisionPtr revIDLastSave="135" documentId="8_{AED89310-8F3C-485A-9C86-4481A9DF573D}" xr6:coauthVersionLast="47" xr6:coauthVersionMax="47" xr10:uidLastSave="{BF592336-6E7B-4548-8C04-26DF56EA9290}"/>
  <bookViews>
    <workbookView xWindow="-110" yWindow="-110" windowWidth="19420" windowHeight="11500" xr2:uid="{00000000-000D-0000-FFFF-FFFF00000000}"/>
  </bookViews>
  <sheets>
    <sheet name="Action Tracker" sheetId="1" r:id="rId1"/>
    <sheet name="Sheet1" sheetId="2" r:id="rId2"/>
    <sheet name="Summary" sheetId="3" r:id="rId3"/>
    <sheet name="Instructions"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3" l="1"/>
  <c r="B8" i="3"/>
  <c r="B7" i="3"/>
  <c r="E6" i="3"/>
  <c r="B6" i="3"/>
  <c r="E5" i="3"/>
  <c r="B5" i="3"/>
  <c r="E4" i="3"/>
  <c r="B4" i="3"/>
</calcChain>
</file>

<file path=xl/sharedStrings.xml><?xml version="1.0" encoding="utf-8"?>
<sst xmlns="http://schemas.openxmlformats.org/spreadsheetml/2006/main" count="732" uniqueCount="297">
  <si>
    <t>Number</t>
  </si>
  <si>
    <t>Category</t>
  </si>
  <si>
    <t>Action Item</t>
  </si>
  <si>
    <t>Implementation Timing</t>
  </si>
  <si>
    <t>Implementation Effort</t>
  </si>
  <si>
    <t>Proposed target completion date</t>
  </si>
  <si>
    <t>Existing approach</t>
  </si>
  <si>
    <t>Action Plan</t>
  </si>
  <si>
    <t>Questions</t>
  </si>
  <si>
    <t>Scope</t>
  </si>
  <si>
    <t>Status</t>
  </si>
  <si>
    <t>Notes</t>
  </si>
  <si>
    <t>Asymchem Lead Owner</t>
    <phoneticPr fontId="1" type="noConversion"/>
  </si>
  <si>
    <t>Lilly QA</t>
    <phoneticPr fontId="1" type="noConversion"/>
  </si>
  <si>
    <t>BLA/technical</t>
    <phoneticPr fontId="1" type="noConversion"/>
  </si>
  <si>
    <t>Cleaning validation and verification strategy needs presented. Including: strategy for determining appropriate cleaning solution and conditions (time, temp etc), how these are tranlasted to the operational record to ensure proper execution in a repeatable manner. Additionaly need to share how small parts and manual cleaned components are managed and integrated into cleaning records. Additionally, how are rinse and swab limits, sampling instructions, and results recorded.</t>
    <phoneticPr fontId="1" type="noConversion"/>
  </si>
  <si>
    <t>Prior to Pre-PPQ</t>
    <phoneticPr fontId="1" type="noConversion"/>
  </si>
  <si>
    <t>High &gt; 1 month</t>
    <phoneticPr fontId="1" type="noConversion"/>
  </si>
  <si>
    <t>Manual Cleaning Procedure 
step1: 10/07/2026
step2: 10/20/2026
step3A: 11/09/2026
step3B: 11/28/2026</t>
    <phoneticPr fontId="1" type="noConversion"/>
  </si>
  <si>
    <t>--</t>
  </si>
  <si>
    <t>The cleaning validation and verification strategy was discussed with the customer on September 25, 2026. 
Dedicated cleaning SOPs and master batch cleaning records will be prepared for each step prior to Pre-PPQ.
An example will be provided to customer for review ASAP.</t>
    <phoneticPr fontId="1" type="noConversion"/>
  </si>
  <si>
    <t>All Steps</t>
    <phoneticPr fontId="1" type="noConversion"/>
  </si>
  <si>
    <t>Open</t>
  </si>
  <si>
    <t>The team feels we need to have confidence that Asymchem can adequately clean equipment prior making saleable GMP material</t>
    <phoneticPr fontId="1" type="noConversion"/>
  </si>
  <si>
    <t>Production / Yanlong Li
生产/李延龙</t>
  </si>
  <si>
    <t>QA / Weijiang Liu
QA/刘维江</t>
  </si>
  <si>
    <t>Technical</t>
    <phoneticPr fontId="1" type="noConversion"/>
  </si>
  <si>
    <t>Install or verify nameplate on rupture disk</t>
    <phoneticPr fontId="1" type="noConversion"/>
  </si>
  <si>
    <t>Prior to Demo</t>
    <phoneticPr fontId="1" type="noConversion"/>
  </si>
  <si>
    <t>Low &lt; 1 week</t>
    <phoneticPr fontId="1" type="noConversion"/>
  </si>
  <si>
    <t>Please refer to the slides ( link in Column L)</t>
  </si>
  <si>
    <t>Purification</t>
    <phoneticPr fontId="1" type="noConversion"/>
  </si>
  <si>
    <t>Completed</t>
  </si>
  <si>
    <t>Asymchem_Visit_Action_Tracker_Partial Feedback_09-29-2026.pptx</t>
  </si>
  <si>
    <t>N/A</t>
  </si>
  <si>
    <t>Confirm inlet line sizing meets the 200 L/h process requirement</t>
    <phoneticPr fontId="1" type="noConversion"/>
  </si>
  <si>
    <t>Theoretical calculation by IEPE; on-site testing.
Please refer to the slides ( link in Column L)</t>
    <phoneticPr fontId="1" type="noConversion"/>
  </si>
  <si>
    <t>Production / Linchong Liu
生产/刘林冲</t>
  </si>
  <si>
    <t>BLA</t>
  </si>
  <si>
    <t>During field walkthroughs several lines visual appeard slopped in undesired location. Confirm all lines are sloped (including flexible hoses) to appropriate low points with proper drain point.</t>
    <phoneticPr fontId="1" type="noConversion"/>
  </si>
  <si>
    <t>Med &gt; 1 week &lt; 1 Month</t>
    <phoneticPr fontId="1" type="noConversion"/>
  </si>
  <si>
    <r>
      <t>Option 1: No CIP. Equipment connections meet 2D requirement; transfer piping section does not meet 3D requirement. Disassembly cleaning will be required afterwards.</t>
    </r>
    <r>
      <rPr>
        <sz val="12"/>
        <color rgb="FF000000"/>
        <rFont val="等线"/>
        <charset val="134"/>
      </rPr>
      <t xml:space="preserve">
</t>
    </r>
    <r>
      <rPr>
        <sz val="11"/>
        <color rgb="FF666666"/>
        <rFont val="微软雅黑"/>
        <family val="2"/>
        <charset val="134"/>
      </rPr>
      <t xml:space="preserve">Completion date: </t>
    </r>
    <r>
      <rPr>
        <sz val="11"/>
        <color rgb="FF7F7F7F"/>
        <rFont val="微软雅黑"/>
        <family val="2"/>
        <charset val="134"/>
      </rPr>
      <t>12/17/2026</t>
    </r>
    <r>
      <rPr>
        <sz val="12"/>
        <color rgb="FF000000"/>
        <rFont val="等线"/>
        <charset val="134"/>
      </rPr>
      <t xml:space="preserve">
</t>
    </r>
    <r>
      <rPr>
        <sz val="11"/>
        <color rgb="FF666666"/>
        <rFont val="微软雅黑"/>
        <family val="2"/>
        <charset val="134"/>
      </rPr>
      <t>Option 2: No CIP. Equipment connections meet 2D requirement with CIP ports reserved. Most of the transfer piping meets 2D requirement and minimum 3D requirement.</t>
    </r>
    <r>
      <rPr>
        <sz val="12"/>
        <color rgb="FF000000"/>
        <rFont val="等线"/>
        <charset val="134"/>
      </rPr>
      <t xml:space="preserve">
</t>
    </r>
    <r>
      <rPr>
        <sz val="11"/>
        <color rgb="FF666666"/>
        <rFont val="微软雅黑"/>
        <family val="2"/>
        <charset val="134"/>
      </rPr>
      <t>Completion date: 01/20/2027</t>
    </r>
    <r>
      <rPr>
        <sz val="12"/>
        <color rgb="FF000000"/>
        <rFont val="等线"/>
        <charset val="134"/>
      </rPr>
      <t xml:space="preserve">
</t>
    </r>
    <r>
      <rPr>
        <sz val="11"/>
        <color rgb="FF666666"/>
        <rFont val="微软雅黑"/>
        <family val="2"/>
        <charset val="134"/>
      </rPr>
      <t>Option 3: In-line CIP. The vessel and piping are designed entirely following the 2D design philosophy.</t>
    </r>
    <r>
      <rPr>
        <sz val="12"/>
        <color rgb="FF000000"/>
        <rFont val="等线"/>
        <charset val="134"/>
      </rPr>
      <t xml:space="preserve">
</t>
    </r>
    <r>
      <rPr>
        <sz val="11"/>
        <color rgb="FF666666"/>
        <rFont val="微软雅黑"/>
        <family val="2"/>
        <charset val="134"/>
      </rPr>
      <t>Completion date: 04/25/2027</t>
    </r>
    <phoneticPr fontId="1" type="noConversion"/>
  </si>
  <si>
    <t>Modification and installation of the C3 and C4 lines are complete, and slope verification is in progress. The C1 and C2 lines were previously assessed as having no slope requirement, and only drain points were provided; the slope requirement needs to be re-discussed and confirmed.</t>
    <phoneticPr fontId="1" type="noConversion"/>
  </si>
  <si>
    <t>Assess and inspect each process step and each line individually.</t>
    <phoneticPr fontId="1" type="noConversion"/>
  </si>
  <si>
    <t>The requirement for the C1 and C2 lines is drainability, with no specific slope requirement. How should the slope be confirmed?</t>
    <phoneticPr fontId="1" type="noConversion"/>
  </si>
  <si>
    <t>Engineering / Hongjie Guo
Production / Junfeng Zhang
工程/郭宏杰
生产/张俊峰</t>
  </si>
  <si>
    <t>QA / Meijia Liu
QA/刘美佳</t>
  </si>
  <si>
    <t>Missing sight-glass lights</t>
    <phoneticPr fontId="1" type="noConversion"/>
  </si>
  <si>
    <t>Post PPQ</t>
    <phoneticPr fontId="1" type="noConversion"/>
  </si>
  <si>
    <t>The entire equipment train is being reviewed; any missing sight-glass lights will be procured.</t>
    <phoneticPr fontId="1" type="noConversion"/>
  </si>
  <si>
    <t>An inspection checklist is being established.</t>
    <phoneticPr fontId="1" type="noConversion"/>
  </si>
  <si>
    <t>Engineering / Hongjie Guo
工程/郭宏杰</t>
  </si>
  <si>
    <t>Review HCl charging dip-tube arrangement and confirm material of construction</t>
    <phoneticPr fontId="1" type="noConversion"/>
  </si>
  <si>
    <t>Provide the material-of-construction certificate and adjust(shorten) the current dip-tube length.</t>
    <phoneticPr fontId="1" type="noConversion"/>
  </si>
  <si>
    <t>Source note suggests HC; confirm exact alloy/specification</t>
    <phoneticPr fontId="1" type="noConversion"/>
  </si>
  <si>
    <t>IEPE / Mingzhi Zheng
Production / Xingtao Fan
IEPE/郑明智
生产/范兴涛</t>
  </si>
  <si>
    <t>QA / Qi Wang
QA/王琪</t>
  </si>
  <si>
    <t>Update MOR or SOP to require mobile-scale reading after the peristaltic pump empties the flexible connection</t>
  </si>
  <si>
    <t>Prior to Demo</t>
  </si>
  <si>
    <t>Low &lt; 1 week</t>
  </si>
  <si>
    <t>Update the MOR to include the detailed requirement.</t>
    <phoneticPr fontId="1" type="noConversion"/>
  </si>
  <si>
    <t>Follow up with Peter to clarify this item</t>
  </si>
  <si>
    <t>Observed waste header from process without check valves. Assess process piping connections for back flow risk and install check valves as necessary</t>
    <phoneticPr fontId="1" type="noConversion"/>
  </si>
  <si>
    <t>To be carried out together with the overall piping construction for step 3</t>
  </si>
  <si>
    <t>Submit the change control document to carry out renovation on the factory logistics passage. An airlock will be added before raw materials are transferred into the CNC area.</t>
    <phoneticPr fontId="1" type="noConversion"/>
  </si>
  <si>
    <t>Engineering / Hongjie Guo
Production / Hui Ma
工程/郭宏杰
生产/马辉</t>
  </si>
  <si>
    <t>Justify the one-month service life for dedicated PW hoses</t>
    <phoneticPr fontId="1" type="noConversion"/>
  </si>
  <si>
    <t>One-month service life for dedicated PW hoses.</t>
    <phoneticPr fontId="1" type="noConversion"/>
  </si>
  <si>
    <t>Perform a use/disinfection-period study on dedicated PW hoses and redefine their lifecycle.</t>
    <phoneticPr fontId="1" type="noConversion"/>
  </si>
  <si>
    <t>Is 1 month replacement too conservative? Could lifetime be extended? What was basis for 1 month replacement frequency?</t>
    <phoneticPr fontId="1" type="noConversion"/>
  </si>
  <si>
    <t>Production / Chunpeng Hu
生产/胡春鹏</t>
  </si>
  <si>
    <t>QA / Xiong Xiong
QA/熊熊</t>
  </si>
  <si>
    <t>Review lifecycle management for dedicated product contact and solvent hoses. Recommend visual inspection of hoses with some frequency regardless of campaign length.</t>
    <phoneticPr fontId="1" type="noConversion"/>
  </si>
  <si>
    <t>step1: 10/07/2026
step2: 10/20/2026
step3A: 11/09/2026
step3B: 11/28/2026</t>
  </si>
  <si>
    <t>Revise the SOP to define the corresponding requirements.</t>
    <phoneticPr fontId="1" type="noConversion"/>
  </si>
  <si>
    <t>Production / Kai Liu
生产/刘凯</t>
  </si>
  <si>
    <t>Review pre-use cleaning for solvent transfer and process-solution transfer hoses. Current practice to rinse new product contact hoses with methanol followed by water and dry with nitrogen after 1st installation. Recommend using process solvent in place of water and methanol.</t>
    <phoneticPr fontId="1" type="noConversion"/>
  </si>
  <si>
    <t>Hoses have completed cleaning. A solvent run is planned prior to Step3 Demo production. After completion of the solvent run, the hoses will be cleaned with process solvent.</t>
    <phoneticPr fontId="1" type="noConversion"/>
  </si>
  <si>
    <t>Prevent contamination of demo batch that could impact representativeness.</t>
    <phoneticPr fontId="1" type="noConversion"/>
  </si>
  <si>
    <t>Production / Yanlong Li
Linchong Liu
生产/李延龙
刘林冲</t>
  </si>
  <si>
    <t>Curently site uses corrugated hoses for process and solvent transers. Upgrade to smooth-bore internal design, considering Pharmaline N hoses.</t>
    <phoneticPr fontId="1" type="noConversion"/>
  </si>
  <si>
    <t>Replacement is planned.</t>
    <phoneticPr fontId="1" type="noConversion"/>
  </si>
  <si>
    <t>--</t>
    <phoneticPr fontId="1" type="noConversion"/>
  </si>
  <si>
    <t xml:space="preserve">Effort is dependent on lead time for new hoses
</t>
    <phoneticPr fontId="1" type="noConversion"/>
  </si>
  <si>
    <t>QA / Zhiqiang Sun
QA/孙志强</t>
  </si>
  <si>
    <t>Impurity Investigation</t>
    <phoneticPr fontId="1" type="noConversion"/>
  </si>
  <si>
    <t>Review supplier options for reliable sourcing of DIPEA containing less than 50 ppm acetaldehyde</t>
    <phoneticPr fontId="1" type="noConversion"/>
  </si>
  <si>
    <t>Discuss separately</t>
    <phoneticPr fontId="1" type="noConversion"/>
  </si>
  <si>
    <t>SPPS</t>
  </si>
  <si>
    <t>Project Team / Xinyi Zhu
项目组/朱新义</t>
  </si>
  <si>
    <t>Complete evaluation of internal DIPEA processing options to further reduce acetaldehyde content</t>
    <phoneticPr fontId="1" type="noConversion"/>
  </si>
  <si>
    <t>Evaluate options to reduce DIPEA exposure time during washing steps (such as larger DIPEA containers and/or addition of a larger dedicated makeup tank)</t>
    <phoneticPr fontId="1" type="noConversion"/>
  </si>
  <si>
    <t>Evaluate feasability to increase nitrogen sparge rates for SC coupling to reduce HCN concentration. Confirm equipment limitations and establish the qualified operating envelope for higher nitrogen sparging rates</t>
    <phoneticPr fontId="1" type="noConversion"/>
  </si>
  <si>
    <t>Current equipment reportedly supports up to ~40 m³/h; current operating limit ~20 m³/h</t>
    <phoneticPr fontId="1" type="noConversion"/>
  </si>
  <si>
    <t>Assess feasibility and effectiveness of nitrogen sweep operation during SC coupling to reduce HCN concentration.</t>
    <phoneticPr fontId="1" type="noConversion"/>
  </si>
  <si>
    <t>Complete planned passivation of GG917 and LAARA process lines. Confirm there are not similar gaps on cleavage and purification process lines for GG917 steps.</t>
    <phoneticPr fontId="1" type="noConversion"/>
  </si>
  <si>
    <t>No passivation on the inner surface of process lines.</t>
    <phoneticPr fontId="1" type="noConversion"/>
  </si>
  <si>
    <t>Perform passivation of GG917 and LAARA process lines.</t>
    <phoneticPr fontId="1" type="noConversion"/>
  </si>
  <si>
    <t/>
  </si>
  <si>
    <t>Production / Zhongyao Zhang, Fan Wang
生产/张忠尧、王帆</t>
  </si>
  <si>
    <t>QA / Mingyang Yang
QA/杨明旸</t>
  </si>
  <si>
    <t>Provide a remediation plan and timeline for passivation of all bulk solvent tanks and headers</t>
    <phoneticPr fontId="1" type="noConversion"/>
  </si>
  <si>
    <t>The Phase I tank farm will not be passivated for now; metal-ion testing is performed instead.</t>
    <phoneticPr fontId="1" type="noConversion"/>
  </si>
  <si>
    <t>After the Phase II tank farm is handed over, its lines and tanks will be passivated, and all subsequent projects will use solvents from the Phase II tank farm.</t>
    <phoneticPr fontId="1" type="noConversion"/>
  </si>
  <si>
    <t>Tank Farm / Wenyi Zhang
罐区/张文艺</t>
  </si>
  <si>
    <t>Implement administrative controls for raw material receipt and transfer into CNC areas to minimize potential exposure to outdoor conditions.</t>
    <phoneticPr fontId="1" type="noConversion"/>
  </si>
  <si>
    <t>There is an administrative requirement that, once material arrives at the production workshop, a dedicated operator must transfer it to the CNC area.</t>
    <phoneticPr fontId="1" type="noConversion"/>
  </si>
  <si>
    <t>Update the SOP to include detailed material lifecycle management to avoid gaps during material transfer.</t>
    <phoneticPr fontId="1" type="noConversion"/>
  </si>
  <si>
    <t>Production / Hui Ma
生产/马辉</t>
  </si>
  <si>
    <t>Define long-term facility modifications to provide an airlock or physical segregation for transer of raw materials into CNC area for stagging.</t>
    <phoneticPr fontId="1" type="noConversion"/>
  </si>
  <si>
    <t>Engineering / Hongjie Guo
Production / TBD
工程/郭宏杰
生产/</t>
  </si>
  <si>
    <t>Complete review of the site multiproduct cross-contamination risk assessment and incorporate high level summary of risk and mitigations into the process specific CCS docments for each process steps</t>
    <phoneticPr fontId="1" type="noConversion"/>
  </si>
  <si>
    <t>The CCS document lacks a detailed description.</t>
    <phoneticPr fontId="1" type="noConversion"/>
  </si>
  <si>
    <t>Add a detailed description to the CCS document.</t>
    <phoneticPr fontId="1" type="noConversion"/>
  </si>
  <si>
    <t>Replace silicone water hoses with PTFE hoses or provide a documented technical justification</t>
    <phoneticPr fontId="1" type="noConversion"/>
  </si>
  <si>
    <t>Silicone water hoses are currently used.</t>
    <phoneticPr fontId="1" type="noConversion"/>
  </si>
  <si>
    <t>Replace silicone hoses with PTFE hoses.</t>
    <phoneticPr fontId="1" type="noConversion"/>
  </si>
  <si>
    <t>Silicone could pose risk to process if shedding occurs as PTFE is inherient and more inert</t>
    <phoneticPr fontId="1" type="noConversion"/>
  </si>
  <si>
    <t>Update procedure to ensure immediate water hose disconnection and controlled storage after use</t>
    <phoneticPr fontId="1" type="noConversion"/>
  </si>
  <si>
    <t>10/04/2026</t>
  </si>
  <si>
    <t>No clear time requirement in the SOP for disconnecting water hoses after use.</t>
    <phoneticPr fontId="1" type="noConversion"/>
  </si>
  <si>
    <t>Update the SOP to require that water hoses be disconnected immediately once water charging is finished.</t>
    <phoneticPr fontId="1" type="noConversion"/>
  </si>
  <si>
    <t>Prevent biofilm formation during Demo processing that could impact PPQ.</t>
    <phoneticPr fontId="1" type="noConversion"/>
  </si>
  <si>
    <t>Update CCS for each process step to clearly define the filtration strategy in alignment with the corporate filtration gudiance. Include filtration location, type, replacement criteria, justification and diagrams or tables to CCS documentation for each process step</t>
    <phoneticPr fontId="1" type="noConversion"/>
  </si>
  <si>
    <t>The detailed filtration principle is not included in CCS document.</t>
    <phoneticPr fontId="1" type="noConversion"/>
  </si>
  <si>
    <t>Update CCS document to include the detailed filtration principle.</t>
    <phoneticPr fontId="1" type="noConversion"/>
  </si>
  <si>
    <t>QA / Shenghui Yu
QA/于生辉</t>
  </si>
  <si>
    <t>Filtration of liquid raw materials is required for all process steps. Reassess and document justification for 75-micron filtration of SPPS raw material drum charging.</t>
    <phoneticPr fontId="1" type="noConversion"/>
  </si>
  <si>
    <t>No aglined requirement for liquid material filtration.</t>
    <phoneticPr fontId="1" type="noConversion"/>
  </si>
  <si>
    <t>Update MOR to 10-micron.</t>
  </si>
  <si>
    <t>Prevent particulate contamination of equipment which may impact PPQ (particualte can be challenging to remove once introduced).</t>
    <phoneticPr fontId="1" type="noConversion"/>
  </si>
  <si>
    <t>Production / Fan Wang
生产/王帆</t>
  </si>
  <si>
    <t>Revise glovebox cleaning practices to use approved alcohol wipes rather than water wipes in dispensing areas.</t>
    <phoneticPr fontId="1" type="noConversion"/>
  </si>
  <si>
    <t>Water is used for glovebox cleaning.</t>
    <phoneticPr fontId="1" type="noConversion"/>
  </si>
  <si>
    <t>After water cleaning, an IPA wipe shall be performed to avoid any water residue.</t>
    <phoneticPr fontId="1" type="noConversion"/>
  </si>
  <si>
    <t>Complete planned upgrades and demonstrate CNC area relative humidity remains below 60% during summer conditions</t>
    <phoneticPr fontId="1" type="noConversion"/>
  </si>
  <si>
    <t>The current humidity control capability of the air conditioning system meets requirements. As winter is approaching, the outdoor ambient temperature and humidity will be low, and the existing system can satisfy humidity control requirements. Modification is planned to be completed before the arrival of high-temperature and high-humidity conditions in summer 2027, to ensure that the system can still meet the humidity control specifications after modification under summer operating conditions.</t>
    <phoneticPr fontId="1" type="noConversion"/>
  </si>
  <si>
    <t>Modify the air handling units by adding cooling coils, and complete qualification during a production gap.</t>
    <phoneticPr fontId="1" type="noConversion"/>
  </si>
  <si>
    <t>Confirm procedure in place to use protable dehumidifiers in the short term until all upgrades are complete to allow for robust control iof humidity in CNC areas.</t>
    <phoneticPr fontId="1" type="noConversion"/>
  </si>
  <si>
    <t>Production Equipment Dept. / Wenyi Zhang
生产设备部/张文艺</t>
  </si>
  <si>
    <t>Asymchem to provide vent header drawings and designs to Lilly for review.</t>
    <phoneticPr fontId="1" type="noConversion"/>
  </si>
  <si>
    <t>Has been provided.</t>
  </si>
  <si>
    <t>Engineering / Hongjie Guo
IEPE / Guorui Zhang
工程/郭宏杰
IEPE/张国睿</t>
  </si>
  <si>
    <t>Evaluate process-specific cross-contamination risks from process connections and utility lines, then develop a long-term plan to isolate nonessential connections or otherwise mitigate identified risks. Assess shared-utility and equipment-isolation requirements for GG917 and LAARA operations</t>
    <phoneticPr fontId="1" type="noConversion"/>
  </si>
  <si>
    <t>No detailed assessment in the CCS document.</t>
    <phoneticPr fontId="1" type="noConversion"/>
  </si>
  <si>
    <t>Add a detailed assessment to the CCS document.</t>
    <phoneticPr fontId="1" type="noConversion"/>
  </si>
  <si>
    <t>QA / Qi Wang, Mingyang Yang
QA/王琪，杨明旸</t>
  </si>
  <si>
    <t>Implement the use of permeable film to cover the ends of process and water hoses while stored for drying</t>
    <phoneticPr fontId="1" type="noConversion"/>
  </si>
  <si>
    <t>No permeable film is used to cover the ends of process and water hoses.</t>
    <phoneticPr fontId="1" type="noConversion"/>
  </si>
  <si>
    <t>Prevent hose contamination during Demo processing that could impact PPQ.</t>
    <phoneticPr fontId="1" type="noConversion"/>
  </si>
  <si>
    <t>Install low-point drains on the inlet and outlet of all PD pumps used in Category 4 systems, and add pre- and post-cleaning steps to drain from these points and nitrogen-purge through the pump to the outlet drain</t>
    <phoneticPr fontId="1" type="noConversion"/>
  </si>
  <si>
    <t>This capability is already in place.</t>
    <phoneticPr fontId="1" type="noConversion"/>
  </si>
  <si>
    <t xml:space="preserve">Prepare a checklist to include pre- and post-cleaning steps. </t>
  </si>
  <si>
    <t>Production / Yanlong Li, Kai Liu
生产/李延龙，刘恺</t>
  </si>
  <si>
    <t>Update the cleaning program for PD pumps so recovery factors account for large-area soft parts and include a representative pump swab location for product-contact applications</t>
    <phoneticPr fontId="1" type="noConversion"/>
  </si>
  <si>
    <t>The PD pump is rinse-sampled for residue testing.</t>
    <phoneticPr fontId="1" type="noConversion"/>
  </si>
  <si>
    <t>Update the SOP to include swab sampling for residue testing.</t>
    <phoneticPr fontId="1" type="noConversion"/>
  </si>
  <si>
    <t>Evaluate long-term replacement of PD pumps with pressure transfer or hygienic centrifugal pumps with low-point casing drains; where PD pumps remain necessary, assess more drainable designs</t>
    <phoneticPr fontId="1" type="noConversion"/>
  </si>
  <si>
    <t>After use, both ends of the pump are drained and blown dry; a detailed operating procedure will be provided.</t>
    <phoneticPr fontId="1" type="noConversion"/>
  </si>
  <si>
    <t>The corresponding hygienic centrifugal pumps are being procured.</t>
    <phoneticPr fontId="1" type="noConversion"/>
  </si>
  <si>
    <t>Several non-compliant items still exist against equipment/piping standards. For example, ball valves on Category 4 equipment/piping, for all steps long tank nozzles on vessel heads and/or branches off tank nozles that will not be cleanable during CIP, diptubes supported by hooks that form crevices, missing drains at low points (especially around filters), non-hygienic/cleanable instrument designs (level, temperature), flow meters installed in non-drainable, flanged connections on category 3 and 4 equipment/piping, bolted agitator blades, deadlegs in various locations due to use of non-zero-static valving/non-minimum distance tees, etc.  Conduct a comprehensive gap assessment against equipment and piping standards and prioritize remediation of high-risk Category 3 and 4 systems before production start</t>
    <phoneticPr fontId="1" type="noConversion"/>
  </si>
  <si>
    <r>
      <rPr>
        <b/>
        <sz val="10"/>
        <color rgb="FF666666"/>
        <rFont val="微软雅黑"/>
        <family val="2"/>
        <charset val="134"/>
      </rPr>
      <t xml:space="preserve">Option 1: </t>
    </r>
    <r>
      <rPr>
        <sz val="10"/>
        <color rgb="FF666666"/>
        <rFont val="微软雅黑"/>
        <family val="2"/>
        <charset val="134"/>
      </rPr>
      <t>No CIP. Equipment connections meet 2D requirement; transfer piping section does not meet 3D requirement. Disassembly cleaning will be required afterwards.</t>
    </r>
    <r>
      <rPr>
        <sz val="10"/>
        <color rgb="FF000000"/>
        <rFont val="等线"/>
        <charset val="134"/>
      </rPr>
      <t xml:space="preserve">
</t>
    </r>
    <r>
      <rPr>
        <sz val="10"/>
        <color rgb="FF666666"/>
        <rFont val="微软雅黑"/>
        <family val="2"/>
        <charset val="134"/>
      </rPr>
      <t xml:space="preserve">Completion date: </t>
    </r>
    <r>
      <rPr>
        <sz val="10"/>
        <color rgb="FF595959"/>
        <rFont val="微软雅黑"/>
        <family val="2"/>
        <charset val="134"/>
      </rPr>
      <t>12/17/2026</t>
    </r>
    <r>
      <rPr>
        <sz val="10"/>
        <color rgb="FF000000"/>
        <rFont val="等线"/>
        <charset val="134"/>
      </rPr>
      <t xml:space="preserve">
</t>
    </r>
    <r>
      <rPr>
        <b/>
        <sz val="10"/>
        <color rgb="FF000000"/>
        <rFont val="等线"/>
        <charset val="134"/>
      </rPr>
      <t xml:space="preserve">
</t>
    </r>
    <r>
      <rPr>
        <b/>
        <sz val="10"/>
        <color rgb="FF666666"/>
        <rFont val="微软雅黑"/>
        <family val="2"/>
        <charset val="134"/>
      </rPr>
      <t>Option 2:</t>
    </r>
    <r>
      <rPr>
        <sz val="10"/>
        <color rgb="FF666666"/>
        <rFont val="微软雅黑"/>
        <family val="2"/>
        <charset val="134"/>
      </rPr>
      <t xml:space="preserve"> No CIP. Equipment connections meet 2D requirement with CIP ports reserved. Most of the transfer piping meets 2D requirement and minimum 3D requirement.</t>
    </r>
    <r>
      <rPr>
        <sz val="10"/>
        <color rgb="FF000000"/>
        <rFont val="等线"/>
        <charset val="134"/>
      </rPr>
      <t xml:space="preserve">
</t>
    </r>
    <r>
      <rPr>
        <sz val="10"/>
        <color rgb="FF666666"/>
        <rFont val="微软雅黑"/>
        <family val="2"/>
        <charset val="134"/>
      </rPr>
      <t>Completion date: 01/20/2027</t>
    </r>
    <r>
      <rPr>
        <sz val="10"/>
        <color rgb="FF000000"/>
        <rFont val="等线"/>
        <charset val="134"/>
      </rPr>
      <t xml:space="preserve">
</t>
    </r>
    <r>
      <rPr>
        <b/>
        <sz val="10"/>
        <color rgb="FF000000"/>
        <rFont val="等线"/>
        <charset val="134"/>
      </rPr>
      <t xml:space="preserve">
</t>
    </r>
    <r>
      <rPr>
        <b/>
        <sz val="10"/>
        <color rgb="FF666666"/>
        <rFont val="微软雅黑"/>
        <family val="2"/>
        <charset val="134"/>
      </rPr>
      <t>Option 3:</t>
    </r>
    <r>
      <rPr>
        <sz val="10"/>
        <color rgb="FF666666"/>
        <rFont val="微软雅黑"/>
        <family val="2"/>
        <charset val="134"/>
      </rPr>
      <t xml:space="preserve"> In-line CIP. The vessel and piping are designed entirely following the 2D design philosophy.</t>
    </r>
    <r>
      <rPr>
        <sz val="10"/>
        <color rgb="FF000000"/>
        <rFont val="等线"/>
        <charset val="134"/>
      </rPr>
      <t xml:space="preserve">
</t>
    </r>
    <r>
      <rPr>
        <sz val="10"/>
        <color rgb="FF666666"/>
        <rFont val="微软雅黑"/>
        <family val="2"/>
        <charset val="134"/>
      </rPr>
      <t>Completion date: 04/25/2027</t>
    </r>
    <r>
      <rPr>
        <sz val="10"/>
        <color rgb="FF000000"/>
        <rFont val="等线"/>
        <charset val="134"/>
      </rPr>
      <t xml:space="preserve">
</t>
    </r>
  </si>
  <si>
    <t>Redesign is in progress. Once the design is confirmed, the key items will be discussed with the Lilly team before execution.</t>
    <phoneticPr fontId="1" type="noConversion"/>
  </si>
  <si>
    <t>QA / Mingzhi Chen
QA/陈明志</t>
  </si>
  <si>
    <t>For equipment and piping gaps not remediated before production, establish direct traceability in cleaning documentation, including manual cleaning, targeted inspection, and cleaning or draining instructions for dead legs</t>
    <phoneticPr fontId="1" type="noConversion"/>
  </si>
  <si>
    <t>Production / Anyao Tang
生产/唐安垚</t>
  </si>
  <si>
    <t>Lead time: 6 weeks
Modification: 3 weeks
Passivation: 1 week
Validation: 4 weeks
01/05/2027</t>
  </si>
  <si>
    <t>Temporary hoses are used to connect water outlets to the points of use.</t>
    <phoneticPr fontId="1" type="noConversion"/>
  </si>
  <si>
    <t>Production / Chunpeng Hu
Engineering / Hongjie Guo
生产/胡春鹏
工程/郭宏杰</t>
  </si>
  <si>
    <t>Install point-of-use filters for purified water supplied by hose to growth-promoting solutions, track time in use, and replace filters no later than 24 hours</t>
    <phoneticPr fontId="1" type="noConversion"/>
  </si>
  <si>
    <t>No requirement for filtration of purified water supplied by hose.</t>
    <phoneticPr fontId="1" type="noConversion"/>
  </si>
  <si>
    <t>Add filtration and filter replacement-interval requirements to the MOR.</t>
    <phoneticPr fontId="1" type="noConversion"/>
  </si>
  <si>
    <t>Assess representative sampling from new point-of-use drains and determine whether formal revalidation or an informal verification study is required to confirm water-system quality</t>
    <phoneticPr fontId="1" type="noConversion"/>
  </si>
  <si>
    <t>Completing this before Pre-PPQ is tight. Could it be completed after PPQ, with water used per the current practice in the meantime?</t>
    <phoneticPr fontId="1" type="noConversion"/>
  </si>
  <si>
    <t>Provide Lilly with the changeover strategy and governance for reused equipment, including cleaning limits, normally uncleaned lines, soft and hard-to-clean components, and replacement of filters, membranes, and resins</t>
    <phoneticPr fontId="1" type="noConversion"/>
  </si>
  <si>
    <t>Equipment is disassembled for cleaning, and ARL performs Level 2 testing of the reflux solvent. The line from the activation tank to the synthesizer is reused after solvent flushing.</t>
    <phoneticPr fontId="1" type="noConversion"/>
  </si>
  <si>
    <t>We will provide current practice to Lilly's team for discussion.</t>
  </si>
  <si>
    <t>Production / Yanlong Li
Fan Wang
Linchong Liu
生产/李延龙
王帆
刘林冲</t>
  </si>
  <si>
    <t>Define and document release controls for new equipment that demonstrate removal of fabrication and construction residues, debris and particulates, and acceptable bioburden before production use</t>
    <phoneticPr fontId="1" type="noConversion"/>
  </si>
  <si>
    <t>Production / Yanlong Li
Kai Liu
生产/李延龙
刘恺</t>
  </si>
  <si>
    <t xml:space="preserve">Execute spray coverage testing for all product-contact and growth-promoting equipment and incorporate qualified pressure, time, alarm limits, flow durations, and manual cleaning or swabbing of hard-to-clean areas into operating instructions
</t>
    <phoneticPr fontId="1" type="noConversion"/>
  </si>
  <si>
    <r>
      <rPr>
        <b/>
        <sz val="10"/>
        <color rgb="FF666666"/>
        <rFont val="微软雅黑"/>
        <family val="2"/>
        <charset val="134"/>
      </rPr>
      <t>Option 1:</t>
    </r>
    <r>
      <rPr>
        <sz val="10"/>
        <color rgb="FF666666"/>
        <rFont val="微软雅黑"/>
        <family val="2"/>
        <charset val="134"/>
      </rPr>
      <t xml:space="preserve">  No CIP. Equipment connections meet 2D requirement; transfer piping section does not meet 3D requirement. Disassembly cleaning will be required afterwards.
Completion date: 12/17/2026
</t>
    </r>
    <r>
      <rPr>
        <b/>
        <sz val="10"/>
        <color rgb="FF666666"/>
        <rFont val="微软雅黑"/>
        <family val="2"/>
        <charset val="134"/>
      </rPr>
      <t xml:space="preserve">
Option 2: </t>
    </r>
    <r>
      <rPr>
        <sz val="10"/>
        <color rgb="FF666666"/>
        <rFont val="微软雅黑"/>
        <family val="2"/>
        <charset val="134"/>
      </rPr>
      <t xml:space="preserve">No CIP. Equipment connections meet 2D requirement with CIP ports reserved. Most of the transfer piping meets 2D requirement and minimum 3D requirement.
Completion date: 01/20/2027
</t>
    </r>
    <r>
      <rPr>
        <b/>
        <sz val="10"/>
        <color rgb="FF666666"/>
        <rFont val="微软雅黑"/>
        <family val="2"/>
        <charset val="134"/>
      </rPr>
      <t xml:space="preserve">
Option 3: </t>
    </r>
    <r>
      <rPr>
        <sz val="10"/>
        <color rgb="FF666666"/>
        <rFont val="微软雅黑"/>
        <family val="2"/>
        <charset val="134"/>
      </rPr>
      <t>In-line CIP. The vessel and piping are designed entirely following the 2D design philosophy.
Completion date: 04/25/2027</t>
    </r>
  </si>
  <si>
    <t>Spray coverage testing is performed on the equipment.</t>
    <phoneticPr fontId="1" type="noConversion"/>
  </si>
  <si>
    <t>Spray coverage verification will be added after the modification is completed.</t>
    <phoneticPr fontId="1" type="noConversion"/>
  </si>
  <si>
    <t>Determine and implement a means for visitors/support staff to wear a dedicated base layer in classified areas</t>
    <phoneticPr fontId="1" type="noConversion"/>
  </si>
  <si>
    <t>Asymchem has an internal gowning procedure for classified areas. The gowning procedure needs to be revisited.</t>
    <phoneticPr fontId="1" type="noConversion"/>
  </si>
  <si>
    <t>Update the gowning procedure for classified areas.</t>
    <phoneticPr fontId="1" type="noConversion"/>
  </si>
  <si>
    <t>Follow up with Marie to understand acceptability.</t>
    <phoneticPr fontId="1" type="noConversion"/>
  </si>
  <si>
    <t>Production / Kai Liu
生产/刘恺</t>
  </si>
  <si>
    <t>Provide Lilly with the operations access-control strategy and governance, including required training, approval criteria, and periodic roster review to remove or flag inappropriate access</t>
    <phoneticPr fontId="1" type="noConversion"/>
  </si>
  <si>
    <t>Asymchem has an internal procedure for access control.
Asymchem 已有门禁控制内部程序。</t>
  </si>
  <si>
    <t>Present the Asymchem access-control procedure to Lilly.
向 Lilly 介绍 Asymchem 门禁控制程序。</t>
  </si>
  <si>
    <t>Conduct hold-time studies for all portable vessels used for temporary water or growth-promoting solution storage, confirm complete drainability, and incorporate hold-time and draining requirements into operating documents.</t>
    <phoneticPr fontId="1" type="noConversion"/>
  </si>
  <si>
    <t>This part of work has been completed. The documents will be presented to Lilly.</t>
  </si>
  <si>
    <t xml:space="preserve">Limit refresh time to 48 hours, even if hold time is demonstrated to be longer.
</t>
    <phoneticPr fontId="1" type="noConversion"/>
  </si>
  <si>
    <t>R&amp;D / Xinyi Zhu
Production / Hui Ma
研发/朱新义
生产/马辉</t>
  </si>
  <si>
    <t>Define controls that ensure only acceptable mobile phase is supplied to the process and specify the system response to out-of-range temperature, composition, or pH</t>
    <phoneticPr fontId="1" type="noConversion"/>
  </si>
  <si>
    <t>Conductivity is monitored downstream of the solution-preparation mixer: acceptable mobile phase is routed to the mobile-phase tank, and out-of-range mobile phase is diverted to waste. Solution preparation is metered by mass flow meters, so temperature changes have little effect on the metered composition before mixing. pH probes are installed at the mixer and on the receiving mobile-phase tank for monitoring.</t>
    <phoneticPr fontId="1" type="noConversion"/>
  </si>
  <si>
    <t>Please refer to the slides
 ( link in Column L)</t>
  </si>
  <si>
    <t>Production / Linchong Liu
IEPE / Zhiheng Wang
生产/刘林冲
IEPE/王志恒</t>
  </si>
  <si>
    <t>Provide the final pre-use and post-use filter integrity testing strategy</t>
    <phoneticPr fontId="1" type="noConversion"/>
  </si>
  <si>
    <t>Asymchem has an internal procedure for filter integrity testing.</t>
    <phoneticPr fontId="1" type="noConversion"/>
  </si>
  <si>
    <t>Present the Asymchem filter integrity testing strategy to Lilly.</t>
    <phoneticPr fontId="1" type="noConversion"/>
  </si>
  <si>
    <t>Production / Yonggang Shi
生产/史永钢</t>
  </si>
  <si>
    <t>Confirm AFD stroke height prevents blades from being submerged during displacement washes</t>
    <phoneticPr fontId="1" type="noConversion"/>
  </si>
  <si>
    <t>Calculation shall be performed based on material volume and compared against the lifting height.
Please refer to the slides
 ( link in Column L)</t>
    <phoneticPr fontId="1" type="noConversion"/>
  </si>
  <si>
    <t>Define the mill operating strategy for final drug-substance sampling, inerting, target drum weight without overfill, screen-temperature monitoring, and operator ergonomics</t>
    <phoneticPr fontId="1" type="noConversion"/>
  </si>
  <si>
    <t>Provide storyboard ppt</t>
    <phoneticPr fontId="1" type="noConversion"/>
  </si>
  <si>
    <t>Store hose ends at least 6 inches off the floor and provide a clear visual indicator confirming compliant storage position</t>
    <phoneticPr fontId="1" type="noConversion"/>
  </si>
  <si>
    <t>No requirement for the height of purified water hose ends above the floor.</t>
    <phoneticPr fontId="1" type="noConversion"/>
  </si>
  <si>
    <t>Update the SOP to add a minimum height requirement of 6 inches.</t>
    <phoneticPr fontId="1" type="noConversion"/>
  </si>
  <si>
    <t>Require contained devices for all solids-charging operations to prevent residual powder exposure to rooms and personnel. Require split valve charging strategy for all steps (including SPPS and cleavage).</t>
    <phoneticPr fontId="1" type="noConversion"/>
  </si>
  <si>
    <t>Purchased SBV, and will use SBV for all solids-charging operations</t>
    <phoneticPr fontId="1" type="noConversion"/>
  </si>
  <si>
    <t>Walk down all lines containing diaphragm valves, verify correct installation angle for drainability, and correct noncompliant installations</t>
    <phoneticPr fontId="1" type="noConversion"/>
  </si>
  <si>
    <t>Ensure representative sampling capability exists for every required process sample while minimizing product loss</t>
    <phoneticPr fontId="1" type="noConversion"/>
  </si>
  <si>
    <t>Install a sampling valve on the 100 L preparation drums.</t>
    <phoneticPr fontId="1" type="noConversion"/>
  </si>
  <si>
    <t>Engineering / Hongjie Guo
Production / Yanlong Li
工程/郭宏杰
生产/李延龙</t>
  </si>
  <si>
    <t>Update calibration instructions to keep tanks capped while non-retractable pH probes are calibrated, and evaluate replacement with retractable probe housings</t>
    <phoneticPr fontId="1" type="noConversion"/>
  </si>
  <si>
    <t>Retractable pH purchased, install once arrival. Leadtime 8 weeks.</t>
  </si>
  <si>
    <t xml:space="preserve">Scope </t>
  </si>
  <si>
    <t>Prior to Pre-PPQ</t>
  </si>
  <si>
    <t>All Steps</t>
  </si>
  <si>
    <t>Technical</t>
  </si>
  <si>
    <t>Med &gt; 1 week &lt; 1 Month</t>
  </si>
  <si>
    <t>BLA/technical</t>
  </si>
  <si>
    <t>Post PPQ</t>
  </si>
  <si>
    <t>High &gt; 1 month</t>
  </si>
  <si>
    <t>Cleavage</t>
  </si>
  <si>
    <t xml:space="preserve">Impurity Investigation </t>
  </si>
  <si>
    <t>Purification</t>
  </si>
  <si>
    <t>BLA Visit Action Tracker Summary
BLA 来访行动项跟踪汇总</t>
  </si>
  <si>
    <t>Metric
指标</t>
  </si>
  <si>
    <t>Count
数量</t>
  </si>
  <si>
    <t>Priority
优先级</t>
  </si>
  <si>
    <t>Total Actions
行动项总数</t>
  </si>
  <si>
    <t>High
高</t>
  </si>
  <si>
    <t>High Priority
高优先级</t>
  </si>
  <si>
    <t>Medium
中</t>
  </si>
  <si>
    <t>Open
未关闭</t>
  </si>
  <si>
    <t>Low
低</t>
  </si>
  <si>
    <t>In Progress
进行中</t>
  </si>
  <si>
    <t>Blocked
阻塞</t>
  </si>
  <si>
    <t>Completed
已完成</t>
  </si>
  <si>
    <t>How to Use This Tracker
本跟踪表使用说明</t>
  </si>
  <si>
    <t>• Assign a named owner in the Suggested Owner column, replacing the suggested function if appropriate.
• 在建议负责人一栏指定具体责任人；如适用，替换建议的职能。</t>
  </si>
  <si>
    <t>• Set a due date for every High-priority item.
• 为每个高优先级事项设定截止日期。</t>
  </si>
  <si>
    <t>• Use the Status dropdown to update progress.
• 使用“状态”下拉列表更新进展。</t>
  </si>
  <si>
    <t>• Use table filters to review actions by day, area, priority, owner, or status.
• 使用表格筛选，按日期、区域、优先级、责任人或状态查看行动项。</t>
  </si>
  <si>
    <t>• Priorities and owners are suggested organizational fields derived from the visit notes and should be confirmed by the project team.
• 优先级与责任人为根据来访记录建议的组织字段，需由项目团队确认。</t>
  </si>
  <si>
    <t>Lilly Response</t>
  </si>
  <si>
    <t>Interim measure recommended to use flashlights through sight glasses to perform visual inspections</t>
  </si>
  <si>
    <t>Please evaluate steps 1 and 2 rigs to confirm if similar gaps exist</t>
  </si>
  <si>
    <t>Need to propose and implement short term administrative controls to address this gap until the long term facility modificaition can be made</t>
  </si>
  <si>
    <t>Update procdure to ensure future new hose installations are rinsed with solvent prior to use (Not water/methanol as last fuild through the hose prior to use in the process)</t>
  </si>
  <si>
    <t>Platinum-cured silicone hoses are used.</t>
  </si>
  <si>
    <t>AJM: Acceptable. Consider point closed.</t>
  </si>
  <si>
    <t>Need further discussion to clarify Asymchem's proposed options. Not sure we are following what the Options in column F mean.</t>
  </si>
  <si>
    <t xml:space="preserve">Please ensure insructions are provided in MOR to use flashlights as needed to complete visual inspections inside tanks in the interim. </t>
  </si>
  <si>
    <t xml:space="preserve">AJM: Sounds good. For diptube, if adding above surface, make sure that flow is directed into liquid heel of tank and not towards any surfaces. If using sub-surface, ensure that you can prevent non-homogenity concerns in line. For material, if using PTFE, consider impacts of permeation - consider PFA as alternative. </t>
  </si>
  <si>
    <t>AJM: No additional follow up needed if consifrmed in MOR. Just want to ensure enough detail is present to ensure that we accurately account for what made it into the tank.</t>
  </si>
  <si>
    <t>Intent is to replace with smooth bore hoses prior to PPQ start for each step. If not possible please specify where corrugated will be used in the short term. Please clarify the MOC of process/solvent contacting hoses. Are they silicone? We were under the impression they were PTFE and only water hoses were silicone.</t>
  </si>
  <si>
    <t xml:space="preserve">AJM: Additionally, please confirm that when water hose connections are made that draining of the hose after use is considered to prevent water from getting on equipment/floor during disconnection. </t>
  </si>
  <si>
    <t>AJM: Please provide an example of what this will look like at your earliest convinence for feedback from the Lilly team. In the example, please include a variety of filter types (particualte control only, bioburden control, raw material/utility, etc.), so we can provide meaningful feedback.</t>
  </si>
  <si>
    <t>JOB: Lilly will review CCS and provide feedback</t>
  </si>
  <si>
    <t>JOB: Update cleaning risk assessment</t>
  </si>
  <si>
    <t>No additional follow up needed.</t>
  </si>
  <si>
    <t>L1 Step 1 Completed; Step 2: 10/06/2026
L2 Step 1 Completed; Step 2: 10/06/2026
L3 Step 1 Completed; Step 2: 10/06/2026; 
Step 3: 10/08/2026
GG917 Step 1 Completed; Step 2: 10/05/2026; 
Step 3: Completed</t>
  </si>
  <si>
    <t>No additional follow up needed on approach. However, please clarify the difference between the two "Step 3"'s provided in column F.</t>
  </si>
  <si>
    <t>Further discussion needed on strategy to address concerns with unpassivated solvent header tanks, piping, and weld quality based on obsvervations from recent deviation. How long would it take to passivate solvent headers and/or inspect a subset of welds for rust via visual inspection or boroscope? Was the weld involved in the residue investigation a hand weld?</t>
  </si>
  <si>
    <t xml:space="preserve">CNC raw material staging area lacks appropriate controls. Evaluate options and implement  short term safeguards to reduce risk associated with the lack of a CNC material-flow buffer zone and differential-pressure interlock in Workshop 12 CNC </t>
  </si>
  <si>
    <t xml:space="preserve">No additional follow up required. However, please ensure spare hoses are on order/in hand for critical hoses in the event a replacement is needed. </t>
  </si>
  <si>
    <t>To be clear, our expectation would be that there should be specific recording of time received at the outdoor dock and time moved into building by Operations. This will provide traceability with respect to how long material was exposed to outdoor conditions. Time outdoors should be minimized.</t>
  </si>
  <si>
    <t>No additional follow up.</t>
  </si>
  <si>
    <t>AJM: Please confirm that this applies to all raw material charges throughout the process (Step 1, 2, 3A/3B). 10 micron is more reasonable but still not consistent with guidance that you shared for other particualte control filters (0.45 micron per your other guidance). On site we had discussed using something like the Parker ZCTP1-045C-N-PP Fluroplus filter - is there a reason you elected to go away from this?</t>
  </si>
  <si>
    <t>Need to align on cleaning interval length for each step which will establish frequency of "major" cleaning. When an interval is applied, what is the strategy for hold duration between batches within an interval?
When will the cleaning master batch record be required for SPPS? After first batch? This may drive the timeline and ugency for alignement on cleaning strategy and documentation. Until this is developed what instructions will Asymchem use to complete appropriate cleaning between Step 3 demo and PPQ start to ensure the equipment is sufficiently clean? What cleaning record was executed after Step 1/Step 2 Demo - can we review this?
Please ensure that cleaning SOPs/records are inclusive of any product contact misc. component cleaning required (filter housings, pumps, etc.) that may not be readily cleaned by CIP cycle.
Also, for each step, please point us to where rinse/swab limit calculations exist so we can review these. Additionally, please specify how many cleaning verification vs. validation runs will be executed and when cleaning validation will be started (with respect to PPQ) for each step.</t>
  </si>
  <si>
    <t xml:space="preserve">AJM: No additional concern. 
JOB: Do we have solubility data to support water and IPA wipes removing potential residual material? Or, is visually clean the only control? </t>
  </si>
  <si>
    <t>No additional follow up. Consider point closed.</t>
  </si>
  <si>
    <t xml:space="preserve">
Is there a general procedure/process in place that describes Asymchems approach to changeover and segregation practices?
JOB: Lilly will review CCS and provide feedback</t>
  </si>
  <si>
    <t>Use permeable film to cover the ends of process and water hoses.</t>
  </si>
  <si>
    <t xml:space="preserve">Based on timeline provided, does this mean we will plan to start PPQ without these present?
JOB: Cleaning Documation updates will be necessary for SBV additions, MOR operation instructions updates, </t>
  </si>
  <si>
    <t>Confirm that permeable films are compatable with all process/solvent solutions. If not, and the process/solvent is non-growth promoting, use clean, solid cap instead.</t>
  </si>
  <si>
    <t>AJM: Please confirm low-point drains on both sides of PD pumps are present.</t>
  </si>
  <si>
    <t xml:space="preserve">AJM: Please explain what the Options in COlumn F mean in more details. Please share videos of progress when possible for Lilly to visually confirm acceptability. Also, where needed, please send design drawings for our confirmation before installing in field. I am most interested for how you are going to overcome the non-ideal instruments like the level transmitters and temperature elements as these are less straightforward to me than some of the other items. </t>
  </si>
  <si>
    <t>Purified Water header throughout the facility does not meet industry guidance - sample point is not representative of POU, no means of pre-use flushing/blowing, etc. Additionally, POU filtration should be provided for any PW supplied to a growth promoting solution via hose connection (upstream of drain line). These filters should have time in use tracked and be replaced frequently (NMT 24 hours).
Implement point-of-use flushing directly to waste and post-use draining and drying for purified-water lines using zero-static valves or minimum-distance tees without creating dead legs
全厂纯化水（Purified Water）</t>
  </si>
  <si>
    <t>Please clarify if there are similar gaps on Step 1/Step 2 for any process or cleaning water supply. 
Also, please update us on status of modifications via videos. Also, please confirm if we can have an interim solution in place while waiitng on zero-static valves (use of hoses/portable flow meters, use of just minimum distance tees/normal valves, etc.). Need to understand what our risk mitigations will be until long term modification can be in place.</t>
  </si>
  <si>
    <t>AJM: Just to confirm, we only require these filters downstream of water hose connection if we are feeding a growth promoting solution.</t>
  </si>
  <si>
    <t>AJM: See comment above. We will need to understand what the interim solution will look like and what data we can generate closer to client in the short term (abbreviated validation/ad hoc sampling protocol, etc.).</t>
  </si>
  <si>
    <t xml:space="preserve">AJM: Please advise when this will be provided for our review and comment. We want to make sure anything that is being re-used for our process (not new) is adequately changed over/cleaned/replaced - could you provide a list for each step clarifying what equipment has been previously used by a different process? </t>
  </si>
  <si>
    <t>AJM: Please advise when this will be provided for our review.</t>
  </si>
  <si>
    <t>AJM: Please ensure that results of spracy coverage are directly incorporated into cleaning records/SOPs (time, pressure, swab locations, etc.).</t>
  </si>
  <si>
    <t xml:space="preserve">AJM: Please advise when procedure will be provided. </t>
  </si>
  <si>
    <t>AJM: I will review provided information and revert back.</t>
  </si>
  <si>
    <t xml:space="preserve">AJM: Please advise when strategy will be provided. </t>
  </si>
  <si>
    <t>AJM: Confirm visual indicator of 6 inches will be provided in field at sotrage locations (painted line, etc.).</t>
  </si>
  <si>
    <t xml:space="preserve">AJM: Not following response here. This is just simple action to correct diaphragm valves already existing. </t>
  </si>
  <si>
    <t>AJM: Not following response. I would expect to see a sample map for the process (listing every sample to be pulled) and then confirmation that sampling capability exists - from where will you pull that sample (valve ID, location).</t>
  </si>
  <si>
    <t>AJM: What will be interim solution for PPQ since this installation will have to occur after PPQ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</si>
</sst>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2"/>
      <color theme="1"/>
      <name val="Calibri"/>
      <family val="2"/>
      <charset val="134"/>
      <scheme val="minor"/>
    </font>
    <font>
      <sz val="9"/>
      <name val="Calibri"/>
      <family val="2"/>
      <charset val="134"/>
      <scheme val="minor"/>
    </font>
    <font>
      <sz val="11"/>
      <color rgb="FF000000"/>
      <name val="宋体"/>
      <charset val="134"/>
    </font>
    <font>
      <b/>
      <sz val="11"/>
      <color rgb="FFFFFFFF"/>
      <name val="微软雅黑"/>
      <family val="2"/>
      <charset val="134"/>
    </font>
    <font>
      <sz val="11"/>
      <color rgb="FF666666"/>
      <name val="微软雅黑"/>
      <family val="2"/>
      <charset val="134"/>
    </font>
    <font>
      <sz val="11"/>
      <color rgb="FF0000FF"/>
      <name val="微软雅黑"/>
      <family val="2"/>
      <charset val="134"/>
    </font>
    <font>
      <sz val="11"/>
      <color rgb="FFFF0000"/>
      <name val="微软雅黑"/>
      <family val="2"/>
      <charset val="134"/>
    </font>
    <font>
      <sz val="10"/>
      <color rgb="FF000000"/>
      <name val="等线"/>
      <charset val="134"/>
    </font>
    <font>
      <sz val="11"/>
      <color rgb="FF008000"/>
      <name val="微软雅黑"/>
      <family val="2"/>
      <charset val="134"/>
    </font>
    <font>
      <b/>
      <sz val="11"/>
      <color rgb="FFFFFFFF"/>
      <name val="Calibri"/>
      <family val="2"/>
    </font>
    <font>
      <sz val="12"/>
      <color rgb="FFFF0000"/>
      <name val="等线"/>
      <charset val="134"/>
    </font>
    <font>
      <sz val="12"/>
      <color rgb="FFF79646"/>
      <name val="等线"/>
      <charset val="134"/>
    </font>
    <font>
      <sz val="11"/>
      <color rgb="FF595959"/>
      <name val="微软雅黑"/>
      <family val="2"/>
      <charset val="134"/>
    </font>
    <font>
      <sz val="12"/>
      <color rgb="FF000000"/>
      <name val="等线"/>
      <charset val="134"/>
    </font>
    <font>
      <sz val="11"/>
      <color rgb="FF000000"/>
      <name val="微软雅黑"/>
      <family val="2"/>
      <charset val="134"/>
    </font>
    <font>
      <sz val="10"/>
      <color rgb="FF666666"/>
      <name val="微软雅黑"/>
      <family val="2"/>
      <charset val="134"/>
    </font>
    <font>
      <sz val="11"/>
      <color rgb="FFBFBFBF"/>
      <name val="微软雅黑"/>
      <family val="2"/>
      <charset val="134"/>
    </font>
    <font>
      <u/>
      <sz val="12"/>
      <color theme="10"/>
      <name val="等线"/>
      <charset val="134"/>
    </font>
    <font>
      <b/>
      <sz val="18"/>
      <color rgb="FFFFFFFF"/>
      <name val="Calibri"/>
      <family val="2"/>
    </font>
    <font>
      <sz val="11"/>
      <color rgb="FF7F7F7F"/>
      <name val="微软雅黑"/>
      <family val="2"/>
      <charset val="134"/>
    </font>
    <font>
      <b/>
      <sz val="10"/>
      <color rgb="FF666666"/>
      <name val="微软雅黑"/>
      <family val="2"/>
      <charset val="134"/>
    </font>
    <font>
      <sz val="10"/>
      <color rgb="FF595959"/>
      <name val="微软雅黑"/>
      <family val="2"/>
      <charset val="134"/>
    </font>
    <font>
      <b/>
      <sz val="10"/>
      <color rgb="FF000000"/>
      <name val="等线"/>
      <charset val="134"/>
    </font>
    <font>
      <sz val="11"/>
      <name val="微软雅黑"/>
      <family val="2"/>
      <charset val="134"/>
    </font>
    <font>
      <sz val="11"/>
      <name val="宋体"/>
      <family val="3"/>
      <charset val="134"/>
    </font>
    <font>
      <sz val="11"/>
      <color theme="1" tint="0.34998626667073579"/>
      <name val="微软雅黑"/>
      <family val="2"/>
      <charset val="134"/>
    </font>
    <font>
      <b/>
      <sz val="12"/>
      <color rgb="FFFFC000"/>
      <name val="微软雅黑"/>
      <family val="2"/>
      <charset val="134"/>
    </font>
    <font>
      <sz val="11"/>
      <color theme="0" tint="-0.34998626667073579"/>
      <name val="微软雅黑"/>
      <family val="2"/>
      <charset val="134"/>
    </font>
    <font>
      <b/>
      <sz val="11"/>
      <color theme="0"/>
      <name val="微软雅黑"/>
      <family val="2"/>
      <charset val="134"/>
    </font>
    <font>
      <b/>
      <sz val="12"/>
      <color theme="0"/>
      <name val="宋体"/>
      <family val="3"/>
      <charset val="134"/>
    </font>
    <font>
      <sz val="11"/>
      <color rgb="FF666666"/>
      <name val="微软雅黑"/>
    </font>
  </fonts>
  <fills count="8">
    <fill>
      <patternFill patternType="none"/>
    </fill>
    <fill>
      <patternFill patternType="gray125"/>
    </fill>
    <fill>
      <patternFill patternType="solid">
        <fgColor rgb="FF1F4E78"/>
      </patternFill>
    </fill>
    <fill>
      <patternFill patternType="solid">
        <fgColor rgb="FF4F81BD"/>
      </patternFill>
    </fill>
    <fill>
      <patternFill patternType="solid">
        <fgColor rgb="FFDCE6F2"/>
      </patternFill>
    </fill>
    <fill>
      <patternFill patternType="solid">
        <fgColor rgb="FFDAE2F6"/>
      </patternFill>
    </fill>
    <fill>
      <patternFill patternType="solid">
        <fgColor rgb="FFFFFFFF"/>
      </patternFill>
    </fill>
    <fill>
      <patternFill patternType="solid">
        <fgColor rgb="FFFFC000"/>
        <bgColor indexed="64"/>
      </patternFill>
    </fill>
  </fills>
  <borders count="2">
    <border>
      <left/>
      <right/>
      <top/>
      <bottom/>
      <diagonal/>
    </border>
    <border>
      <left style="thin">
        <color rgb="FFA4A5A5"/>
      </left>
      <right style="thin">
        <color rgb="FFA4A5A5"/>
      </right>
      <top style="thin">
        <color rgb="FFA4A5A5"/>
      </top>
      <bottom style="thin">
        <color rgb="FFA4A5A5"/>
      </bottom>
      <diagonal/>
    </border>
  </borders>
  <cellStyleXfs count="1">
    <xf numFmtId="0" fontId="0" fillId="0" borderId="0">
      <alignment vertical="center"/>
    </xf>
  </cellStyleXfs>
  <cellXfs count="71">
    <xf numFmtId="0" fontId="0" fillId="0" borderId="0" xfId="0">
      <alignment vertical="center"/>
    </xf>
    <xf numFmtId="0" fontId="2" fillId="0" borderId="1" xfId="0" applyFont="1" applyBorder="1" applyAlignment="1"/>
    <xf numFmtId="0" fontId="2" fillId="0" borderId="1" xfId="0" applyFont="1" applyBorder="1">
      <alignment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3"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0" borderId="0" xfId="0" applyFont="1" applyAlignment="1"/>
    <xf numFmtId="14" fontId="4" fillId="6" borderId="1" xfId="0" applyNumberFormat="1" applyFont="1" applyFill="1" applyBorder="1" applyAlignment="1">
      <alignment horizontal="center" vertical="center" wrapText="1"/>
    </xf>
    <xf numFmtId="0" fontId="7" fillId="0" borderId="0" xfId="0" applyFont="1">
      <alignment vertical="center"/>
    </xf>
    <xf numFmtId="0" fontId="6" fillId="4" borderId="1" xfId="0" applyFont="1" applyFill="1" applyBorder="1" applyAlignment="1">
      <alignment horizontal="center" vertical="center" wrapText="1"/>
    </xf>
    <xf numFmtId="0" fontId="2" fillId="0" borderId="1" xfId="0" applyFont="1" applyBorder="1" applyAlignment="1">
      <alignment horizontal="left" vertical="center"/>
    </xf>
    <xf numFmtId="14" fontId="4" fillId="4" borderId="1" xfId="0" applyNumberFormat="1" applyFont="1" applyFill="1" applyBorder="1" applyAlignment="1">
      <alignment horizontal="center" vertical="center" wrapText="1"/>
    </xf>
    <xf numFmtId="14" fontId="4" fillId="0" borderId="1" xfId="0" applyNumberFormat="1" applyFont="1" applyBorder="1" applyAlignment="1">
      <alignment horizontal="center" vertical="center" wrapText="1"/>
    </xf>
    <xf numFmtId="0" fontId="8" fillId="4" borderId="1" xfId="0" applyFont="1" applyFill="1" applyBorder="1" applyAlignment="1">
      <alignment horizontal="left" vertical="center" wrapText="1"/>
    </xf>
    <xf numFmtId="0" fontId="4" fillId="4" borderId="1" xfId="0" applyFont="1" applyFill="1" applyBorder="1" applyAlignment="1">
      <alignment vertical="center" wrapText="1"/>
    </xf>
    <xf numFmtId="0" fontId="8" fillId="0" borderId="1" xfId="0" applyFont="1" applyBorder="1" applyAlignment="1">
      <alignment horizontal="left" vertical="center" wrapText="1"/>
    </xf>
    <xf numFmtId="0" fontId="10" fillId="0" borderId="0" xfId="0" applyFont="1">
      <alignment vertical="center"/>
    </xf>
    <xf numFmtId="0" fontId="11" fillId="0" borderId="0" xfId="0" applyFont="1">
      <alignment vertical="center"/>
    </xf>
    <xf numFmtId="0" fontId="4" fillId="0" borderId="1" xfId="0" quotePrefix="1" applyFont="1" applyBorder="1" applyAlignment="1">
      <alignment horizontal="center" vertical="center" wrapText="1"/>
    </xf>
    <xf numFmtId="0" fontId="4" fillId="4" borderId="1" xfId="0" quotePrefix="1"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12" fillId="4" borderId="1" xfId="0" applyFont="1" applyFill="1" applyBorder="1" applyAlignment="1">
      <alignment horizontal="center" vertical="center" wrapText="1"/>
    </xf>
    <xf numFmtId="0" fontId="12" fillId="4" borderId="1" xfId="0" applyFont="1" applyFill="1" applyBorder="1" applyAlignment="1">
      <alignment vertical="center" wrapText="1"/>
    </xf>
    <xf numFmtId="14" fontId="12" fillId="4" borderId="1" xfId="0" applyNumberFormat="1" applyFont="1" applyFill="1" applyBorder="1" applyAlignment="1">
      <alignment horizontal="center" vertical="center" wrapText="1"/>
    </xf>
    <xf numFmtId="0" fontId="14" fillId="0" borderId="1" xfId="0" applyFont="1" applyBorder="1" applyAlignment="1">
      <alignment horizontal="center" vertical="center" wrapText="1"/>
    </xf>
    <xf numFmtId="14" fontId="15" fillId="0" borderId="1" xfId="0" applyNumberFormat="1" applyFont="1" applyBorder="1" applyAlignment="1">
      <alignment horizontal="left" vertical="center" wrapText="1"/>
    </xf>
    <xf numFmtId="0" fontId="16" fillId="0" borderId="1" xfId="0" applyFont="1" applyBorder="1" applyAlignment="1">
      <alignment horizontal="center" vertical="center" wrapText="1"/>
    </xf>
    <xf numFmtId="0" fontId="16" fillId="4" borderId="1" xfId="0" applyFont="1" applyFill="1" applyBorder="1" applyAlignment="1">
      <alignment horizontal="center" vertical="center" wrapText="1"/>
    </xf>
    <xf numFmtId="0" fontId="9" fillId="2" borderId="0" xfId="0" applyFont="1" applyFill="1" applyAlignment="1"/>
    <xf numFmtId="14" fontId="4" fillId="4" borderId="1" xfId="0" applyNumberFormat="1" applyFont="1" applyFill="1" applyBorder="1" applyAlignment="1">
      <alignment horizontal="left" vertical="center" wrapText="1"/>
    </xf>
    <xf numFmtId="0" fontId="17" fillId="0" borderId="0" xfId="0" applyFont="1" applyAlignment="1">
      <alignment vertical="center" wrapText="1"/>
    </xf>
    <xf numFmtId="0" fontId="23" fillId="4" borderId="1" xfId="0" applyFont="1" applyFill="1" applyBorder="1" applyAlignment="1">
      <alignment horizontal="center" vertical="center" wrapText="1"/>
    </xf>
    <xf numFmtId="0" fontId="23" fillId="0" borderId="1" xfId="0" applyFont="1" applyBorder="1" applyAlignment="1">
      <alignment horizontal="center" vertical="center" wrapText="1"/>
    </xf>
    <xf numFmtId="0" fontId="24" fillId="0" borderId="1" xfId="0" applyFont="1" applyBorder="1" applyAlignment="1">
      <alignment horizontal="center" vertical="center"/>
    </xf>
    <xf numFmtId="0" fontId="25" fillId="4" borderId="1" xfId="0" applyFont="1" applyFill="1" applyBorder="1" applyAlignment="1">
      <alignment vertical="center" wrapText="1"/>
    </xf>
    <xf numFmtId="0" fontId="26" fillId="2" borderId="1" xfId="0" applyFont="1" applyFill="1" applyBorder="1" applyAlignment="1">
      <alignment horizontal="center" vertical="center" wrapText="1"/>
    </xf>
    <xf numFmtId="0" fontId="25" fillId="4" borderId="1" xfId="0" applyFont="1" applyFill="1" applyBorder="1" applyAlignment="1">
      <alignment horizontal="left" vertical="center" wrapText="1"/>
    </xf>
    <xf numFmtId="0" fontId="27" fillId="4"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4" fillId="0" borderId="1" xfId="0" applyFont="1" applyBorder="1" applyAlignment="1">
      <alignment vertical="center" wrapText="1"/>
    </xf>
    <xf numFmtId="0" fontId="28" fillId="2" borderId="1" xfId="0" applyFont="1" applyFill="1" applyBorder="1" applyAlignment="1">
      <alignment horizontal="center" vertical="center" wrapText="1"/>
    </xf>
    <xf numFmtId="0" fontId="16" fillId="0" borderId="1" xfId="0" applyFont="1" applyBorder="1" applyAlignment="1">
      <alignment horizontal="left" vertical="center" wrapText="1"/>
    </xf>
    <xf numFmtId="0" fontId="16" fillId="0" borderId="1" xfId="0" applyFont="1" applyBorder="1" applyAlignment="1">
      <alignment vertical="center" wrapText="1"/>
    </xf>
    <xf numFmtId="0" fontId="16" fillId="4" borderId="1" xfId="0" applyFont="1" applyFill="1" applyBorder="1" applyAlignment="1">
      <alignment horizontal="left" vertical="center" wrapText="1"/>
    </xf>
    <xf numFmtId="0" fontId="16" fillId="4" borderId="1" xfId="0" applyFont="1" applyFill="1" applyBorder="1" applyAlignment="1">
      <alignment vertical="center" wrapText="1"/>
    </xf>
    <xf numFmtId="0" fontId="29" fillId="3" borderId="1" xfId="0" applyFont="1" applyFill="1" applyBorder="1" applyAlignment="1">
      <alignment horizontal="center" vertical="center" wrapText="1"/>
    </xf>
    <xf numFmtId="0" fontId="25" fillId="0" borderId="1" xfId="0" applyFont="1" applyBorder="1" applyAlignment="1">
      <alignment vertical="center" wrapText="1"/>
    </xf>
    <xf numFmtId="0" fontId="16" fillId="0" borderId="1" xfId="0" quotePrefix="1" applyFont="1" applyBorder="1" applyAlignment="1">
      <alignment horizontal="center" vertical="center" wrapText="1"/>
    </xf>
    <xf numFmtId="0" fontId="16" fillId="4" borderId="1" xfId="0" quotePrefix="1" applyFont="1" applyFill="1" applyBorder="1" applyAlignment="1">
      <alignment horizontal="center" vertical="center" wrapText="1"/>
    </xf>
    <xf numFmtId="0" fontId="17" fillId="4" borderId="0" xfId="0" applyFont="1" applyFill="1" applyAlignment="1">
      <alignment vertical="center" wrapText="1"/>
    </xf>
    <xf numFmtId="0" fontId="9" fillId="2" borderId="0" xfId="0" applyFont="1" applyFill="1" applyAlignment="1">
      <alignment wrapText="1"/>
    </xf>
    <xf numFmtId="0" fontId="2" fillId="0" borderId="0" xfId="0" applyFont="1" applyAlignment="1">
      <alignment wrapText="1"/>
    </xf>
    <xf numFmtId="0" fontId="18" fillId="2" borderId="0" xfId="0" applyFont="1" applyFill="1" applyAlignment="1">
      <alignment wrapText="1"/>
    </xf>
    <xf numFmtId="0" fontId="2" fillId="0" borderId="0" xfId="0" applyFont="1" applyAlignment="1"/>
    <xf numFmtId="0" fontId="13" fillId="0" borderId="0" xfId="0" applyFont="1">
      <alignment vertical="center"/>
    </xf>
    <xf numFmtId="0" fontId="2" fillId="0" borderId="0" xfId="0" applyFont="1" applyAlignment="1">
      <alignment vertical="top" wrapText="1"/>
    </xf>
    <xf numFmtId="0" fontId="14" fillId="7" borderId="1" xfId="0" applyFont="1" applyFill="1" applyBorder="1" applyAlignment="1">
      <alignment horizontal="center" vertical="center" wrapText="1"/>
    </xf>
    <xf numFmtId="0" fontId="4" fillId="0" borderId="1" xfId="0" quotePrefix="1" applyFont="1" applyBorder="1" applyAlignment="1">
      <alignment horizontal="left" vertical="center" wrapText="1"/>
    </xf>
    <xf numFmtId="0" fontId="26" fillId="2" borderId="1" xfId="0" applyFont="1" applyFill="1" applyBorder="1" applyAlignment="1">
      <alignment horizontal="left" vertical="center" wrapText="1"/>
    </xf>
    <xf numFmtId="0" fontId="30" fillId="0" borderId="1" xfId="0" applyFont="1" applyBorder="1" applyAlignment="1">
      <alignment horizontal="left" vertical="center" wrapText="1"/>
    </xf>
    <xf numFmtId="0" fontId="4" fillId="4" borderId="1" xfId="0" quotePrefix="1" applyFont="1" applyFill="1" applyBorder="1" applyAlignment="1">
      <alignment horizontal="left" vertical="center" wrapText="1"/>
    </xf>
    <xf numFmtId="0" fontId="16" fillId="0" borderId="1" xfId="0" quotePrefix="1" applyFont="1" applyBorder="1" applyAlignment="1">
      <alignment horizontal="left" vertical="center" wrapText="1"/>
    </xf>
    <xf numFmtId="0" fontId="16" fillId="4" borderId="1" xfId="0" quotePrefix="1" applyFont="1" applyFill="1" applyBorder="1" applyAlignment="1">
      <alignment horizontal="left" vertical="center" wrapText="1"/>
    </xf>
    <xf numFmtId="0" fontId="30" fillId="4" borderId="1" xfId="0" applyFont="1" applyFill="1" applyBorder="1" applyAlignment="1">
      <alignment horizontal="left" vertical="center" wrapText="1"/>
    </xf>
  </cellXfs>
  <cellStyles count="1">
    <cellStyle name="Normal" xfId="0" builtinId="0"/>
  </cellStyles>
  <dxfs count="47">
    <dxf>
      <font>
        <b val="0"/>
        <i val="0"/>
        <strike val="0"/>
        <condense val="0"/>
        <extend val="0"/>
        <outline val="0"/>
        <shadow val="0"/>
        <u val="none"/>
        <vertAlign val="baseline"/>
        <sz val="11"/>
        <color rgb="FF666666"/>
        <name val="微软雅黑"/>
        <family val="2"/>
        <charset val="134"/>
        <scheme val="none"/>
      </font>
      <fill>
        <patternFill patternType="solid">
          <fgColor indexed="64"/>
          <bgColor rgb="FFDCE6F2"/>
        </patternFill>
      </fill>
      <alignment horizontal="left" vertical="center" textRotation="0" wrapText="1" indent="0" justifyLastLine="0" shrinkToFit="0" readingOrder="0"/>
      <border diagonalUp="0" diagonalDown="0" outline="0">
        <left style="thin">
          <color rgb="FFA4A5A5"/>
        </left>
        <right style="thin">
          <color rgb="FFA4A5A5"/>
        </right>
        <top style="thin">
          <color rgb="FFA4A5A5"/>
        </top>
        <bottom style="thin">
          <color rgb="FFA4A5A5"/>
        </bottom>
      </border>
    </dxf>
    <dxf>
      <border outline="0">
        <left style="thin">
          <color rgb="FFA4A5A5"/>
        </left>
      </border>
    </dxf>
    <dxf>
      <border outline="0">
        <left style="thin">
          <color rgb="FFA4A5A5"/>
        </left>
        <right style="thin">
          <color rgb="FFA4A5A5"/>
        </right>
      </border>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alignment vertical="center" textRotation="0" indent="0" justifyLastLine="0" shrinkToFit="0" readingOrder="0"/>
    </dxf>
    <dxf>
      <border outline="0">
        <left style="thin">
          <color rgb="FFA4A5A5"/>
        </left>
      </border>
    </dxf>
    <dxf>
      <border outline="0">
        <left style="thin">
          <color rgb="FFA4A5A5"/>
        </left>
      </border>
    </dxf>
    <dxf>
      <border outline="0">
        <right style="thin">
          <color rgb="FFA4A5A5"/>
        </right>
      </border>
    </dxf>
    <dxf>
      <border outline="0">
        <left style="thin">
          <color rgb="FFA4A5A5"/>
        </left>
      </border>
    </dxf>
    <dxf>
      <font>
        <strike val="0"/>
        <outline val="0"/>
        <shadow val="0"/>
        <u val="none"/>
        <vertAlign val="baseline"/>
        <sz val="11"/>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LAActionTracker" displayName="BLAActionTracker" ref="B1:O56" totalsRowShown="0">
  <autoFilter ref="B1:O56" xr:uid="{00000000-0009-0000-0100-000001000000}">
    <filterColumn colId="10">
      <filters>
        <filter val="Open"/>
      </filters>
    </filterColumn>
  </autoFilter>
  <tableColumns count="14">
    <tableColumn id="1" xr3:uid="{00000000-0010-0000-0000-000001000000}" name="Category" totalsRowFunction="custom" dataDxfId="46"/>
    <tableColumn id="2" xr3:uid="{00000000-0010-0000-0000-000002000000}" name="Action Item" totalsRowFunction="custom" dataDxfId="45"/>
    <tableColumn id="3" xr3:uid="{00000000-0010-0000-0000-000003000000}" name="Implementation Timing" totalsRowFunction="custom"/>
    <tableColumn id="4" xr3:uid="{00000000-0010-0000-0000-000004000000}" name="Implementation Effort" totalsRowFunction="custom" dataDxfId="44"/>
    <tableColumn id="5" xr3:uid="{00000000-0010-0000-0000-000005000000}" name="Proposed target completion date" totalsRowFunction="custom"/>
    <tableColumn id="6" xr3:uid="{00000000-0010-0000-0000-000006000000}" name="Existing approach" totalsRowFunction="custom" dataDxfId="43"/>
    <tableColumn id="7" xr3:uid="{00000000-0010-0000-0000-000007000000}" name="Action Plan" totalsRowFunction="custom" dataDxfId="42"/>
    <tableColumn id="8" xr3:uid="{00000000-0010-0000-0000-000008000000}" name="Questions" totalsRowFunction="custom" dataDxfId="2"/>
    <tableColumn id="14" xr3:uid="{5F38FACC-D063-428C-B1FA-57763987A60E}" name="Lilly Response" dataDxfId="0"/>
    <tableColumn id="9" xr3:uid="{00000000-0010-0000-0000-000009000000}" name="Scope" totalsRowFunction="custom" dataDxfId="1"/>
    <tableColumn id="10" xr3:uid="{00000000-0010-0000-0000-00000A000000}" name="Status" totalsRowFunction="custom"/>
    <tableColumn id="11" xr3:uid="{00000000-0010-0000-0000-00000B000000}" name="Notes" totalsRowFunction="custom" dataDxfId="41"/>
    <tableColumn id="12" xr3:uid="{00000000-0010-0000-0000-00000C000000}" name="Asymchem Lead Owner" totalsRowFunction="custom"/>
    <tableColumn id="13" xr3:uid="{00000000-0010-0000-0000-00000D000000}" name="Lilly QA" totalsRowFunction="custo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ollab.lilly.com/:p:/r/sites/AsymchemGG917_LillyAPIEM/Shared%20Documents/Asymchem%20GG917_Lilly%20APIEM/JPT/Asymchem%20Visit%20Action%20Tracker/Asymchem_Visit_Action_Tracker_Partial%20Feedback_09-29-2026.pptx?d=wf5155a3b72b74e01a372989ed5d83025&amp;csf=1&amp;web=1&amp;e=GOid68" TargetMode="External"/><Relationship Id="rId2" Type="http://schemas.openxmlformats.org/officeDocument/2006/relationships/hyperlink" Target="https://collab.lilly.com/:p:/r/sites/AsymchemGG917_LillyAPIEM/Shared%20Documents/Asymchem%20GG917_Lilly%20APIEM/JPT/Asymchem%20Visit%20Action%20Tracker/Asymchem_Visit_Action_Tracker_Partial%20Feedback_09-29-2026.pptx?d=wf5155a3b72b74e01a372989ed5d83025&amp;csf=1&amp;web=1&amp;e=GOid68" TargetMode="External"/><Relationship Id="rId1" Type="http://schemas.openxmlformats.org/officeDocument/2006/relationships/hyperlink" Target="https://collab.lilly.com/:p:/r/sites/AsymchemGG917_LillyAPIEM/Shared%20Documents/Asymchem%20GG917_Lilly%20APIEM/JPT/Asymchem%20Visit%20Action%20Tracker/Asymchem_Visit_Action_Tracker_Partial%20Feedback_09-29-2026.pptx?d=wf5155a3b72b74e01a372989ed5d83025&amp;csf=1&amp;web=1&amp;e=GOid68" TargetMode="External"/><Relationship Id="rId6" Type="http://schemas.openxmlformats.org/officeDocument/2006/relationships/table" Target="../tables/table1.xml"/><Relationship Id="rId5" Type="http://schemas.openxmlformats.org/officeDocument/2006/relationships/printerSettings" Target="../printerSettings/printerSettings1.bin"/><Relationship Id="rId4" Type="http://schemas.openxmlformats.org/officeDocument/2006/relationships/hyperlink" Target="https://collab.lilly.com/:p:/r/sites/AsymchemGG917_LillyAPIEM/Shared%20Documents/Asymchem%20GG917_Lilly%20APIEM/JPT/Asymchem%20Visit%20Action%20Tracker/Asymchem_Visit_Action_Tracker_Partial%20Feedback_09-29-2026.pptx?d=wf5155a3b72b74e01a372989ed5d83025&amp;csf=1&amp;web=1&amp;e=GOid68"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92"/>
  <sheetViews>
    <sheetView showGridLines="0" tabSelected="1" zoomScale="60" zoomScaleNormal="60" workbookViewId="0">
      <pane xSplit="5" ySplit="1" topLeftCell="G2" activePane="bottomRight" state="frozen"/>
      <selection pane="topRight"/>
      <selection pane="bottomLeft"/>
      <selection pane="bottomRight" activeCell="C7" sqref="C7"/>
    </sheetView>
  </sheetViews>
  <sheetFormatPr defaultColWidth="9" defaultRowHeight="14.15" customHeight="1" outlineLevelRow="1" outlineLevelCol="1"/>
  <cols>
    <col min="1" max="1" width="8" style="4" customWidth="1"/>
    <col min="2" max="2" width="15.83203125" style="40" customWidth="1"/>
    <col min="3" max="3" width="54" style="16" customWidth="1"/>
    <col min="4" max="4" width="13.58203125" style="2" customWidth="1"/>
    <col min="5" max="5" width="16.5" style="2" customWidth="1"/>
    <col min="6" max="6" width="52.5" style="4" customWidth="1"/>
    <col min="7" max="7" width="46.08203125" style="4" customWidth="1"/>
    <col min="8" max="8" width="37.5" style="4" customWidth="1"/>
    <col min="9" max="9" width="25.58203125" style="4" customWidth="1"/>
    <col min="10" max="10" width="25.58203125" style="16" customWidth="1"/>
    <col min="11" max="11" width="12.33203125" style="4" customWidth="1"/>
    <col min="12" max="12" width="13.58203125" style="1" customWidth="1"/>
    <col min="13" max="13" width="41.5" style="2" customWidth="1" collapsed="1"/>
    <col min="14" max="14" width="25" style="3" hidden="1" customWidth="1" outlineLevel="1"/>
    <col min="15" max="15" width="15.33203125" style="3" hidden="1" customWidth="1" outlineLevel="1"/>
  </cols>
  <sheetData>
    <row r="1" spans="1:15" ht="69.650000000000006" customHeight="1">
      <c r="A1" s="31" t="s">
        <v>0</v>
      </c>
      <c r="B1" s="47" t="s">
        <v>1</v>
      </c>
      <c r="C1" s="5" t="s">
        <v>2</v>
      </c>
      <c r="D1" s="5" t="s">
        <v>3</v>
      </c>
      <c r="E1" s="5" t="s">
        <v>4</v>
      </c>
      <c r="F1" s="42" t="s">
        <v>5</v>
      </c>
      <c r="G1" s="42" t="s">
        <v>6</v>
      </c>
      <c r="H1" s="42" t="s">
        <v>7</v>
      </c>
      <c r="I1" s="42" t="s">
        <v>8</v>
      </c>
      <c r="J1" s="65" t="s">
        <v>249</v>
      </c>
      <c r="K1" s="5" t="s">
        <v>9</v>
      </c>
      <c r="L1" s="5" t="s">
        <v>10</v>
      </c>
      <c r="M1" s="5" t="s">
        <v>11</v>
      </c>
      <c r="N1" s="52" t="s">
        <v>12</v>
      </c>
      <c r="O1" s="52" t="s">
        <v>13</v>
      </c>
    </row>
    <row r="2" spans="1:15" ht="409.5">
      <c r="A2" s="63">
        <v>1</v>
      </c>
      <c r="B2" s="38" t="s">
        <v>14</v>
      </c>
      <c r="C2" s="19" t="s">
        <v>15</v>
      </c>
      <c r="D2" s="20" t="s">
        <v>16</v>
      </c>
      <c r="E2" s="41" t="s">
        <v>17</v>
      </c>
      <c r="F2" s="7" t="s">
        <v>18</v>
      </c>
      <c r="G2" s="7" t="s">
        <v>19</v>
      </c>
      <c r="H2" s="26" t="s">
        <v>20</v>
      </c>
      <c r="I2" s="7" t="s">
        <v>19</v>
      </c>
      <c r="J2" s="26" t="s">
        <v>274</v>
      </c>
      <c r="K2" s="7" t="s">
        <v>21</v>
      </c>
      <c r="L2" s="6" t="s">
        <v>22</v>
      </c>
      <c r="M2" s="20" t="s">
        <v>23</v>
      </c>
      <c r="N2" s="7" t="s">
        <v>24</v>
      </c>
      <c r="O2" s="7" t="s">
        <v>25</v>
      </c>
    </row>
    <row r="3" spans="1:15" ht="59.5" hidden="1" customHeight="1">
      <c r="A3" s="31">
        <v>2</v>
      </c>
      <c r="B3" s="39" t="s">
        <v>26</v>
      </c>
      <c r="C3" s="21" t="s">
        <v>27</v>
      </c>
      <c r="D3" s="46" t="s">
        <v>28</v>
      </c>
      <c r="E3" s="46" t="s">
        <v>29</v>
      </c>
      <c r="F3" s="18">
        <v>46292</v>
      </c>
      <c r="G3" s="9" t="s">
        <v>19</v>
      </c>
      <c r="H3" s="9" t="s">
        <v>30</v>
      </c>
      <c r="I3" s="9" t="s">
        <v>19</v>
      </c>
      <c r="J3" s="27"/>
      <c r="K3" s="9" t="s">
        <v>31</v>
      </c>
      <c r="L3" s="8" t="s">
        <v>32</v>
      </c>
      <c r="M3" s="37" t="s">
        <v>33</v>
      </c>
      <c r="N3" s="9" t="s">
        <v>24</v>
      </c>
      <c r="O3" s="9" t="s">
        <v>34</v>
      </c>
    </row>
    <row r="4" spans="1:15" ht="73.5" customHeight="1">
      <c r="A4" s="31">
        <v>3</v>
      </c>
      <c r="B4" s="38" t="s">
        <v>26</v>
      </c>
      <c r="C4" s="19" t="s">
        <v>35</v>
      </c>
      <c r="D4" s="20" t="s">
        <v>28</v>
      </c>
      <c r="E4" s="20" t="s">
        <v>29</v>
      </c>
      <c r="F4" s="17">
        <v>46295</v>
      </c>
      <c r="G4" s="7" t="s">
        <v>19</v>
      </c>
      <c r="H4" s="7" t="s">
        <v>36</v>
      </c>
      <c r="I4" s="7" t="s">
        <v>19</v>
      </c>
      <c r="J4" s="26" t="s">
        <v>255</v>
      </c>
      <c r="K4" s="7" t="s">
        <v>31</v>
      </c>
      <c r="L4" s="6" t="s">
        <v>22</v>
      </c>
      <c r="M4" s="56" t="s">
        <v>33</v>
      </c>
      <c r="N4" s="7" t="s">
        <v>37</v>
      </c>
      <c r="O4" s="7" t="s">
        <v>34</v>
      </c>
    </row>
    <row r="5" spans="1:15" ht="264.64999999999998" customHeight="1">
      <c r="A5" s="63">
        <v>4</v>
      </c>
      <c r="B5" s="39" t="s">
        <v>38</v>
      </c>
      <c r="C5" s="21" t="s">
        <v>39</v>
      </c>
      <c r="D5" s="46" t="s">
        <v>16</v>
      </c>
      <c r="E5" s="46" t="s">
        <v>40</v>
      </c>
      <c r="F5" s="27" t="s">
        <v>41</v>
      </c>
      <c r="G5" s="9" t="s">
        <v>42</v>
      </c>
      <c r="H5" s="9" t="s">
        <v>43</v>
      </c>
      <c r="I5" s="9" t="s">
        <v>44</v>
      </c>
      <c r="J5" s="27" t="s">
        <v>256</v>
      </c>
      <c r="K5" s="9" t="s">
        <v>21</v>
      </c>
      <c r="L5" s="8" t="s">
        <v>22</v>
      </c>
      <c r="M5" s="46"/>
      <c r="N5" s="9" t="s">
        <v>45</v>
      </c>
      <c r="O5" s="9" t="s">
        <v>46</v>
      </c>
    </row>
    <row r="6" spans="1:15" ht="109" customHeight="1">
      <c r="A6" s="31">
        <v>5</v>
      </c>
      <c r="B6" s="38" t="s">
        <v>26</v>
      </c>
      <c r="C6" s="19" t="s">
        <v>47</v>
      </c>
      <c r="D6" s="20" t="s">
        <v>48</v>
      </c>
      <c r="E6" s="20" t="s">
        <v>40</v>
      </c>
      <c r="F6" s="17">
        <v>46386</v>
      </c>
      <c r="G6" s="7" t="s">
        <v>49</v>
      </c>
      <c r="H6" s="7" t="s">
        <v>50</v>
      </c>
      <c r="I6" s="7" t="s">
        <v>19</v>
      </c>
      <c r="J6" s="26" t="s">
        <v>257</v>
      </c>
      <c r="K6" s="9" t="s">
        <v>21</v>
      </c>
      <c r="L6" s="10" t="s">
        <v>22</v>
      </c>
      <c r="M6" s="20" t="s">
        <v>250</v>
      </c>
      <c r="N6" s="7" t="s">
        <v>51</v>
      </c>
      <c r="O6" s="7" t="s">
        <v>34</v>
      </c>
    </row>
    <row r="7" spans="1:15" ht="214.5">
      <c r="A7" s="31">
        <v>6</v>
      </c>
      <c r="B7" s="39" t="s">
        <v>26</v>
      </c>
      <c r="C7" s="21" t="s">
        <v>52</v>
      </c>
      <c r="D7" s="46" t="s">
        <v>28</v>
      </c>
      <c r="E7" s="46" t="s">
        <v>29</v>
      </c>
      <c r="F7" s="18">
        <v>46298</v>
      </c>
      <c r="G7" s="9" t="s">
        <v>19</v>
      </c>
      <c r="H7" s="9" t="s">
        <v>53</v>
      </c>
      <c r="I7" s="9" t="s">
        <v>19</v>
      </c>
      <c r="J7" s="27" t="s">
        <v>258</v>
      </c>
      <c r="K7" s="9" t="s">
        <v>31</v>
      </c>
      <c r="L7" s="8" t="s">
        <v>22</v>
      </c>
      <c r="M7" s="46" t="s">
        <v>54</v>
      </c>
      <c r="N7" s="9" t="s">
        <v>55</v>
      </c>
      <c r="O7" s="9" t="s">
        <v>56</v>
      </c>
    </row>
    <row r="8" spans="1:15" s="22" customFormat="1" ht="115.5">
      <c r="A8" s="31">
        <v>7</v>
      </c>
      <c r="B8" s="38" t="s">
        <v>26</v>
      </c>
      <c r="C8" s="19" t="s">
        <v>57</v>
      </c>
      <c r="D8" s="20" t="s">
        <v>58</v>
      </c>
      <c r="E8" s="20" t="s">
        <v>59</v>
      </c>
      <c r="F8" s="30">
        <v>46298</v>
      </c>
      <c r="G8" s="28" t="s">
        <v>19</v>
      </c>
      <c r="H8" s="28" t="s">
        <v>60</v>
      </c>
      <c r="I8" s="15" t="s">
        <v>19</v>
      </c>
      <c r="J8" s="66" t="s">
        <v>259</v>
      </c>
      <c r="K8" s="9" t="s">
        <v>31</v>
      </c>
      <c r="L8" s="6" t="s">
        <v>22</v>
      </c>
      <c r="M8" s="29" t="s">
        <v>61</v>
      </c>
      <c r="N8" s="28" t="s">
        <v>24</v>
      </c>
      <c r="O8" s="28" t="s">
        <v>56</v>
      </c>
    </row>
    <row r="9" spans="1:15" ht="90" customHeight="1">
      <c r="A9" s="31">
        <v>8</v>
      </c>
      <c r="B9" s="39" t="s">
        <v>26</v>
      </c>
      <c r="C9" s="21" t="s">
        <v>62</v>
      </c>
      <c r="D9" s="46" t="s">
        <v>16</v>
      </c>
      <c r="E9" s="46" t="s">
        <v>40</v>
      </c>
      <c r="F9" s="18">
        <v>46329</v>
      </c>
      <c r="G9" s="9" t="s">
        <v>19</v>
      </c>
      <c r="H9" s="9" t="s">
        <v>63</v>
      </c>
      <c r="I9" s="9" t="s">
        <v>19</v>
      </c>
      <c r="J9" s="27" t="s">
        <v>251</v>
      </c>
      <c r="K9" s="9" t="s">
        <v>21</v>
      </c>
      <c r="L9" s="8" t="s">
        <v>22</v>
      </c>
      <c r="M9" s="46"/>
      <c r="N9" s="9" t="s">
        <v>24</v>
      </c>
      <c r="O9" s="9" t="s">
        <v>34</v>
      </c>
    </row>
    <row r="10" spans="1:15" ht="143.9" customHeight="1">
      <c r="A10" s="63">
        <v>9</v>
      </c>
      <c r="B10" s="38" t="s">
        <v>38</v>
      </c>
      <c r="C10" s="19" t="s">
        <v>269</v>
      </c>
      <c r="D10" s="20" t="s">
        <v>16</v>
      </c>
      <c r="E10" s="46" t="s">
        <v>40</v>
      </c>
      <c r="F10" s="17">
        <v>46315</v>
      </c>
      <c r="G10" s="7" t="s">
        <v>19</v>
      </c>
      <c r="H10" s="7" t="s">
        <v>64</v>
      </c>
      <c r="I10" s="25" t="s">
        <v>19</v>
      </c>
      <c r="J10" s="67" t="s">
        <v>252</v>
      </c>
      <c r="K10" s="9" t="s">
        <v>21</v>
      </c>
      <c r="L10" s="6" t="s">
        <v>22</v>
      </c>
      <c r="M10" s="20"/>
      <c r="N10" s="7" t="s">
        <v>65</v>
      </c>
      <c r="O10" s="7" t="s">
        <v>46</v>
      </c>
    </row>
    <row r="11" spans="1:15" ht="109" customHeight="1">
      <c r="A11" s="31">
        <v>10</v>
      </c>
      <c r="B11" s="39" t="s">
        <v>26</v>
      </c>
      <c r="C11" s="21" t="s">
        <v>66</v>
      </c>
      <c r="D11" s="46" t="s">
        <v>48</v>
      </c>
      <c r="E11" s="46" t="s">
        <v>29</v>
      </c>
      <c r="F11" s="18">
        <v>46386</v>
      </c>
      <c r="G11" s="9" t="s">
        <v>67</v>
      </c>
      <c r="H11" s="9" t="s">
        <v>68</v>
      </c>
      <c r="I11" s="9" t="s">
        <v>19</v>
      </c>
      <c r="J11" s="27"/>
      <c r="K11" s="9" t="s">
        <v>21</v>
      </c>
      <c r="L11" s="8" t="s">
        <v>22</v>
      </c>
      <c r="M11" s="46" t="s">
        <v>69</v>
      </c>
      <c r="N11" s="9" t="s">
        <v>70</v>
      </c>
      <c r="O11" s="9" t="s">
        <v>71</v>
      </c>
    </row>
    <row r="12" spans="1:15" ht="99">
      <c r="A12" s="31">
        <v>11</v>
      </c>
      <c r="B12" s="38" t="s">
        <v>14</v>
      </c>
      <c r="C12" s="19" t="s">
        <v>72</v>
      </c>
      <c r="D12" s="20" t="s">
        <v>16</v>
      </c>
      <c r="E12" s="46" t="s">
        <v>29</v>
      </c>
      <c r="F12" s="17" t="s">
        <v>73</v>
      </c>
      <c r="G12" s="7" t="s">
        <v>19</v>
      </c>
      <c r="H12" s="7" t="s">
        <v>74</v>
      </c>
      <c r="I12" s="7" t="s">
        <v>19</v>
      </c>
      <c r="J12" s="26" t="s">
        <v>270</v>
      </c>
      <c r="K12" s="9" t="s">
        <v>21</v>
      </c>
      <c r="L12" s="6" t="s">
        <v>22</v>
      </c>
      <c r="M12" s="20"/>
      <c r="N12" s="7" t="s">
        <v>75</v>
      </c>
      <c r="O12" s="7" t="s">
        <v>71</v>
      </c>
    </row>
    <row r="13" spans="1:15" ht="125.5" customHeight="1">
      <c r="A13" s="31">
        <v>12</v>
      </c>
      <c r="B13" s="39" t="s">
        <v>14</v>
      </c>
      <c r="C13" s="21" t="s">
        <v>76</v>
      </c>
      <c r="D13" s="46" t="s">
        <v>28</v>
      </c>
      <c r="E13" s="46" t="s">
        <v>40</v>
      </c>
      <c r="F13" s="13">
        <v>46300</v>
      </c>
      <c r="G13" s="9" t="s">
        <v>19</v>
      </c>
      <c r="H13" s="9" t="s">
        <v>77</v>
      </c>
      <c r="I13" s="9" t="s">
        <v>19</v>
      </c>
      <c r="J13" s="27" t="s">
        <v>253</v>
      </c>
      <c r="K13" s="9" t="s">
        <v>21</v>
      </c>
      <c r="L13" s="8" t="s">
        <v>22</v>
      </c>
      <c r="M13" s="46" t="s">
        <v>78</v>
      </c>
      <c r="N13" s="9" t="s">
        <v>79</v>
      </c>
      <c r="O13" s="9" t="s">
        <v>25</v>
      </c>
    </row>
    <row r="14" spans="1:15" ht="204" customHeight="1">
      <c r="A14" s="31">
        <v>13</v>
      </c>
      <c r="B14" s="38" t="s">
        <v>38</v>
      </c>
      <c r="C14" s="19" t="s">
        <v>80</v>
      </c>
      <c r="D14" s="20" t="s">
        <v>16</v>
      </c>
      <c r="E14" s="46" t="s">
        <v>40</v>
      </c>
      <c r="F14" s="17">
        <v>46356</v>
      </c>
      <c r="G14" s="7" t="s">
        <v>254</v>
      </c>
      <c r="H14" s="7" t="s">
        <v>81</v>
      </c>
      <c r="I14" s="25" t="s">
        <v>82</v>
      </c>
      <c r="J14" s="67" t="s">
        <v>260</v>
      </c>
      <c r="K14" s="9" t="s">
        <v>21</v>
      </c>
      <c r="L14" s="6" t="s">
        <v>22</v>
      </c>
      <c r="M14" s="20" t="s">
        <v>83</v>
      </c>
      <c r="N14" s="7" t="s">
        <v>24</v>
      </c>
      <c r="O14" s="7" t="s">
        <v>84</v>
      </c>
    </row>
    <row r="15" spans="1:15" s="23" customFormat="1" ht="102" customHeight="1" outlineLevel="1">
      <c r="A15" s="33">
        <v>14</v>
      </c>
      <c r="B15" s="45" t="s">
        <v>85</v>
      </c>
      <c r="C15" s="48" t="s">
        <v>86</v>
      </c>
      <c r="D15" s="49" t="s">
        <v>16</v>
      </c>
      <c r="E15" s="49" t="s">
        <v>40</v>
      </c>
      <c r="F15" s="33" t="s">
        <v>87</v>
      </c>
      <c r="G15" s="54" t="s">
        <v>82</v>
      </c>
      <c r="H15" s="54" t="s">
        <v>82</v>
      </c>
      <c r="I15" s="54" t="s">
        <v>82</v>
      </c>
      <c r="J15" s="68"/>
      <c r="K15" s="33" t="s">
        <v>88</v>
      </c>
      <c r="L15" s="33" t="s">
        <v>22</v>
      </c>
      <c r="M15" s="49"/>
      <c r="N15" s="33" t="s">
        <v>89</v>
      </c>
      <c r="O15" s="33" t="s">
        <v>34</v>
      </c>
    </row>
    <row r="16" spans="1:15" s="23" customFormat="1" ht="125.5" customHeight="1" outlineLevel="1">
      <c r="A16" s="33">
        <v>15</v>
      </c>
      <c r="B16" s="44" t="s">
        <v>85</v>
      </c>
      <c r="C16" s="50" t="s">
        <v>90</v>
      </c>
      <c r="D16" s="49" t="s">
        <v>16</v>
      </c>
      <c r="E16" s="51" t="s">
        <v>40</v>
      </c>
      <c r="F16" s="34" t="s">
        <v>87</v>
      </c>
      <c r="G16" s="55" t="s">
        <v>82</v>
      </c>
      <c r="H16" s="55" t="s">
        <v>82</v>
      </c>
      <c r="I16" s="34" t="s">
        <v>19</v>
      </c>
      <c r="J16" s="50"/>
      <c r="K16" s="34" t="s">
        <v>88</v>
      </c>
      <c r="L16" s="34" t="s">
        <v>22</v>
      </c>
      <c r="M16" s="51"/>
      <c r="N16" s="34" t="s">
        <v>89</v>
      </c>
      <c r="O16" s="34" t="s">
        <v>34</v>
      </c>
    </row>
    <row r="17" spans="1:15" s="23" customFormat="1" ht="117.65" customHeight="1" outlineLevel="1">
      <c r="A17" s="33">
        <v>16</v>
      </c>
      <c r="B17" s="45" t="s">
        <v>85</v>
      </c>
      <c r="C17" s="48" t="s">
        <v>91</v>
      </c>
      <c r="D17" s="49" t="s">
        <v>16</v>
      </c>
      <c r="E17" s="49" t="s">
        <v>29</v>
      </c>
      <c r="F17" s="33" t="s">
        <v>87</v>
      </c>
      <c r="G17" s="54" t="s">
        <v>82</v>
      </c>
      <c r="H17" s="54" t="s">
        <v>82</v>
      </c>
      <c r="I17" s="33" t="s">
        <v>19</v>
      </c>
      <c r="J17" s="48"/>
      <c r="K17" s="33" t="s">
        <v>88</v>
      </c>
      <c r="L17" s="33" t="s">
        <v>22</v>
      </c>
      <c r="M17" s="49"/>
      <c r="N17" s="33" t="s">
        <v>89</v>
      </c>
      <c r="O17" s="33" t="s">
        <v>34</v>
      </c>
    </row>
    <row r="18" spans="1:15" s="23" customFormat="1" ht="142" customHeight="1" outlineLevel="1">
      <c r="A18" s="33">
        <v>17</v>
      </c>
      <c r="B18" s="44" t="s">
        <v>85</v>
      </c>
      <c r="C18" s="50" t="s">
        <v>92</v>
      </c>
      <c r="D18" s="49" t="s">
        <v>16</v>
      </c>
      <c r="E18" s="49" t="s">
        <v>29</v>
      </c>
      <c r="F18" s="34" t="s">
        <v>87</v>
      </c>
      <c r="G18" s="55" t="s">
        <v>82</v>
      </c>
      <c r="H18" s="55" t="s">
        <v>82</v>
      </c>
      <c r="I18" s="55" t="s">
        <v>82</v>
      </c>
      <c r="J18" s="69"/>
      <c r="K18" s="34" t="s">
        <v>88</v>
      </c>
      <c r="L18" s="34" t="s">
        <v>22</v>
      </c>
      <c r="M18" s="51" t="s">
        <v>93</v>
      </c>
      <c r="N18" s="34" t="s">
        <v>89</v>
      </c>
      <c r="O18" s="34" t="s">
        <v>34</v>
      </c>
    </row>
    <row r="19" spans="1:15" s="23" customFormat="1" ht="92.5" customHeight="1" outlineLevel="1">
      <c r="A19" s="33">
        <v>18</v>
      </c>
      <c r="B19" s="45" t="s">
        <v>85</v>
      </c>
      <c r="C19" s="48" t="s">
        <v>94</v>
      </c>
      <c r="D19" s="49" t="s">
        <v>16</v>
      </c>
      <c r="E19" s="49" t="s">
        <v>29</v>
      </c>
      <c r="F19" s="33" t="s">
        <v>87</v>
      </c>
      <c r="G19" s="54" t="s">
        <v>82</v>
      </c>
      <c r="H19" s="54" t="s">
        <v>82</v>
      </c>
      <c r="I19" s="54" t="s">
        <v>82</v>
      </c>
      <c r="J19" s="68"/>
      <c r="K19" s="33" t="s">
        <v>88</v>
      </c>
      <c r="L19" s="33" t="s">
        <v>22</v>
      </c>
      <c r="M19" s="49"/>
      <c r="N19" s="33" t="s">
        <v>89</v>
      </c>
      <c r="O19" s="33" t="s">
        <v>34</v>
      </c>
    </row>
    <row r="20" spans="1:15" ht="121" customHeight="1">
      <c r="A20" s="31">
        <v>19</v>
      </c>
      <c r="B20" s="38" t="s">
        <v>85</v>
      </c>
      <c r="C20" s="19" t="s">
        <v>95</v>
      </c>
      <c r="D20" s="20" t="s">
        <v>16</v>
      </c>
      <c r="E20" s="46" t="s">
        <v>29</v>
      </c>
      <c r="F20" s="43" t="s">
        <v>266</v>
      </c>
      <c r="G20" s="7" t="s">
        <v>96</v>
      </c>
      <c r="H20" s="7" t="s">
        <v>97</v>
      </c>
      <c r="I20" s="7" t="s">
        <v>19</v>
      </c>
      <c r="J20" s="26" t="s">
        <v>267</v>
      </c>
      <c r="K20" s="9" t="s">
        <v>21</v>
      </c>
      <c r="L20" s="6" t="s">
        <v>22</v>
      </c>
      <c r="M20" s="20" t="s">
        <v>98</v>
      </c>
      <c r="N20" s="7" t="s">
        <v>99</v>
      </c>
      <c r="O20" s="7" t="s">
        <v>100</v>
      </c>
    </row>
    <row r="21" spans="1:15" ht="247.5">
      <c r="A21" s="63">
        <v>20</v>
      </c>
      <c r="B21" s="39" t="s">
        <v>85</v>
      </c>
      <c r="C21" s="21" t="s">
        <v>101</v>
      </c>
      <c r="D21" s="46" t="s">
        <v>16</v>
      </c>
      <c r="E21" s="53" t="s">
        <v>17</v>
      </c>
      <c r="F21" s="18">
        <v>46435</v>
      </c>
      <c r="G21" s="9" t="s">
        <v>102</v>
      </c>
      <c r="H21" s="9" t="s">
        <v>103</v>
      </c>
      <c r="I21" s="9" t="s">
        <v>19</v>
      </c>
      <c r="J21" s="27" t="s">
        <v>268</v>
      </c>
      <c r="K21" s="9" t="s">
        <v>21</v>
      </c>
      <c r="L21" s="8" t="s">
        <v>22</v>
      </c>
      <c r="M21" s="46"/>
      <c r="N21" s="9" t="s">
        <v>104</v>
      </c>
      <c r="O21" s="9" t="s">
        <v>46</v>
      </c>
    </row>
    <row r="22" spans="1:15" ht="214.5">
      <c r="A22" s="31">
        <v>21</v>
      </c>
      <c r="B22" s="38" t="s">
        <v>85</v>
      </c>
      <c r="C22" s="19" t="s">
        <v>105</v>
      </c>
      <c r="D22" s="20" t="s">
        <v>16</v>
      </c>
      <c r="E22" s="46" t="s">
        <v>40</v>
      </c>
      <c r="F22" s="17">
        <v>46315</v>
      </c>
      <c r="G22" s="7" t="s">
        <v>106</v>
      </c>
      <c r="H22" s="7" t="s">
        <v>107</v>
      </c>
      <c r="I22" s="7" t="s">
        <v>19</v>
      </c>
      <c r="J22" s="26" t="s">
        <v>271</v>
      </c>
      <c r="K22" s="9" t="s">
        <v>21</v>
      </c>
      <c r="L22" s="6" t="s">
        <v>22</v>
      </c>
      <c r="M22" s="20"/>
      <c r="N22" s="7" t="s">
        <v>108</v>
      </c>
      <c r="O22" s="7" t="s">
        <v>84</v>
      </c>
    </row>
    <row r="23" spans="1:15" ht="92.5" customHeight="1">
      <c r="A23" s="31">
        <v>22</v>
      </c>
      <c r="B23" s="39" t="s">
        <v>38</v>
      </c>
      <c r="C23" s="21" t="s">
        <v>109</v>
      </c>
      <c r="D23" s="46" t="s">
        <v>48</v>
      </c>
      <c r="E23" s="53" t="s">
        <v>17</v>
      </c>
      <c r="F23" s="18">
        <v>46315</v>
      </c>
      <c r="G23" s="9" t="s">
        <v>19</v>
      </c>
      <c r="H23" s="9" t="s">
        <v>64</v>
      </c>
      <c r="I23" s="9" t="s">
        <v>19</v>
      </c>
      <c r="J23" s="27" t="s">
        <v>272</v>
      </c>
      <c r="K23" s="9" t="s">
        <v>21</v>
      </c>
      <c r="L23" s="8" t="s">
        <v>22</v>
      </c>
      <c r="M23" s="46"/>
      <c r="N23" s="9" t="s">
        <v>110</v>
      </c>
      <c r="O23" s="9" t="s">
        <v>46</v>
      </c>
    </row>
    <row r="24" spans="1:15" ht="92.5" customHeight="1">
      <c r="A24" s="31">
        <v>23</v>
      </c>
      <c r="B24" s="38" t="s">
        <v>38</v>
      </c>
      <c r="C24" s="19" t="s">
        <v>111</v>
      </c>
      <c r="D24" s="20" t="s">
        <v>16</v>
      </c>
      <c r="E24" s="46" t="s">
        <v>40</v>
      </c>
      <c r="F24" s="17">
        <v>46315</v>
      </c>
      <c r="G24" s="7" t="s">
        <v>112</v>
      </c>
      <c r="H24" s="7" t="s">
        <v>113</v>
      </c>
      <c r="I24" s="7" t="s">
        <v>19</v>
      </c>
      <c r="J24" s="26" t="s">
        <v>263</v>
      </c>
      <c r="K24" s="9" t="s">
        <v>21</v>
      </c>
      <c r="L24" s="6" t="s">
        <v>22</v>
      </c>
      <c r="M24" s="20"/>
      <c r="N24" s="7" t="s">
        <v>56</v>
      </c>
      <c r="O24" s="11"/>
    </row>
    <row r="25" spans="1:15" ht="92.5" customHeight="1">
      <c r="A25" s="31">
        <v>24</v>
      </c>
      <c r="B25" s="39" t="s">
        <v>26</v>
      </c>
      <c r="C25" s="21" t="s">
        <v>114</v>
      </c>
      <c r="D25" s="46" t="s">
        <v>48</v>
      </c>
      <c r="E25" s="46" t="s">
        <v>40</v>
      </c>
      <c r="F25" s="18">
        <v>46356</v>
      </c>
      <c r="G25" s="9" t="s">
        <v>115</v>
      </c>
      <c r="H25" s="9" t="s">
        <v>116</v>
      </c>
      <c r="I25" s="9" t="s">
        <v>19</v>
      </c>
      <c r="J25" s="27" t="s">
        <v>272</v>
      </c>
      <c r="K25" s="9" t="s">
        <v>31</v>
      </c>
      <c r="L25" s="8" t="s">
        <v>22</v>
      </c>
      <c r="M25" s="46" t="s">
        <v>117</v>
      </c>
      <c r="N25" s="9" t="s">
        <v>70</v>
      </c>
      <c r="O25" s="9" t="s">
        <v>71</v>
      </c>
    </row>
    <row r="26" spans="1:15" ht="148.5">
      <c r="A26" s="31">
        <v>25</v>
      </c>
      <c r="B26" s="38" t="s">
        <v>38</v>
      </c>
      <c r="C26" s="19" t="s">
        <v>118</v>
      </c>
      <c r="D26" s="46" t="s">
        <v>28</v>
      </c>
      <c r="E26" s="46" t="s">
        <v>40</v>
      </c>
      <c r="F26" s="7" t="s">
        <v>119</v>
      </c>
      <c r="G26" s="7" t="s">
        <v>120</v>
      </c>
      <c r="H26" s="7" t="s">
        <v>121</v>
      </c>
      <c r="I26" s="7" t="s">
        <v>19</v>
      </c>
      <c r="J26" s="26" t="s">
        <v>261</v>
      </c>
      <c r="K26" s="9" t="s">
        <v>31</v>
      </c>
      <c r="L26" s="6" t="s">
        <v>22</v>
      </c>
      <c r="M26" s="20" t="s">
        <v>122</v>
      </c>
      <c r="N26" s="7" t="s">
        <v>75</v>
      </c>
      <c r="O26" s="7" t="s">
        <v>71</v>
      </c>
    </row>
    <row r="27" spans="1:15" ht="198">
      <c r="A27" s="31">
        <v>26</v>
      </c>
      <c r="B27" s="39" t="s">
        <v>38</v>
      </c>
      <c r="C27" s="21" t="s">
        <v>123</v>
      </c>
      <c r="D27" s="46" t="s">
        <v>16</v>
      </c>
      <c r="E27" s="46" t="s">
        <v>40</v>
      </c>
      <c r="F27" s="18">
        <v>46306</v>
      </c>
      <c r="G27" s="9" t="s">
        <v>124</v>
      </c>
      <c r="H27" s="9" t="s">
        <v>125</v>
      </c>
      <c r="I27" s="9" t="s">
        <v>19</v>
      </c>
      <c r="J27" s="27" t="s">
        <v>262</v>
      </c>
      <c r="K27" s="9" t="s">
        <v>21</v>
      </c>
      <c r="L27" s="8" t="s">
        <v>22</v>
      </c>
      <c r="M27" s="46"/>
      <c r="N27" s="9" t="s">
        <v>89</v>
      </c>
      <c r="O27" s="9" t="s">
        <v>126</v>
      </c>
    </row>
    <row r="28" spans="1:15" ht="280.5">
      <c r="A28" s="31">
        <v>27</v>
      </c>
      <c r="B28" s="38" t="s">
        <v>38</v>
      </c>
      <c r="C28" s="19" t="s">
        <v>127</v>
      </c>
      <c r="D28" s="46" t="s">
        <v>28</v>
      </c>
      <c r="E28" s="46" t="s">
        <v>40</v>
      </c>
      <c r="F28" s="17">
        <v>46299</v>
      </c>
      <c r="G28" s="7" t="s">
        <v>128</v>
      </c>
      <c r="H28" s="7" t="s">
        <v>129</v>
      </c>
      <c r="I28" s="7" t="s">
        <v>19</v>
      </c>
      <c r="J28" s="26" t="s">
        <v>273</v>
      </c>
      <c r="K28" s="9" t="s">
        <v>21</v>
      </c>
      <c r="L28" s="6" t="s">
        <v>22</v>
      </c>
      <c r="M28" s="20" t="s">
        <v>130</v>
      </c>
      <c r="N28" s="7" t="s">
        <v>131</v>
      </c>
      <c r="O28" s="7" t="s">
        <v>126</v>
      </c>
    </row>
    <row r="29" spans="1:15" ht="148.5">
      <c r="A29" s="31">
        <v>28</v>
      </c>
      <c r="B29" s="39" t="s">
        <v>38</v>
      </c>
      <c r="C29" s="21" t="s">
        <v>132</v>
      </c>
      <c r="D29" s="46" t="s">
        <v>28</v>
      </c>
      <c r="E29" s="46" t="s">
        <v>29</v>
      </c>
      <c r="F29" s="18">
        <v>46299</v>
      </c>
      <c r="G29" s="9" t="s">
        <v>133</v>
      </c>
      <c r="H29" s="9" t="s">
        <v>134</v>
      </c>
      <c r="I29" s="9" t="s">
        <v>19</v>
      </c>
      <c r="J29" s="27" t="s">
        <v>275</v>
      </c>
      <c r="K29" s="9" t="s">
        <v>21</v>
      </c>
      <c r="L29" s="8" t="s">
        <v>22</v>
      </c>
      <c r="M29" s="46"/>
      <c r="N29" s="9" t="s">
        <v>75</v>
      </c>
      <c r="O29" s="9" t="s">
        <v>84</v>
      </c>
    </row>
    <row r="30" spans="1:15" ht="182.5" customHeight="1">
      <c r="A30" s="31">
        <v>29</v>
      </c>
      <c r="B30" s="38" t="s">
        <v>38</v>
      </c>
      <c r="C30" s="19" t="s">
        <v>135</v>
      </c>
      <c r="D30" s="20" t="s">
        <v>48</v>
      </c>
      <c r="E30" s="41" t="s">
        <v>17</v>
      </c>
      <c r="F30" s="17">
        <v>46537</v>
      </c>
      <c r="G30" s="26" t="s">
        <v>136</v>
      </c>
      <c r="H30" s="7" t="s">
        <v>137</v>
      </c>
      <c r="I30" s="25" t="s">
        <v>19</v>
      </c>
      <c r="J30" s="67" t="s">
        <v>276</v>
      </c>
      <c r="K30" s="9" t="s">
        <v>21</v>
      </c>
      <c r="L30" s="6" t="s">
        <v>22</v>
      </c>
      <c r="M30" s="20" t="s">
        <v>138</v>
      </c>
      <c r="N30" s="7" t="s">
        <v>139</v>
      </c>
      <c r="O30" s="7" t="s">
        <v>46</v>
      </c>
    </row>
    <row r="31" spans="1:15" ht="109" hidden="1" customHeight="1">
      <c r="A31" s="31">
        <v>30</v>
      </c>
      <c r="B31" s="39" t="s">
        <v>38</v>
      </c>
      <c r="C31" s="21" t="s">
        <v>140</v>
      </c>
      <c r="D31" s="46" t="s">
        <v>28</v>
      </c>
      <c r="E31" s="46" t="s">
        <v>29</v>
      </c>
      <c r="F31" s="18">
        <v>46293</v>
      </c>
      <c r="G31" s="9" t="s">
        <v>141</v>
      </c>
      <c r="H31" s="24" t="s">
        <v>19</v>
      </c>
      <c r="I31" s="9" t="s">
        <v>19</v>
      </c>
      <c r="J31" s="27"/>
      <c r="K31" s="9" t="s">
        <v>21</v>
      </c>
      <c r="L31" s="8" t="s">
        <v>32</v>
      </c>
      <c r="M31" s="46"/>
      <c r="N31" s="9" t="s">
        <v>142</v>
      </c>
      <c r="O31" s="9" t="s">
        <v>46</v>
      </c>
    </row>
    <row r="32" spans="1:15" ht="148.5">
      <c r="A32" s="31">
        <v>31</v>
      </c>
      <c r="B32" s="38" t="s">
        <v>14</v>
      </c>
      <c r="C32" s="19" t="s">
        <v>143</v>
      </c>
      <c r="D32" s="46" t="s">
        <v>28</v>
      </c>
      <c r="E32" s="46" t="s">
        <v>40</v>
      </c>
      <c r="F32" s="17">
        <v>46299</v>
      </c>
      <c r="G32" s="7" t="s">
        <v>144</v>
      </c>
      <c r="H32" s="7" t="s">
        <v>145</v>
      </c>
      <c r="I32" s="7" t="s">
        <v>19</v>
      </c>
      <c r="J32" s="26" t="s">
        <v>277</v>
      </c>
      <c r="K32" s="9" t="s">
        <v>21</v>
      </c>
      <c r="L32" s="6" t="s">
        <v>22</v>
      </c>
      <c r="M32" s="20"/>
      <c r="N32" s="7" t="s">
        <v>37</v>
      </c>
      <c r="O32" s="7" t="s">
        <v>146</v>
      </c>
    </row>
    <row r="33" spans="1:15" ht="115.5">
      <c r="A33" s="31">
        <v>32</v>
      </c>
      <c r="B33" s="39" t="s">
        <v>38</v>
      </c>
      <c r="C33" s="21" t="s">
        <v>147</v>
      </c>
      <c r="D33" s="46" t="s">
        <v>28</v>
      </c>
      <c r="E33" s="46" t="s">
        <v>40</v>
      </c>
      <c r="F33" s="18">
        <v>46299</v>
      </c>
      <c r="G33" s="9" t="s">
        <v>148</v>
      </c>
      <c r="H33" s="9" t="s">
        <v>278</v>
      </c>
      <c r="I33" s="9" t="s">
        <v>19</v>
      </c>
      <c r="J33" s="27" t="s">
        <v>280</v>
      </c>
      <c r="K33" s="9" t="s">
        <v>21</v>
      </c>
      <c r="L33" s="8" t="s">
        <v>22</v>
      </c>
      <c r="M33" s="46" t="s">
        <v>149</v>
      </c>
      <c r="N33" s="9" t="s">
        <v>70</v>
      </c>
      <c r="O33" s="9" t="s">
        <v>34</v>
      </c>
    </row>
    <row r="34" spans="1:15" ht="112.5" customHeight="1">
      <c r="A34" s="31">
        <v>33</v>
      </c>
      <c r="B34" s="38" t="s">
        <v>38</v>
      </c>
      <c r="C34" s="19" t="s">
        <v>150</v>
      </c>
      <c r="D34" s="20" t="s">
        <v>16</v>
      </c>
      <c r="E34" s="46" t="s">
        <v>40</v>
      </c>
      <c r="F34" s="17">
        <v>46315</v>
      </c>
      <c r="G34" s="7" t="s">
        <v>151</v>
      </c>
      <c r="H34" s="7" t="s">
        <v>152</v>
      </c>
      <c r="I34" s="7" t="s">
        <v>19</v>
      </c>
      <c r="J34" s="26" t="s">
        <v>281</v>
      </c>
      <c r="K34" s="9" t="s">
        <v>31</v>
      </c>
      <c r="L34" s="6" t="s">
        <v>22</v>
      </c>
      <c r="M34" s="20"/>
      <c r="N34" s="7" t="s">
        <v>153</v>
      </c>
      <c r="O34" s="7" t="s">
        <v>25</v>
      </c>
    </row>
    <row r="35" spans="1:15" ht="92.5" customHeight="1">
      <c r="A35" s="31">
        <v>34</v>
      </c>
      <c r="B35" s="39" t="s">
        <v>38</v>
      </c>
      <c r="C35" s="21" t="s">
        <v>154</v>
      </c>
      <c r="D35" s="46" t="s">
        <v>16</v>
      </c>
      <c r="E35" s="46" t="s">
        <v>40</v>
      </c>
      <c r="F35" s="18">
        <v>46336</v>
      </c>
      <c r="G35" s="9" t="s">
        <v>155</v>
      </c>
      <c r="H35" s="9" t="s">
        <v>156</v>
      </c>
      <c r="I35" s="9" t="s">
        <v>19</v>
      </c>
      <c r="J35" s="27" t="s">
        <v>265</v>
      </c>
      <c r="K35" s="9" t="s">
        <v>31</v>
      </c>
      <c r="L35" s="8" t="s">
        <v>22</v>
      </c>
      <c r="M35" s="46"/>
      <c r="N35" s="9" t="s">
        <v>75</v>
      </c>
      <c r="O35" s="9" t="s">
        <v>46</v>
      </c>
    </row>
    <row r="36" spans="1:15" ht="99">
      <c r="A36" s="31">
        <v>35</v>
      </c>
      <c r="B36" s="38" t="s">
        <v>38</v>
      </c>
      <c r="C36" s="19" t="s">
        <v>157</v>
      </c>
      <c r="D36" s="20" t="s">
        <v>48</v>
      </c>
      <c r="E36" s="41" t="s">
        <v>17</v>
      </c>
      <c r="F36" s="17">
        <v>46417</v>
      </c>
      <c r="G36" s="7" t="s">
        <v>158</v>
      </c>
      <c r="H36" s="7" t="s">
        <v>159</v>
      </c>
      <c r="I36" s="7" t="s">
        <v>19</v>
      </c>
      <c r="J36" s="26" t="s">
        <v>265</v>
      </c>
      <c r="K36" s="9" t="s">
        <v>21</v>
      </c>
      <c r="L36" s="6" t="s">
        <v>22</v>
      </c>
      <c r="M36" s="20"/>
      <c r="N36" s="7" t="s">
        <v>45</v>
      </c>
      <c r="O36" s="7" t="s">
        <v>46</v>
      </c>
    </row>
    <row r="37" spans="1:15" ht="313.5">
      <c r="A37" s="63">
        <v>36</v>
      </c>
      <c r="B37" s="39" t="s">
        <v>38</v>
      </c>
      <c r="C37" s="21" t="s">
        <v>160</v>
      </c>
      <c r="D37" s="46" t="s">
        <v>16</v>
      </c>
      <c r="E37" s="53" t="s">
        <v>17</v>
      </c>
      <c r="F37" s="32" t="s">
        <v>161</v>
      </c>
      <c r="G37" s="9" t="s">
        <v>34</v>
      </c>
      <c r="H37" s="9" t="s">
        <v>162</v>
      </c>
      <c r="I37" s="9"/>
      <c r="J37" s="27" t="s">
        <v>282</v>
      </c>
      <c r="K37" s="9" t="s">
        <v>21</v>
      </c>
      <c r="L37" s="8" t="s">
        <v>22</v>
      </c>
      <c r="M37" s="46"/>
      <c r="N37" s="9" t="s">
        <v>45</v>
      </c>
      <c r="O37" s="9" t="s">
        <v>163</v>
      </c>
    </row>
    <row r="38" spans="1:15" ht="82.5">
      <c r="A38" s="31">
        <v>37</v>
      </c>
      <c r="B38" s="38" t="s">
        <v>38</v>
      </c>
      <c r="C38" s="19" t="s">
        <v>164</v>
      </c>
      <c r="D38" s="20" t="s">
        <v>16</v>
      </c>
      <c r="E38" s="46" t="s">
        <v>40</v>
      </c>
      <c r="F38" s="7" t="s">
        <v>73</v>
      </c>
      <c r="G38" s="7" t="s">
        <v>19</v>
      </c>
      <c r="H38" s="7" t="s">
        <v>19</v>
      </c>
      <c r="I38" s="7" t="s">
        <v>19</v>
      </c>
      <c r="J38" s="26" t="s">
        <v>264</v>
      </c>
      <c r="K38" s="9" t="s">
        <v>21</v>
      </c>
      <c r="L38" s="6" t="s">
        <v>22</v>
      </c>
      <c r="M38" s="20"/>
      <c r="N38" s="7" t="s">
        <v>165</v>
      </c>
      <c r="O38" s="7" t="s">
        <v>25</v>
      </c>
    </row>
    <row r="39" spans="1:15" ht="346.5">
      <c r="A39" s="63">
        <v>38</v>
      </c>
      <c r="B39" s="39" t="s">
        <v>14</v>
      </c>
      <c r="C39" s="21" t="s">
        <v>283</v>
      </c>
      <c r="D39" s="46" t="s">
        <v>16</v>
      </c>
      <c r="E39" s="53" t="s">
        <v>17</v>
      </c>
      <c r="F39" s="18" t="s">
        <v>166</v>
      </c>
      <c r="G39" s="9" t="s">
        <v>167</v>
      </c>
      <c r="H39" s="9" t="s">
        <v>19</v>
      </c>
      <c r="I39" s="24" t="s">
        <v>19</v>
      </c>
      <c r="J39" s="64" t="s">
        <v>284</v>
      </c>
      <c r="K39" s="9" t="s">
        <v>21</v>
      </c>
      <c r="L39" s="8" t="s">
        <v>22</v>
      </c>
      <c r="M39" s="46"/>
      <c r="N39" s="9" t="s">
        <v>168</v>
      </c>
      <c r="O39" s="9" t="s">
        <v>163</v>
      </c>
    </row>
    <row r="40" spans="1:15" ht="99">
      <c r="A40" s="31">
        <v>39</v>
      </c>
      <c r="B40" s="38" t="s">
        <v>38</v>
      </c>
      <c r="C40" s="19" t="s">
        <v>169</v>
      </c>
      <c r="D40" s="20" t="s">
        <v>16</v>
      </c>
      <c r="E40" s="46" t="s">
        <v>40</v>
      </c>
      <c r="F40" s="17">
        <v>46315</v>
      </c>
      <c r="G40" s="7" t="s">
        <v>170</v>
      </c>
      <c r="H40" s="7" t="s">
        <v>171</v>
      </c>
      <c r="I40" s="7" t="s">
        <v>19</v>
      </c>
      <c r="J40" s="26" t="s">
        <v>285</v>
      </c>
      <c r="K40" s="9" t="s">
        <v>31</v>
      </c>
      <c r="L40" s="6" t="s">
        <v>22</v>
      </c>
      <c r="M40" s="20"/>
      <c r="N40" s="7" t="s">
        <v>70</v>
      </c>
      <c r="O40" s="7" t="s">
        <v>56</v>
      </c>
    </row>
    <row r="41" spans="1:15" ht="165">
      <c r="A41" s="63">
        <v>40</v>
      </c>
      <c r="B41" s="39" t="s">
        <v>38</v>
      </c>
      <c r="C41" s="21" t="s">
        <v>172</v>
      </c>
      <c r="D41" s="46" t="s">
        <v>16</v>
      </c>
      <c r="E41" s="53" t="s">
        <v>17</v>
      </c>
      <c r="F41" s="18" t="s">
        <v>166</v>
      </c>
      <c r="G41" s="9" t="s">
        <v>167</v>
      </c>
      <c r="H41" s="9" t="s">
        <v>19</v>
      </c>
      <c r="I41" s="9" t="s">
        <v>173</v>
      </c>
      <c r="J41" s="27" t="s">
        <v>286</v>
      </c>
      <c r="K41" s="9" t="s">
        <v>21</v>
      </c>
      <c r="L41" s="8" t="s">
        <v>22</v>
      </c>
      <c r="M41" s="46"/>
      <c r="N41" s="9" t="s">
        <v>70</v>
      </c>
      <c r="O41" s="9" t="s">
        <v>163</v>
      </c>
    </row>
    <row r="42" spans="1:15" ht="231">
      <c r="A42" s="31">
        <v>41</v>
      </c>
      <c r="B42" s="38" t="s">
        <v>38</v>
      </c>
      <c r="C42" s="19" t="s">
        <v>174</v>
      </c>
      <c r="D42" s="20" t="s">
        <v>16</v>
      </c>
      <c r="E42" s="46" t="s">
        <v>40</v>
      </c>
      <c r="F42" s="17">
        <v>46325</v>
      </c>
      <c r="G42" s="7" t="s">
        <v>175</v>
      </c>
      <c r="H42" s="7" t="s">
        <v>176</v>
      </c>
      <c r="I42" s="7" t="s">
        <v>19</v>
      </c>
      <c r="J42" s="26" t="s">
        <v>287</v>
      </c>
      <c r="K42" s="9" t="s">
        <v>21</v>
      </c>
      <c r="L42" s="6" t="s">
        <v>22</v>
      </c>
      <c r="M42" s="20"/>
      <c r="N42" s="7" t="s">
        <v>177</v>
      </c>
      <c r="O42" s="7" t="s">
        <v>84</v>
      </c>
    </row>
    <row r="43" spans="1:15" ht="107.5" customHeight="1">
      <c r="A43" s="31">
        <v>42</v>
      </c>
      <c r="B43" s="39" t="s">
        <v>14</v>
      </c>
      <c r="C43" s="21" t="s">
        <v>178</v>
      </c>
      <c r="D43" s="46" t="s">
        <v>16</v>
      </c>
      <c r="E43" s="46" t="s">
        <v>40</v>
      </c>
      <c r="F43" s="18">
        <v>46325</v>
      </c>
      <c r="G43" s="24" t="s">
        <v>19</v>
      </c>
      <c r="H43" s="9" t="s">
        <v>176</v>
      </c>
      <c r="I43" s="9" t="s">
        <v>19</v>
      </c>
      <c r="J43" s="27" t="s">
        <v>288</v>
      </c>
      <c r="K43" s="9" t="s">
        <v>21</v>
      </c>
      <c r="L43" s="8" t="s">
        <v>22</v>
      </c>
      <c r="M43" s="46"/>
      <c r="N43" s="9" t="s">
        <v>179</v>
      </c>
      <c r="O43" s="9" t="s">
        <v>84</v>
      </c>
    </row>
    <row r="44" spans="1:15" ht="219" customHeight="1">
      <c r="A44" s="31">
        <v>43</v>
      </c>
      <c r="B44" s="39" t="s">
        <v>14</v>
      </c>
      <c r="C44" s="19" t="s">
        <v>180</v>
      </c>
      <c r="D44" s="20" t="s">
        <v>16</v>
      </c>
      <c r="E44" s="46" t="s">
        <v>40</v>
      </c>
      <c r="F44" s="36" t="s">
        <v>181</v>
      </c>
      <c r="G44" s="7" t="s">
        <v>182</v>
      </c>
      <c r="H44" s="7" t="s">
        <v>183</v>
      </c>
      <c r="I44" s="7" t="s">
        <v>19</v>
      </c>
      <c r="J44" s="26" t="s">
        <v>289</v>
      </c>
      <c r="K44" s="9" t="s">
        <v>21</v>
      </c>
      <c r="L44" s="6" t="s">
        <v>22</v>
      </c>
      <c r="M44" s="20"/>
      <c r="N44" s="7" t="s">
        <v>24</v>
      </c>
      <c r="O44" s="7" t="s">
        <v>46</v>
      </c>
    </row>
    <row r="45" spans="1:15" ht="109" customHeight="1">
      <c r="A45" s="31">
        <v>44</v>
      </c>
      <c r="B45" s="39" t="s">
        <v>38</v>
      </c>
      <c r="C45" s="21" t="s">
        <v>184</v>
      </c>
      <c r="D45" s="46" t="s">
        <v>48</v>
      </c>
      <c r="E45" s="53" t="s">
        <v>17</v>
      </c>
      <c r="F45" s="18">
        <v>46366</v>
      </c>
      <c r="G45" s="9" t="s">
        <v>185</v>
      </c>
      <c r="H45" s="9" t="s">
        <v>186</v>
      </c>
      <c r="I45" s="9" t="s">
        <v>19</v>
      </c>
      <c r="J45" s="27" t="s">
        <v>272</v>
      </c>
      <c r="K45" s="9" t="s">
        <v>21</v>
      </c>
      <c r="L45" s="8" t="s">
        <v>22</v>
      </c>
      <c r="M45" s="46" t="s">
        <v>187</v>
      </c>
      <c r="N45" s="9" t="s">
        <v>188</v>
      </c>
      <c r="O45" s="9" t="s">
        <v>84</v>
      </c>
    </row>
    <row r="46" spans="1:15" ht="92.5" customHeight="1">
      <c r="A46" s="31">
        <v>45</v>
      </c>
      <c r="B46" s="38" t="s">
        <v>38</v>
      </c>
      <c r="C46" s="19" t="s">
        <v>189</v>
      </c>
      <c r="D46" s="20" t="s">
        <v>48</v>
      </c>
      <c r="E46" s="46" t="s">
        <v>40</v>
      </c>
      <c r="F46" s="17">
        <v>46336</v>
      </c>
      <c r="G46" s="7" t="s">
        <v>190</v>
      </c>
      <c r="H46" s="7" t="s">
        <v>191</v>
      </c>
      <c r="I46" s="7" t="s">
        <v>19</v>
      </c>
      <c r="J46" s="26" t="s">
        <v>290</v>
      </c>
      <c r="K46" s="9" t="s">
        <v>21</v>
      </c>
      <c r="L46" s="6" t="s">
        <v>22</v>
      </c>
      <c r="M46" s="20"/>
      <c r="N46" s="7" t="s">
        <v>188</v>
      </c>
      <c r="O46" s="7" t="s">
        <v>46</v>
      </c>
    </row>
    <row r="47" spans="1:15" ht="113.9" hidden="1" customHeight="1">
      <c r="A47" s="31">
        <v>46</v>
      </c>
      <c r="B47" s="39" t="s">
        <v>38</v>
      </c>
      <c r="C47" s="21" t="s">
        <v>192</v>
      </c>
      <c r="D47" s="46" t="s">
        <v>16</v>
      </c>
      <c r="E47" s="46" t="s">
        <v>40</v>
      </c>
      <c r="F47" s="18">
        <v>46300</v>
      </c>
      <c r="G47" s="9"/>
      <c r="H47" s="9" t="s">
        <v>193</v>
      </c>
      <c r="I47" s="9" t="s">
        <v>19</v>
      </c>
      <c r="J47" s="27"/>
      <c r="K47" s="9" t="s">
        <v>21</v>
      </c>
      <c r="L47" s="8" t="s">
        <v>32</v>
      </c>
      <c r="M47" s="46" t="s">
        <v>194</v>
      </c>
      <c r="N47" s="9" t="s">
        <v>195</v>
      </c>
      <c r="O47" s="9" t="s">
        <v>56</v>
      </c>
    </row>
    <row r="48" spans="1:15" ht="222.65" customHeight="1">
      <c r="A48" s="31">
        <v>47</v>
      </c>
      <c r="B48" s="38" t="s">
        <v>26</v>
      </c>
      <c r="C48" s="19" t="s">
        <v>196</v>
      </c>
      <c r="D48" s="20" t="s">
        <v>16</v>
      </c>
      <c r="E48" s="46" t="s">
        <v>29</v>
      </c>
      <c r="F48" s="17">
        <v>46315</v>
      </c>
      <c r="G48" s="7" t="s">
        <v>197</v>
      </c>
      <c r="H48" s="7" t="s">
        <v>198</v>
      </c>
      <c r="I48" s="7" t="s">
        <v>19</v>
      </c>
      <c r="J48" s="26" t="s">
        <v>291</v>
      </c>
      <c r="K48" s="9" t="s">
        <v>31</v>
      </c>
      <c r="L48" s="6" t="s">
        <v>22</v>
      </c>
      <c r="M48" s="56" t="s">
        <v>33</v>
      </c>
      <c r="N48" s="7" t="s">
        <v>199</v>
      </c>
      <c r="O48" s="7" t="s">
        <v>46</v>
      </c>
    </row>
    <row r="49" spans="1:15" ht="92.5" customHeight="1">
      <c r="A49" s="31">
        <v>48</v>
      </c>
      <c r="B49" s="39" t="s">
        <v>14</v>
      </c>
      <c r="C49" s="21" t="s">
        <v>200</v>
      </c>
      <c r="D49" s="46" t="s">
        <v>16</v>
      </c>
      <c r="E49" s="46" t="s">
        <v>40</v>
      </c>
      <c r="F49" s="18">
        <v>46315</v>
      </c>
      <c r="G49" s="9" t="s">
        <v>201</v>
      </c>
      <c r="H49" s="9" t="s">
        <v>202</v>
      </c>
      <c r="I49" s="24" t="s">
        <v>19</v>
      </c>
      <c r="J49" s="70" t="s">
        <v>292</v>
      </c>
      <c r="K49" s="9" t="s">
        <v>31</v>
      </c>
      <c r="L49" s="8" t="s">
        <v>22</v>
      </c>
      <c r="M49" s="46"/>
      <c r="N49" s="9" t="s">
        <v>203</v>
      </c>
      <c r="O49" s="9" t="s">
        <v>56</v>
      </c>
    </row>
    <row r="50" spans="1:15" ht="76" customHeight="1">
      <c r="A50" s="31">
        <v>49</v>
      </c>
      <c r="B50" s="38" t="s">
        <v>26</v>
      </c>
      <c r="C50" s="19" t="s">
        <v>204</v>
      </c>
      <c r="D50" s="46" t="s">
        <v>28</v>
      </c>
      <c r="E50" s="46" t="s">
        <v>29</v>
      </c>
      <c r="F50" s="17">
        <v>46295</v>
      </c>
      <c r="G50" s="7" t="s">
        <v>19</v>
      </c>
      <c r="H50" s="7" t="s">
        <v>205</v>
      </c>
      <c r="I50" s="7" t="s">
        <v>19</v>
      </c>
      <c r="J50" s="26" t="s">
        <v>291</v>
      </c>
      <c r="K50" s="9" t="s">
        <v>31</v>
      </c>
      <c r="L50" s="6" t="s">
        <v>22</v>
      </c>
      <c r="M50" s="56" t="s">
        <v>33</v>
      </c>
      <c r="N50" s="7" t="s">
        <v>24</v>
      </c>
      <c r="O50" s="7" t="s">
        <v>34</v>
      </c>
    </row>
    <row r="51" spans="1:15" ht="92.5" hidden="1" customHeight="1">
      <c r="A51" s="31">
        <v>50</v>
      </c>
      <c r="B51" s="39" t="s">
        <v>26</v>
      </c>
      <c r="C51" s="21" t="s">
        <v>206</v>
      </c>
      <c r="D51" s="46" t="s">
        <v>28</v>
      </c>
      <c r="E51" s="46" t="s">
        <v>40</v>
      </c>
      <c r="F51" s="13">
        <v>46292</v>
      </c>
      <c r="G51" s="9" t="s">
        <v>19</v>
      </c>
      <c r="H51" s="9" t="s">
        <v>207</v>
      </c>
      <c r="I51" s="9" t="s">
        <v>19</v>
      </c>
      <c r="J51" s="27"/>
      <c r="K51" s="9" t="s">
        <v>31</v>
      </c>
      <c r="L51" s="8" t="s">
        <v>32</v>
      </c>
      <c r="M51" s="46"/>
      <c r="N51" s="9" t="s">
        <v>24</v>
      </c>
      <c r="O51" s="9" t="s">
        <v>34</v>
      </c>
    </row>
    <row r="52" spans="1:15" ht="92.5" customHeight="1">
      <c r="A52" s="31">
        <v>51</v>
      </c>
      <c r="B52" s="38" t="s">
        <v>14</v>
      </c>
      <c r="C52" s="19" t="s">
        <v>208</v>
      </c>
      <c r="D52" s="20" t="s">
        <v>16</v>
      </c>
      <c r="E52" s="46" t="s">
        <v>40</v>
      </c>
      <c r="F52" s="17">
        <v>46299</v>
      </c>
      <c r="G52" s="7" t="s">
        <v>209</v>
      </c>
      <c r="H52" s="7" t="s">
        <v>210</v>
      </c>
      <c r="I52" s="7" t="s">
        <v>19</v>
      </c>
      <c r="J52" s="26" t="s">
        <v>293</v>
      </c>
      <c r="K52" s="9" t="s">
        <v>31</v>
      </c>
      <c r="L52" s="6" t="s">
        <v>22</v>
      </c>
      <c r="M52" s="20"/>
      <c r="N52" s="7" t="s">
        <v>70</v>
      </c>
      <c r="O52" s="7" t="s">
        <v>71</v>
      </c>
    </row>
    <row r="53" spans="1:15" ht="165">
      <c r="A53" s="31">
        <v>52</v>
      </c>
      <c r="B53" s="39" t="s">
        <v>14</v>
      </c>
      <c r="C53" s="21" t="s">
        <v>211</v>
      </c>
      <c r="D53" s="46" t="s">
        <v>16</v>
      </c>
      <c r="E53" s="46" t="s">
        <v>40</v>
      </c>
      <c r="F53" s="13">
        <v>46356</v>
      </c>
      <c r="G53" s="9" t="s">
        <v>19</v>
      </c>
      <c r="H53" s="9" t="s">
        <v>212</v>
      </c>
      <c r="I53" s="9"/>
      <c r="J53" s="27" t="s">
        <v>279</v>
      </c>
      <c r="K53" s="9" t="s">
        <v>21</v>
      </c>
      <c r="L53" s="8" t="s">
        <v>22</v>
      </c>
      <c r="M53" s="46"/>
      <c r="N53" s="9" t="s">
        <v>24</v>
      </c>
      <c r="O53" s="9" t="s">
        <v>34</v>
      </c>
    </row>
    <row r="54" spans="1:15" ht="197.5" customHeight="1">
      <c r="A54" s="31">
        <v>53</v>
      </c>
      <c r="B54" s="38" t="s">
        <v>38</v>
      </c>
      <c r="C54" s="19" t="s">
        <v>213</v>
      </c>
      <c r="D54" s="20" t="s">
        <v>16</v>
      </c>
      <c r="E54" s="46" t="s">
        <v>40</v>
      </c>
      <c r="F54" s="36" t="s">
        <v>181</v>
      </c>
      <c r="G54" s="25" t="s">
        <v>19</v>
      </c>
      <c r="H54" s="7" t="s">
        <v>162</v>
      </c>
      <c r="I54" s="7"/>
      <c r="J54" s="26" t="s">
        <v>294</v>
      </c>
      <c r="K54" s="9" t="s">
        <v>21</v>
      </c>
      <c r="L54" s="6" t="s">
        <v>22</v>
      </c>
      <c r="M54" s="20"/>
      <c r="N54" s="7" t="s">
        <v>51</v>
      </c>
      <c r="O54" s="7" t="s">
        <v>163</v>
      </c>
    </row>
    <row r="55" spans="1:15" ht="165">
      <c r="A55" s="31">
        <v>54</v>
      </c>
      <c r="B55" s="39" t="s">
        <v>26</v>
      </c>
      <c r="C55" s="21" t="s">
        <v>214</v>
      </c>
      <c r="D55" s="46" t="s">
        <v>16</v>
      </c>
      <c r="E55" s="46" t="s">
        <v>29</v>
      </c>
      <c r="F55" s="18">
        <v>46320</v>
      </c>
      <c r="G55" s="9" t="s">
        <v>19</v>
      </c>
      <c r="H55" s="9" t="s">
        <v>215</v>
      </c>
      <c r="I55" s="9" t="s">
        <v>19</v>
      </c>
      <c r="J55" s="27" t="s">
        <v>295</v>
      </c>
      <c r="K55" s="9" t="s">
        <v>31</v>
      </c>
      <c r="L55" s="8" t="s">
        <v>22</v>
      </c>
      <c r="M55" s="46"/>
      <c r="N55" s="9" t="s">
        <v>216</v>
      </c>
      <c r="O55" s="9" t="s">
        <v>56</v>
      </c>
    </row>
    <row r="56" spans="1:15" s="14" customFormat="1" ht="76" customHeight="1">
      <c r="A56" s="31">
        <v>55</v>
      </c>
      <c r="B56" s="38" t="s">
        <v>14</v>
      </c>
      <c r="C56" s="19" t="s">
        <v>217</v>
      </c>
      <c r="D56" s="20" t="s">
        <v>16</v>
      </c>
      <c r="E56" s="46" t="s">
        <v>40</v>
      </c>
      <c r="F56" s="17">
        <v>46363</v>
      </c>
      <c r="G56" s="7"/>
      <c r="H56" s="7" t="s">
        <v>218</v>
      </c>
      <c r="I56" s="7"/>
      <c r="J56" s="26" t="s">
        <v>296</v>
      </c>
      <c r="K56" s="9" t="s">
        <v>31</v>
      </c>
      <c r="L56" s="6" t="s">
        <v>22</v>
      </c>
      <c r="M56" s="20"/>
      <c r="N56" s="7" t="s">
        <v>24</v>
      </c>
      <c r="O56" s="7" t="s">
        <v>163</v>
      </c>
    </row>
    <row r="57" spans="1:15" ht="14.15" customHeight="1">
      <c r="L57" s="4"/>
    </row>
    <row r="58" spans="1:15" ht="14.15" customHeight="1">
      <c r="L58" s="4"/>
    </row>
    <row r="59" spans="1:15" ht="14.15" customHeight="1">
      <c r="L59" s="4"/>
    </row>
    <row r="60" spans="1:15" ht="14.15" customHeight="1">
      <c r="L60" s="4"/>
    </row>
    <row r="61" spans="1:15" ht="14.15" customHeight="1">
      <c r="L61" s="4"/>
    </row>
    <row r="62" spans="1:15" ht="14.15" customHeight="1">
      <c r="L62" s="4"/>
    </row>
    <row r="63" spans="1:15" ht="14.15" customHeight="1">
      <c r="L63" s="4"/>
    </row>
    <row r="64" spans="1:15" ht="14.15" customHeight="1">
      <c r="L64" s="4"/>
    </row>
    <row r="65" spans="12:12" ht="14.15" customHeight="1">
      <c r="L65" s="4"/>
    </row>
    <row r="66" spans="12:12" ht="14.15" customHeight="1">
      <c r="L66" s="4"/>
    </row>
    <row r="67" spans="12:12" ht="14.15" customHeight="1">
      <c r="L67" s="4"/>
    </row>
    <row r="68" spans="12:12" ht="14.15" customHeight="1">
      <c r="L68" s="4"/>
    </row>
    <row r="69" spans="12:12" ht="14.15" customHeight="1">
      <c r="L69" s="4"/>
    </row>
    <row r="70" spans="12:12" ht="14.15" customHeight="1">
      <c r="L70" s="4"/>
    </row>
    <row r="71" spans="12:12" ht="14.15" customHeight="1">
      <c r="L71" s="4"/>
    </row>
    <row r="72" spans="12:12" ht="14.15" customHeight="1">
      <c r="L72" s="4"/>
    </row>
    <row r="73" spans="12:12" ht="14.15" customHeight="1">
      <c r="L73" s="4"/>
    </row>
    <row r="74" spans="12:12" ht="14.15" customHeight="1">
      <c r="L74" s="4"/>
    </row>
    <row r="75" spans="12:12" ht="14.15" customHeight="1">
      <c r="L75" s="4"/>
    </row>
    <row r="76" spans="12:12" ht="14.15" customHeight="1">
      <c r="L76" s="4"/>
    </row>
    <row r="77" spans="12:12" ht="14.15" customHeight="1">
      <c r="L77" s="4"/>
    </row>
    <row r="78" spans="12:12" ht="14.15" customHeight="1">
      <c r="L78" s="4"/>
    </row>
    <row r="79" spans="12:12" ht="14.15" customHeight="1">
      <c r="L79" s="4"/>
    </row>
    <row r="80" spans="12:12" ht="14.15" customHeight="1">
      <c r="L80" s="4"/>
    </row>
    <row r="81" spans="12:12" ht="14.15" customHeight="1">
      <c r="L81" s="4"/>
    </row>
    <row r="82" spans="12:12" ht="14.15" customHeight="1">
      <c r="L82" s="4"/>
    </row>
    <row r="83" spans="12:12" ht="14.15" customHeight="1">
      <c r="L83" s="4"/>
    </row>
    <row r="84" spans="12:12" ht="14.15" customHeight="1">
      <c r="L84" s="4"/>
    </row>
    <row r="85" spans="12:12" ht="14.15" customHeight="1">
      <c r="L85" s="4"/>
    </row>
    <row r="86" spans="12:12" ht="14.15" customHeight="1">
      <c r="L86" s="4"/>
    </row>
    <row r="87" spans="12:12" ht="14.15" customHeight="1">
      <c r="L87" s="4"/>
    </row>
    <row r="88" spans="12:12" ht="14.15" customHeight="1">
      <c r="L88" s="4"/>
    </row>
    <row r="89" spans="12:12" ht="14.15" customHeight="1">
      <c r="L89" s="4"/>
    </row>
    <row r="90" spans="12:12" ht="14.15" customHeight="1">
      <c r="L90" s="4"/>
    </row>
    <row r="91" spans="12:12" ht="14.15" customHeight="1">
      <c r="L91" s="4"/>
    </row>
    <row r="92" spans="12:12" ht="14.15" customHeight="1">
      <c r="L92" s="4"/>
    </row>
    <row r="93" spans="12:12" ht="14.15" customHeight="1">
      <c r="L93" s="4"/>
    </row>
    <row r="94" spans="12:12" ht="14.15" customHeight="1">
      <c r="L94" s="4"/>
    </row>
    <row r="95" spans="12:12" ht="14.15" customHeight="1">
      <c r="L95" s="4"/>
    </row>
    <row r="96" spans="12:12" ht="14.15" customHeight="1">
      <c r="L96" s="4"/>
    </row>
    <row r="97" spans="12:12" ht="14.15" customHeight="1">
      <c r="L97" s="4"/>
    </row>
    <row r="98" spans="12:12" ht="14.15" customHeight="1">
      <c r="L98" s="4"/>
    </row>
    <row r="99" spans="12:12" ht="14.15" customHeight="1">
      <c r="L99" s="4"/>
    </row>
    <row r="100" spans="12:12" ht="14.15" customHeight="1">
      <c r="L100" s="4"/>
    </row>
    <row r="101" spans="12:12" ht="14.15" customHeight="1">
      <c r="L101" s="4"/>
    </row>
    <row r="102" spans="12:12" ht="14.15" customHeight="1">
      <c r="L102" s="4"/>
    </row>
    <row r="103" spans="12:12" ht="14.15" customHeight="1">
      <c r="L103" s="4"/>
    </row>
    <row r="104" spans="12:12" ht="14.15" customHeight="1">
      <c r="L104" s="4"/>
    </row>
    <row r="105" spans="12:12" ht="14.15" customHeight="1">
      <c r="L105" s="4"/>
    </row>
    <row r="106" spans="12:12" ht="14.15" customHeight="1">
      <c r="L106" s="4"/>
    </row>
    <row r="107" spans="12:12" ht="14.15" customHeight="1">
      <c r="L107" s="4"/>
    </row>
    <row r="108" spans="12:12" ht="14.15" customHeight="1">
      <c r="L108" s="4"/>
    </row>
    <row r="109" spans="12:12" ht="14.15" customHeight="1">
      <c r="L109" s="4"/>
    </row>
    <row r="110" spans="12:12" ht="14.15" customHeight="1">
      <c r="L110" s="4"/>
    </row>
    <row r="111" spans="12:12" ht="14.15" customHeight="1">
      <c r="L111" s="4"/>
    </row>
    <row r="112" spans="12:12" ht="14.15" customHeight="1">
      <c r="L112" s="4"/>
    </row>
    <row r="113" spans="12:12" ht="14.15" customHeight="1">
      <c r="L113" s="4"/>
    </row>
    <row r="114" spans="12:12" ht="14.15" customHeight="1">
      <c r="L114" s="4"/>
    </row>
    <row r="115" spans="12:12" ht="14.15" customHeight="1">
      <c r="L115" s="4"/>
    </row>
    <row r="116" spans="12:12" ht="14.15" customHeight="1">
      <c r="L116" s="4"/>
    </row>
    <row r="117" spans="12:12" ht="14.15" customHeight="1">
      <c r="L117" s="4"/>
    </row>
    <row r="118" spans="12:12" ht="14.15" customHeight="1">
      <c r="L118" s="4"/>
    </row>
    <row r="119" spans="12:12" ht="14.15" customHeight="1">
      <c r="L119" s="4"/>
    </row>
    <row r="120" spans="12:12" ht="14.15" customHeight="1">
      <c r="L120" s="4"/>
    </row>
    <row r="121" spans="12:12" ht="14.15" customHeight="1">
      <c r="L121" s="4"/>
    </row>
    <row r="122" spans="12:12" ht="14.15" customHeight="1">
      <c r="L122" s="4"/>
    </row>
    <row r="123" spans="12:12" ht="14.15" customHeight="1">
      <c r="L123" s="4"/>
    </row>
    <row r="124" spans="12:12" ht="14.15" customHeight="1">
      <c r="L124" s="4"/>
    </row>
    <row r="125" spans="12:12" ht="14.15" customHeight="1">
      <c r="L125" s="4"/>
    </row>
    <row r="126" spans="12:12" ht="14.15" customHeight="1">
      <c r="L126" s="4"/>
    </row>
    <row r="127" spans="12:12" ht="14.15" customHeight="1">
      <c r="L127" s="4"/>
    </row>
    <row r="128" spans="12:12" ht="14.15" customHeight="1">
      <c r="L128" s="4"/>
    </row>
    <row r="129" spans="12:12" ht="14.15" customHeight="1">
      <c r="L129" s="4"/>
    </row>
    <row r="130" spans="12:12" ht="14.15" customHeight="1">
      <c r="L130" s="4"/>
    </row>
    <row r="131" spans="12:12" ht="14.15" customHeight="1">
      <c r="L131" s="4"/>
    </row>
    <row r="132" spans="12:12" ht="14.15" customHeight="1">
      <c r="L132" s="4"/>
    </row>
    <row r="133" spans="12:12" ht="14.15" customHeight="1">
      <c r="L133" s="4"/>
    </row>
    <row r="134" spans="12:12" ht="14.15" customHeight="1">
      <c r="L134" s="4"/>
    </row>
    <row r="135" spans="12:12" ht="14.15" customHeight="1">
      <c r="L135" s="4"/>
    </row>
    <row r="136" spans="12:12" ht="14.15" customHeight="1">
      <c r="L136" s="4"/>
    </row>
    <row r="137" spans="12:12" ht="14.15" customHeight="1">
      <c r="L137" s="4"/>
    </row>
    <row r="138" spans="12:12" ht="14.15" customHeight="1">
      <c r="L138" s="4"/>
    </row>
    <row r="139" spans="12:12" ht="14.15" customHeight="1">
      <c r="L139" s="4"/>
    </row>
    <row r="140" spans="12:12" ht="14.15" customHeight="1">
      <c r="L140" s="4"/>
    </row>
    <row r="141" spans="12:12" ht="14.15" customHeight="1">
      <c r="L141" s="4"/>
    </row>
    <row r="142" spans="12:12" ht="14.15" customHeight="1">
      <c r="L142" s="4"/>
    </row>
    <row r="143" spans="12:12" ht="14.15" customHeight="1">
      <c r="L143" s="4"/>
    </row>
    <row r="144" spans="12:12" ht="14.15" customHeight="1">
      <c r="L144" s="4"/>
    </row>
    <row r="145" spans="12:12" ht="14.15" customHeight="1">
      <c r="L145" s="4"/>
    </row>
    <row r="146" spans="12:12" ht="14.15" customHeight="1">
      <c r="L146" s="4"/>
    </row>
    <row r="147" spans="12:12" ht="14.15" customHeight="1">
      <c r="L147" s="4"/>
    </row>
    <row r="148" spans="12:12" ht="14.15" customHeight="1">
      <c r="L148" s="4"/>
    </row>
    <row r="149" spans="12:12" ht="14.15" customHeight="1">
      <c r="L149" s="4"/>
    </row>
    <row r="150" spans="12:12" ht="14.15" customHeight="1">
      <c r="L150" s="4"/>
    </row>
    <row r="151" spans="12:12" ht="14.15" customHeight="1">
      <c r="L151" s="4"/>
    </row>
    <row r="152" spans="12:12" ht="14.15" customHeight="1">
      <c r="L152" s="4"/>
    </row>
    <row r="153" spans="12:12" ht="14.15" customHeight="1">
      <c r="L153" s="4"/>
    </row>
    <row r="154" spans="12:12" ht="14.15" customHeight="1">
      <c r="L154" s="4"/>
    </row>
    <row r="155" spans="12:12" ht="14.15" customHeight="1">
      <c r="L155" s="4"/>
    </row>
    <row r="156" spans="12:12" ht="14.15" customHeight="1">
      <c r="L156" s="4"/>
    </row>
    <row r="157" spans="12:12" ht="14.15" customHeight="1">
      <c r="L157" s="4"/>
    </row>
    <row r="158" spans="12:12" ht="14.15" customHeight="1">
      <c r="L158" s="4"/>
    </row>
    <row r="159" spans="12:12" ht="14.15" customHeight="1">
      <c r="L159" s="4"/>
    </row>
    <row r="160" spans="12:12" ht="14.15" customHeight="1">
      <c r="L160" s="4"/>
    </row>
    <row r="161" spans="12:12" ht="14.15" customHeight="1">
      <c r="L161" s="4"/>
    </row>
    <row r="162" spans="12:12" ht="14.15" customHeight="1">
      <c r="L162" s="4"/>
    </row>
    <row r="163" spans="12:12" ht="14.15" customHeight="1">
      <c r="L163" s="4"/>
    </row>
    <row r="164" spans="12:12" ht="14.15" customHeight="1">
      <c r="L164" s="4"/>
    </row>
    <row r="165" spans="12:12" ht="14.15" customHeight="1">
      <c r="L165" s="4"/>
    </row>
    <row r="166" spans="12:12" ht="14.15" customHeight="1">
      <c r="L166" s="4"/>
    </row>
    <row r="167" spans="12:12" ht="14.15" customHeight="1">
      <c r="L167" s="4"/>
    </row>
    <row r="168" spans="12:12" ht="14.15" customHeight="1">
      <c r="L168" s="4"/>
    </row>
    <row r="169" spans="12:12" ht="14.15" customHeight="1">
      <c r="L169" s="4"/>
    </row>
    <row r="170" spans="12:12" ht="14.15" customHeight="1">
      <c r="L170" s="4"/>
    </row>
    <row r="171" spans="12:12" ht="14.15" customHeight="1">
      <c r="L171" s="4"/>
    </row>
    <row r="172" spans="12:12" ht="14.15" customHeight="1">
      <c r="L172" s="4"/>
    </row>
    <row r="173" spans="12:12" ht="14.15" customHeight="1">
      <c r="L173" s="4"/>
    </row>
    <row r="174" spans="12:12" ht="14.15" customHeight="1">
      <c r="L174" s="4"/>
    </row>
    <row r="175" spans="12:12" ht="14.15" customHeight="1">
      <c r="L175" s="4"/>
    </row>
    <row r="176" spans="12:12" ht="14.15" customHeight="1">
      <c r="L176" s="4"/>
    </row>
    <row r="177" spans="12:12" ht="14.15" customHeight="1">
      <c r="L177" s="4"/>
    </row>
    <row r="178" spans="12:12" ht="14.15" customHeight="1">
      <c r="L178" s="4"/>
    </row>
    <row r="179" spans="12:12" ht="14.15" customHeight="1">
      <c r="L179" s="4"/>
    </row>
    <row r="180" spans="12:12" ht="14.15" customHeight="1">
      <c r="L180" s="4"/>
    </row>
    <row r="181" spans="12:12" ht="14.15" customHeight="1">
      <c r="L181" s="4"/>
    </row>
    <row r="182" spans="12:12" ht="14.15" customHeight="1">
      <c r="L182" s="4"/>
    </row>
    <row r="183" spans="12:12" ht="14.15" customHeight="1">
      <c r="L183" s="4"/>
    </row>
    <row r="184" spans="12:12" ht="14.15" customHeight="1">
      <c r="L184" s="4"/>
    </row>
    <row r="185" spans="12:12" ht="14.15" customHeight="1">
      <c r="L185" s="4"/>
    </row>
    <row r="186" spans="12:12" ht="14.15" customHeight="1">
      <c r="L186" s="4"/>
    </row>
    <row r="187" spans="12:12" ht="14.15" customHeight="1">
      <c r="L187" s="4"/>
    </row>
    <row r="188" spans="12:12" ht="14.15" customHeight="1">
      <c r="L188" s="4"/>
    </row>
    <row r="189" spans="12:12" ht="14.15" customHeight="1">
      <c r="L189" s="4"/>
    </row>
    <row r="190" spans="12:12" ht="14.15" customHeight="1">
      <c r="L190" s="4"/>
    </row>
    <row r="191" spans="12:12" ht="14.15" customHeight="1">
      <c r="L191" s="4"/>
    </row>
    <row r="192" spans="12:12" ht="14.15" customHeight="1">
      <c r="L192" s="4"/>
    </row>
  </sheetData>
  <phoneticPr fontId="1" type="noConversion"/>
  <conditionalFormatting sqref="D20:D22 D24 D26:D29 D31:D35 D37:D44 D47:D56">
    <cfRule type="expression" dxfId="40" priority="17">
      <formula>E73="High"</formula>
    </cfRule>
    <cfRule type="expression" dxfId="39" priority="18">
      <formula>E73="Medium"</formula>
    </cfRule>
  </conditionalFormatting>
  <conditionalFormatting sqref="D23 D25 D30 D36 D45:D46">
    <cfRule type="expression" dxfId="38" priority="24">
      <formula>#REF!="Medium"</formula>
    </cfRule>
    <cfRule type="expression" dxfId="37" priority="23">
      <formula>#REF!="High"</formula>
    </cfRule>
  </conditionalFormatting>
  <conditionalFormatting sqref="D2:H3 K2:K3 D10 D12:D14">
    <cfRule type="expression" dxfId="36" priority="19">
      <formula>E55="High"</formula>
    </cfRule>
    <cfRule type="expression" dxfId="35" priority="20">
      <formula>E55="Medium"</formula>
    </cfRule>
  </conditionalFormatting>
  <conditionalFormatting sqref="D4:K8 D9 F9:K10 D11 F11:J11">
    <cfRule type="expression" dxfId="34" priority="49">
      <formula>#REF!="High"</formula>
    </cfRule>
    <cfRule type="expression" dxfId="33" priority="52">
      <formula>#REF!="Medium"</formula>
    </cfRule>
  </conditionalFormatting>
  <conditionalFormatting sqref="E9:E10">
    <cfRule type="expression" dxfId="32" priority="13">
      <formula>#REF!="High"</formula>
    </cfRule>
    <cfRule type="expression" dxfId="31" priority="14">
      <formula>#REF!="Medium"</formula>
    </cfRule>
  </conditionalFormatting>
  <conditionalFormatting sqref="E11:E12">
    <cfRule type="expression" dxfId="30" priority="7">
      <formula>F64="High"</formula>
    </cfRule>
    <cfRule type="expression" dxfId="29" priority="8">
      <formula>F64="Medium"</formula>
    </cfRule>
  </conditionalFormatting>
  <conditionalFormatting sqref="E13:E14">
    <cfRule type="expression" dxfId="28" priority="3">
      <formula>#REF!="High"</formula>
    </cfRule>
    <cfRule type="expression" dxfId="27" priority="4">
      <formula>#REF!="Medium"</formula>
    </cfRule>
  </conditionalFormatting>
  <conditionalFormatting sqref="E20:E21 E29:E31 E48 E50 E55">
    <cfRule type="expression" dxfId="26" priority="5">
      <formula>F73="High"</formula>
    </cfRule>
    <cfRule type="expression" dxfId="25" priority="6">
      <formula>F73="Medium"</formula>
    </cfRule>
  </conditionalFormatting>
  <conditionalFormatting sqref="E22">
    <cfRule type="expression" dxfId="24" priority="11">
      <formula>#REF!="High"</formula>
    </cfRule>
    <cfRule type="expression" dxfId="23" priority="12">
      <formula>#REF!="Medium"</formula>
    </cfRule>
  </conditionalFormatting>
  <conditionalFormatting sqref="E23 E36:E37 E39 E41 E45">
    <cfRule type="expression" dxfId="22" priority="9">
      <formula>F76="High"</formula>
    </cfRule>
    <cfRule type="expression" dxfId="21" priority="10">
      <formula>F76="Medium"</formula>
    </cfRule>
  </conditionalFormatting>
  <conditionalFormatting sqref="E24:E28 E32:E35 E38 E40 E42:E44 E46:E47 E49 E51:E54 E56">
    <cfRule type="expression" dxfId="20" priority="2">
      <formula>#REF!="Medium"</formula>
    </cfRule>
    <cfRule type="expression" dxfId="19" priority="1">
      <formula>#REF!="High"</formula>
    </cfRule>
  </conditionalFormatting>
  <conditionalFormatting sqref="F48:G48">
    <cfRule type="expression" dxfId="18" priority="48">
      <formula>G93="High"</formula>
    </cfRule>
    <cfRule type="expression" dxfId="17" priority="51">
      <formula>G93="Medium"</formula>
    </cfRule>
  </conditionalFormatting>
  <conditionalFormatting sqref="F12:H14 D15:H19 K15:K19 F20:H47 F49:H56">
    <cfRule type="expression" dxfId="16" priority="53">
      <formula>E57="High"</formula>
    </cfRule>
    <cfRule type="expression" dxfId="15" priority="55">
      <formula>E57="Medium"</formula>
    </cfRule>
  </conditionalFormatting>
  <conditionalFormatting sqref="H48">
    <cfRule type="expression" dxfId="14" priority="39">
      <formula>I93="High"</formula>
    </cfRule>
    <cfRule type="expression" dxfId="13" priority="40">
      <formula>I93="Medium"</formula>
    </cfRule>
  </conditionalFormatting>
  <conditionalFormatting sqref="I2:J3">
    <cfRule type="expression" dxfId="12" priority="60">
      <formula>K55="High"</formula>
    </cfRule>
    <cfRule type="expression" dxfId="11" priority="61">
      <formula>K55="Medium"</formula>
    </cfRule>
  </conditionalFormatting>
  <conditionalFormatting sqref="I12:J56">
    <cfRule type="expression" dxfId="10" priority="64">
      <formula>K57="High"</formula>
    </cfRule>
    <cfRule type="expression" dxfId="9" priority="65">
      <formula>K57="Medium"</formula>
    </cfRule>
  </conditionalFormatting>
  <conditionalFormatting sqref="K11:K14">
    <cfRule type="expression" dxfId="8" priority="37">
      <formula>#REF!="High"</formula>
    </cfRule>
    <cfRule type="expression" dxfId="7" priority="38">
      <formula>#REF!="Medium"</formula>
    </cfRule>
  </conditionalFormatting>
  <conditionalFormatting sqref="K20:K56">
    <cfRule type="expression" dxfId="6" priority="25">
      <formula>#REF!="High"</formula>
    </cfRule>
    <cfRule type="expression" dxfId="5" priority="26">
      <formula>#REF!="Medium"</formula>
    </cfRule>
  </conditionalFormatting>
  <conditionalFormatting sqref="L2:L56">
    <cfRule type="expression" dxfId="4" priority="45">
      <formula>$L2="Completed"</formula>
    </cfRule>
    <cfRule type="expression" dxfId="3" priority="46">
      <formula>$L2="Blocked"</formula>
    </cfRule>
  </conditionalFormatting>
  <dataValidations count="1">
    <dataValidation type="list" sqref="L2:L56" xr:uid="{00000000-0002-0000-0000-000000000000}">
      <formula1>"Open,In Progress,Blocked,Completed,Cancelled"</formula1>
    </dataValidation>
  </dataValidations>
  <hyperlinks>
    <hyperlink ref="M3" r:id="rId1" xr:uid="{00000000-0004-0000-0000-000000000000}"/>
    <hyperlink ref="M4" r:id="rId2" xr:uid="{00000000-0004-0000-0000-000001000000}"/>
    <hyperlink ref="M48" r:id="rId3" xr:uid="{00000000-0004-0000-0000-000002000000}"/>
    <hyperlink ref="M50" r:id="rId4" xr:uid="{00000000-0004-0000-0000-000003000000}"/>
  </hyperlinks>
  <pageMargins left="0.7" right="0.7" top="0.75" bottom="0.75" header="0.3" footer="0.3"/>
  <pageSetup paperSize="9" orientation="portrait"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E6"/>
  <sheetViews>
    <sheetView workbookViewId="0"/>
  </sheetViews>
  <sheetFormatPr defaultColWidth="9" defaultRowHeight="14.15" customHeight="1"/>
  <cols>
    <col min="2" max="2" width="20.5" style="12" customWidth="1"/>
    <col min="3" max="3" width="23.5" style="12" customWidth="1"/>
    <col min="4" max="4" width="24.5" style="12" customWidth="1"/>
    <col min="5" max="5" width="10.58203125" style="12" customWidth="1"/>
  </cols>
  <sheetData>
    <row r="2" spans="2:5" ht="14.15" customHeight="1">
      <c r="B2" s="12" t="s">
        <v>1</v>
      </c>
      <c r="C2" s="12" t="s">
        <v>3</v>
      </c>
      <c r="D2" s="12" t="s">
        <v>4</v>
      </c>
      <c r="E2" s="12" t="s">
        <v>219</v>
      </c>
    </row>
    <row r="3" spans="2:5" ht="14.15" customHeight="1">
      <c r="B3" s="12" t="s">
        <v>38</v>
      </c>
      <c r="C3" s="12" t="s">
        <v>220</v>
      </c>
      <c r="D3" s="12" t="s">
        <v>59</v>
      </c>
      <c r="E3" s="12" t="s">
        <v>221</v>
      </c>
    </row>
    <row r="4" spans="2:5" ht="14.15" customHeight="1">
      <c r="B4" s="12" t="s">
        <v>222</v>
      </c>
      <c r="C4" s="12" t="s">
        <v>58</v>
      </c>
      <c r="D4" s="12" t="s">
        <v>223</v>
      </c>
      <c r="E4" s="12" t="s">
        <v>88</v>
      </c>
    </row>
    <row r="5" spans="2:5" ht="14.15" customHeight="1">
      <c r="B5" s="12" t="s">
        <v>224</v>
      </c>
      <c r="C5" s="12" t="s">
        <v>225</v>
      </c>
      <c r="D5" s="12" t="s">
        <v>226</v>
      </c>
      <c r="E5" s="12" t="s">
        <v>227</v>
      </c>
    </row>
    <row r="6" spans="2:5" ht="14.15" customHeight="1">
      <c r="B6" s="12" t="s">
        <v>228</v>
      </c>
      <c r="E6" s="12" t="s">
        <v>229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9"/>
  <sheetViews>
    <sheetView showGridLines="0" workbookViewId="0">
      <pane ySplit="2" topLeftCell="A3" activePane="bottomLeft" state="frozen"/>
      <selection pane="bottomLeft"/>
    </sheetView>
  </sheetViews>
  <sheetFormatPr defaultColWidth="9" defaultRowHeight="14.15" customHeight="1"/>
  <cols>
    <col min="1" max="1" width="24" style="12" customWidth="1"/>
    <col min="2" max="2" width="14" style="12" customWidth="1"/>
    <col min="4" max="4" width="18" style="12" customWidth="1"/>
    <col min="5" max="5" width="14" style="12" customWidth="1"/>
  </cols>
  <sheetData>
    <row r="1" spans="1:5" ht="36" customHeight="1">
      <c r="A1" s="59" t="s">
        <v>230</v>
      </c>
      <c r="B1" s="60"/>
      <c r="C1" s="61"/>
      <c r="D1" s="60"/>
    </row>
    <row r="3" spans="1:5" ht="36" customHeight="1">
      <c r="A3" s="57" t="s">
        <v>231</v>
      </c>
      <c r="B3" s="57" t="s">
        <v>232</v>
      </c>
      <c r="C3" s="35"/>
      <c r="D3" s="57" t="s">
        <v>233</v>
      </c>
      <c r="E3" s="57" t="s">
        <v>232</v>
      </c>
    </row>
    <row r="4" spans="1:5" ht="36" customHeight="1">
      <c r="A4" s="58" t="s">
        <v>234</v>
      </c>
      <c r="B4" s="12">
        <f>COUNTA('Action Tracker'!C2:C56)</f>
        <v>55</v>
      </c>
      <c r="D4" s="58" t="s">
        <v>235</v>
      </c>
      <c r="E4" s="12">
        <f>COUNTIF('Action Tracker'!E2:E56,"High*")</f>
        <v>9</v>
      </c>
    </row>
    <row r="5" spans="1:5" ht="36" customHeight="1">
      <c r="A5" s="58" t="s">
        <v>236</v>
      </c>
      <c r="B5" s="12">
        <f>COUNTIF('Action Tracker'!E2:E56,"High*")</f>
        <v>9</v>
      </c>
      <c r="D5" s="58" t="s">
        <v>237</v>
      </c>
      <c r="E5" s="12">
        <f>COUNTIF('Action Tracker'!E2:E56,"Med*")</f>
        <v>31</v>
      </c>
    </row>
    <row r="6" spans="1:5" ht="36" customHeight="1">
      <c r="A6" s="58" t="s">
        <v>238</v>
      </c>
      <c r="B6" s="12">
        <f>COUNTIF('Action Tracker'!L2:L56,"Open")</f>
        <v>51</v>
      </c>
      <c r="D6" s="58" t="s">
        <v>239</v>
      </c>
      <c r="E6" s="12">
        <f>COUNTIF('Action Tracker'!E2:E56,"Low*")</f>
        <v>15</v>
      </c>
    </row>
    <row r="7" spans="1:5" ht="36" customHeight="1">
      <c r="A7" s="58" t="s">
        <v>240</v>
      </c>
      <c r="B7" s="12">
        <f>COUNTIF('Action Tracker'!L2:L56,"In Progress")</f>
        <v>0</v>
      </c>
    </row>
    <row r="8" spans="1:5" ht="36" customHeight="1">
      <c r="A8" s="58" t="s">
        <v>241</v>
      </c>
      <c r="B8" s="12">
        <f>COUNTIF('Action Tracker'!L2:L56,"Blocked")</f>
        <v>0</v>
      </c>
    </row>
    <row r="9" spans="1:5" ht="36" customHeight="1">
      <c r="A9" s="58" t="s">
        <v>242</v>
      </c>
      <c r="B9" s="12">
        <f>COUNTIF('Action Tracker'!L2:L56,"Completed")</f>
        <v>4</v>
      </c>
    </row>
  </sheetData>
  <mergeCells count="1">
    <mergeCell ref="A1:D1"/>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7"/>
  <sheetViews>
    <sheetView showGridLines="0" workbookViewId="0"/>
  </sheetViews>
  <sheetFormatPr defaultColWidth="9" defaultRowHeight="14.15" customHeight="1"/>
  <cols>
    <col min="1" max="1" width="25" style="12" customWidth="1"/>
  </cols>
  <sheetData>
    <row r="1" spans="1:6" ht="36" customHeight="1">
      <c r="A1" s="59" t="s">
        <v>243</v>
      </c>
      <c r="B1" s="61"/>
      <c r="C1" s="61"/>
      <c r="D1" s="61"/>
      <c r="E1" s="61"/>
      <c r="F1" s="61"/>
    </row>
    <row r="3" spans="1:6" ht="36" customHeight="1">
      <c r="A3" s="62" t="s">
        <v>244</v>
      </c>
      <c r="B3" s="61"/>
      <c r="C3" s="61"/>
      <c r="D3" s="61"/>
      <c r="E3" s="61"/>
      <c r="F3" s="61"/>
    </row>
    <row r="4" spans="1:6" ht="36" customHeight="1">
      <c r="A4" s="62" t="s">
        <v>245</v>
      </c>
      <c r="B4" s="61"/>
      <c r="C4" s="61"/>
      <c r="D4" s="61"/>
      <c r="E4" s="61"/>
      <c r="F4" s="61"/>
    </row>
    <row r="5" spans="1:6" ht="36" customHeight="1">
      <c r="A5" s="62" t="s">
        <v>246</v>
      </c>
      <c r="B5" s="61"/>
      <c r="C5" s="61"/>
      <c r="D5" s="61"/>
      <c r="E5" s="61"/>
      <c r="F5" s="61"/>
    </row>
    <row r="6" spans="1:6" ht="36" customHeight="1">
      <c r="A6" s="62" t="s">
        <v>247</v>
      </c>
      <c r="B6" s="61"/>
      <c r="C6" s="61"/>
      <c r="D6" s="61"/>
      <c r="E6" s="61"/>
      <c r="F6" s="61"/>
    </row>
    <row r="7" spans="1:6" ht="36" customHeight="1">
      <c r="A7" s="62" t="s">
        <v>248</v>
      </c>
      <c r="B7" s="61"/>
      <c r="C7" s="61"/>
      <c r="D7" s="61"/>
      <c r="E7" s="61"/>
      <c r="F7" s="61"/>
    </row>
  </sheetData>
  <mergeCells count="6">
    <mergeCell ref="A1:F1"/>
    <mergeCell ref="A6:F6"/>
    <mergeCell ref="A5:F5"/>
    <mergeCell ref="A3:F3"/>
    <mergeCell ref="A7:F7"/>
    <mergeCell ref="A4:F4"/>
  </mergeCells>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39A25AEBBF054289C4A1A352438C96" ma:contentTypeVersion="10" ma:contentTypeDescription="Create a new document." ma:contentTypeScope="" ma:versionID="a55d95a97a7679c1b5f992817b7c5407">
  <xsd:schema xmlns:xsd="http://www.w3.org/2001/XMLSchema" xmlns:xs="http://www.w3.org/2001/XMLSchema" xmlns:p="http://schemas.microsoft.com/office/2006/metadata/properties" xmlns:ns2="3002b05a-7336-4ee0-8826-430bcfc631fa" targetNamespace="http://schemas.microsoft.com/office/2006/metadata/properties" ma:root="true" ma:fieldsID="cce505bf6b83650d02b7d431252ec775" ns2:_="">
    <xsd:import namespace="3002b05a-7336-4ee0-8826-430bcfc631f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BillingMetadata" minOccurs="0"/>
                <xsd:element ref="ns2:MediaServiceDateTaken" minOccurs="0"/>
                <xsd:element ref="ns2:MediaServiceLocatio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02b05a-7336-4ee0-8826-430bcfc631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2" nillable="true" ma:displayName="MediaServiceBillingMetadata" ma:hidden="true" ma:internalName="MediaServiceBilling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CDDC85B-9408-4A92-A1F1-0CFDDAB80A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02b05a-7336-4ee0-8826-430bcfc631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30E4A4D-8266-4286-94D1-C38A63118D46}">
  <ds:schemaRefs>
    <ds:schemaRef ds:uri="http://schemas.microsoft.com/sharepoint/v3/contenttype/forms"/>
  </ds:schemaRefs>
</ds:datastoreItem>
</file>

<file path=customXml/itemProps3.xml><?xml version="1.0" encoding="utf-8"?>
<ds:datastoreItem xmlns:ds="http://schemas.openxmlformats.org/officeDocument/2006/customXml" ds:itemID="{78B8F835-0C03-4371-8D6D-9C88FAF7CB7A}">
  <ds:schemaRefs>
    <ds:schemaRef ds:uri="http://schemas.microsoft.com/office/2006/documentManagement/types"/>
    <ds:schemaRef ds:uri="http://purl.org/dc/dcmitype/"/>
    <ds:schemaRef ds:uri="http://schemas.openxmlformats.org/package/2006/metadata/core-properties"/>
    <ds:schemaRef ds:uri="3002b05a-7336-4ee0-8826-430bcfc631fa"/>
    <ds:schemaRef ds:uri="http://purl.org/dc/elements/1.1/"/>
    <ds:schemaRef ds:uri="http://schemas.microsoft.com/office/2006/metadata/properties"/>
    <ds:schemaRef ds:uri="http://www.w3.org/XML/1998/namespace"/>
    <ds:schemaRef ds:uri="http://purl.org/dc/term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Action Tracker</vt:lpstr>
      <vt:lpstr>Sheet1</vt:lpstr>
      <vt:lpstr>Summary</vt:lpstr>
      <vt:lpstr>Instructions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DingTalk</dc:creator>
  <cp:keywords/>
  <dc:description/>
  <cp:lastModifiedBy>Mark Latta</cp:lastModifiedBy>
  <cp:revision/>
  <dcterms:created xsi:type="dcterms:W3CDTF">2006-09-16T00:00:00Z</dcterms:created>
  <dcterms:modified xsi:type="dcterms:W3CDTF">2026-09-30T13:36:53Z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0x0101005D39A25AEBBF054289C4A1A352438C96</vt:lpwstr>
  </property>
</Properties>
</file>