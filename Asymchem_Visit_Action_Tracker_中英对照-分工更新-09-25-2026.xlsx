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ables/table1.xml" ContentType="application/vnd.openxmlformats-officedocument.spreadsheetml.table+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Action Tracker" sheetId="1" r:id="rId1"/>
    <sheet name="Summary" sheetId="2" r:id="rId2"/>
    <sheet name="Instructions" sheetId="3" r:id="rId3" state="hidden"/>
    <sheet name="Sheet1" sheetId="4" r:id="rId4"/>
  </sheets>
  <calcPr calcId="0"/>
</workbook>
</file>

<file path=xl/sharedStrings.xml><?xml version="1.0" encoding="utf-8"?>
<sst xmlns="http://schemas.openxmlformats.org/spreadsheetml/2006/main">
  <si>
    <t>Number
编号</t>
  </si>
  <si>
    <t>Category
类别</t>
  </si>
  <si>
    <t>Action Item
行动项</t>
  </si>
  <si>
    <t>Implemintaton Timing
实施时机</t>
  </si>
  <si>
    <t>Implementation Effort
实施工作量</t>
  </si>
  <si>
    <t xml:space="preserve">Proposed target completion date </t>
  </si>
  <si>
    <t>Existing approach</t>
  </si>
  <si>
    <t>Action Plan</t>
  </si>
  <si>
    <t>Questions</t>
  </si>
  <si>
    <t>Scope
范围</t>
  </si>
  <si>
    <t>Status
状态</t>
  </si>
  <si>
    <t>Notes
备注</t>
  </si>
  <si>
    <t>牵头负责人</t>
  </si>
  <si>
    <t>QA对接人</t>
  </si>
  <si>
    <t>完成时间</t>
  </si>
  <si>
    <t>Asymchem内部分类</t>
  </si>
  <si>
    <t>BLA/technical
BLA/技术</t>
  </si>
  <si>
    <t>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
需提交清洗验证与确认策略，包括：确定适宜清洗溶液及条件（时间、温度等）的策略；如何将该策略转化至操作记录以确保可重复执行；另需说明小件及手动清洗部件如何管理并纳入清洗记录；以及冲洗与擦拭限度、取样说明和结果如何记录。</t>
  </si>
  <si>
    <t>Prior to Pre-PPQ
Pre-PPQ前</t>
  </si>
  <si>
    <t>High &gt; 1 month
高 &gt; 1 month</t>
  </si>
  <si>
    <t>step1: 10/03/2026
step2: 10/20/2026
step3A: 11/09/2026
step3B: 11/28/2026</t>
  </si>
  <si>
    <t>All Steps
全部步骤</t>
  </si>
  <si>
    <t>Open</t>
  </si>
  <si>
    <t>The team feels we need to have confidence that Asymchem can adequately clean equipment prior making saleable GMP material
Lilly团队认为需确认 Asymchem 能在制备可销售 GMP 物料前充分清洗设备。</t>
  </si>
  <si>
    <t>生产/李延龙</t>
  </si>
  <si>
    <t>QA/刘维江</t>
  </si>
  <si>
    <t>清洁相关</t>
  </si>
  <si>
    <t>Technical
技术</t>
  </si>
  <si>
    <t>Install or verify nameplate on rupture disk
安装或核实爆破片铭牌。</t>
  </si>
  <si>
    <t>Prior to Demo
Demo前</t>
  </si>
  <si>
    <t>Low &lt; 1 week
低 &lt; 1 week</t>
  </si>
  <si>
    <t>Has been completed.</t>
  </si>
  <si>
    <t>N/A</t>
  </si>
  <si>
    <t>Purification
纯化</t>
  </si>
  <si>
    <t>Completed</t>
  </si>
  <si>
    <t>其他</t>
  </si>
  <si>
    <t>Confirm inlet line sizing meets the 200 L/h process requirement
确认入口管路管径满足 200 L/h 工艺要求。</t>
  </si>
  <si>
    <t>IEPE理论计算；现场测试</t>
  </si>
  <si>
    <t>生产/刘林冲</t>
  </si>
  <si>
    <t>BLA</t>
  </si>
  <si>
    <t>During field walkthroughs several lines visual appeard slopped in undesired location. Confirm all lines are sloped (including flexible hoses) to appropriate low points with proper drain point.
现场巡视中发现若干管路目视坡度位于不期望位置。确认所有管路（含软管）坡向适宜低点，并设有正确排尽点。</t>
  </si>
  <si>
    <t>Med &gt; 1 week &lt; 1 Month
中 &gt; 1 week &lt; 1 Month</t>
  </si>
  <si>
    <t>step1:
step2:
step3A:
step3B:</t>
  </si>
  <si>
    <t>C3、C4管路进行改造安装完毕，正在进行坡度的确认中；C1、 C2管路之前评估没有坡度的要求，仅设置了排净点，坡度需要重新沟通确认。</t>
  </si>
  <si>
    <t>逐个步骤及逐条管路进行评估并进行排查；</t>
  </si>
  <si>
    <t>C1、C2管路可排尽的要求，没有坡度的具体要求，这个坡度如何进行确认？</t>
  </si>
  <si>
    <t>工程/郭宏杰
生产/张俊峰</t>
  </si>
  <si>
    <t>QA/刘美佳</t>
  </si>
  <si>
    <t>设备改造</t>
  </si>
  <si>
    <t>缺少视灯</t>
  </si>
  <si>
    <t>Post PPQ
PPQ后</t>
  </si>
  <si>
    <t>11/30/2026</t>
  </si>
  <si>
    <t>整体设备链进行确认，缺少的进行采购</t>
  </si>
  <si>
    <t>正在建立排查清单</t>
  </si>
  <si>
    <t>Interim measure recommended to use flashlights through sight glasses to perform visual inspections
建议的临时措施：通过视镜使用手电筒进行目视检查。</t>
  </si>
  <si>
    <t>工程/郭宏杰</t>
  </si>
  <si>
    <t>Review HCl charging dip-tube arrangement and confirm material of construction
复核 HCl 加料浸管布置并确认材质。</t>
  </si>
  <si>
    <t>10/01/2026</t>
  </si>
  <si>
    <t>提供材质证明，现有长度进行调整。</t>
  </si>
  <si>
    <t>Source note suggests HC; confirm exact alloy/specification
源备注提示 HC；需确认确切合金/规格。</t>
  </si>
  <si>
    <t>IEPE/郑明智
生产/范兴涛</t>
  </si>
  <si>
    <t>QA/王琪</t>
  </si>
  <si>
    <t>Update MOR or SOP to require mobile-scale reading after the peristaltic pump empties the flexible connection
更新 MOR 或 SOP，要求蠕动泵排空柔性连接后进行移动秤读数。</t>
  </si>
  <si>
    <t>10/03/2026</t>
  </si>
  <si>
    <t>No detailed requirement in MOR or SOP</t>
  </si>
  <si>
    <t xml:space="preserve">Update MOR to include detailed requirment </t>
  </si>
  <si>
    <t>Follow up with Peter to clarify this item
跟进 Peter 以澄清本项。</t>
  </si>
  <si>
    <t>Observed waste header from process without check valves. Assess process piping connections for back flow risk and install check valves as necessary
观察到工艺废液总管未设止回阀。评估工艺管路连接的倒流风险，并视需要安装止回阀。</t>
  </si>
  <si>
    <t>11/03/2026</t>
  </si>
  <si>
    <t>同增体管路施工同步进行</t>
  </si>
  <si>
    <t>CNC raw material staging area lacks appropriate controls. Evaluate options and implement  short term safeguards to reduce risk associated with the lack of a CNC material-flow buffer zone and differential-pressure interlock in Workshop 12
CNC 原料暂存区缺乏适当控制。评估可选方案并实施短期保障措施，以降低因缺少 CNC 物料流缓冲区域及 Workshop 12 压差联锁所带来的风险。</t>
  </si>
  <si>
    <t>10/20/2026</t>
  </si>
  <si>
    <t>Submit the change document to carry out renovation on the factory logistics passage. An airlock will be added before raw materials are transferred into the CNC area.</t>
  </si>
  <si>
    <t>具体步骤的pre-PPQ前？Step1于10/05/2026启动，时间上无法满足</t>
  </si>
  <si>
    <t>工程/郭宏杰
生产/马辉</t>
  </si>
  <si>
    <t>物流通道</t>
  </si>
  <si>
    <t>Justify the one-month service life for dedicated PW hoses
论证专用纯化水（PW）软管一个月使用寿命的依据。</t>
  </si>
  <si>
    <t>One month sevive life for dedicated PW hoses</t>
  </si>
  <si>
    <t>Perform dedicated PW hoses use/disinfection period study and re-define lifecycle</t>
  </si>
  <si>
    <t>Is 1 month replacement too conservative? Could lifetime be extended? What was basis for 1 month replacement frequency?
1 month 更换是否过于保守？寿命能否延长？1 month 更换频次的依据是什么？</t>
  </si>
  <si>
    <t>生产/胡春鹏</t>
  </si>
  <si>
    <t>QA/熊熊</t>
  </si>
  <si>
    <t>纯化水相关</t>
  </si>
  <si>
    <t>Review lifecycle management for dedicated product contact and solvent hoses. Recommend visual inspection of hoses with some frequency regardless of campaign length.
复核专用产品接触软管及溶剂软管的生命周期管理。建议无论批次数长短，均按一定频次对软管进行目视检查。</t>
  </si>
  <si>
    <t>更改SOP，明确对应要求</t>
  </si>
  <si>
    <t>生产/刘凯</t>
  </si>
  <si>
    <t>Review pre-use cleaning for solvent transfer and process-solution transfer hoses. Current practice to rinse new product contact hoses with methanol followed by water and dry with nitrogen after 1st installation. Recommend using process solvent in place of water and methanol.
复核溶剂转运及工艺溶液转运软管的使用前清洗。现行做法为新的产品接触软管首次安装后用甲醇继以水冲洗并用氮气干燥。建议以工艺溶剂替代水与甲醇。</t>
  </si>
  <si>
    <t>刘林冲确认</t>
  </si>
  <si>
    <t>计划在step3 Demo生产前，使用工艺溶剂做一次工艺溶剂淋洗，并有对应记录。</t>
  </si>
  <si>
    <t>Prevent contamination of demo batch that could impact representativeness.
防止 Demo 批污染而影响代表性。</t>
  </si>
  <si>
    <t>生产/李延龙
刘林冲</t>
  </si>
  <si>
    <t>Curently site uses corrugated hoses for process and solvent transers. Upgrade to smooth-bore internal design, considering Pharmaline N hoses.
现场目前工艺及溶剂转运使用波纹软管。升级为内壁光滑设计，可考虑 Pharmaline N 软管。</t>
  </si>
  <si>
    <t>国产：3周
进口：2月</t>
  </si>
  <si>
    <t>使用铂金硫化硅胶软管</t>
  </si>
  <si>
    <t>计划替换</t>
  </si>
  <si>
    <t>确认国产是否满足要求</t>
  </si>
  <si>
    <t>Effort is dependent on lead time for new hoses
工作量取决于新软管交货期。</t>
  </si>
  <si>
    <t>QA/孙志强</t>
  </si>
  <si>
    <t>Impurity Investigation
杂质调查</t>
  </si>
  <si>
    <t>Review supplier options for reliable sourcing of DIPEA containing less than 50 ppm acetaldehyde
复核供应商选项，可靠采购乙醛含量低于 50 ppm 的 DIPEA。</t>
  </si>
  <si>
    <t>09/30/2026 （After confirmation of analytical methods）</t>
  </si>
  <si>
    <t>Supplier samples received. Preliminary testing passed (&lt; 50 ppm). Waiting for analytical method alignment for final release.</t>
  </si>
  <si>
    <t>Perchase (completed), then analyse.</t>
  </si>
  <si>
    <t>Analytical method TBD.</t>
  </si>
  <si>
    <t>SPPS</t>
  </si>
  <si>
    <t>In Progress</t>
  </si>
  <si>
    <t>项目组/朱新义</t>
  </si>
  <si>
    <t>DIPEA相关</t>
  </si>
  <si>
    <t>Complete evaluation of internal DIPEA processing options to further reduce acetaldehyde content
完成内部 DIPEA 处理选项评估，以进一步降低乙醛含量。</t>
  </si>
  <si>
    <t>Lab-scale trials showed some effectiveness in reducing acetaldehyde.</t>
  </si>
  <si>
    <t>We will directly purchase the low-acetaldehyde DIPEA from the supplier; no further purification will be performed at Asymchem.</t>
  </si>
  <si>
    <t>Evaluate options to reduce DIPEA exposure time during washing steps (such as larger DIPEA containers and/or addition of a larger dedicated makeup tank)
评估洗涤步骤中缩短 DIPEA 暴露时间的选项（例如更大的 DIPEA 容器和/或增设更大的专用配制罐）。</t>
  </si>
  <si>
    <t>i) The experimental results show that long washing time does not cause DIPEA decomposition. ii) Compared with the RS batch, the main exposure time difference came from the smaller DIPEA packages in the RS batch; frequent container changes extended the operation time. larger DIPEA containers(200L) will be used to reduce DIPEA exposure time</t>
  </si>
  <si>
    <t>Package of DIPEA will be changed to larger drums.</t>
  </si>
  <si>
    <t>Evaluate feasability to increase nitrogen sparge rates for SC coupling to reduce HCN concentration. Confirm equipment limitations and establish the qualified operating envelope for higher nitrogen sparging rates
评估提高 SC 偶联氮气鼓泡速率以降低 HCN 浓度的可行性。确认设备限制，并建立更高氮气鼓泡速率的合格操作包络。</t>
  </si>
  <si>
    <t>17 m³/h is proven efficient to remove HCN for 22 kg scale batch. And the flow can be adjusted up to 30 m³/h</t>
  </si>
  <si>
    <t>Relavent documents will be updated accordingly.</t>
  </si>
  <si>
    <t>Current equipment reportedly supports up to ~40 m³/h; current operating limit ~20 m³/h
据称当前设备最高可支持约 ~40 m³/h；当前操作限约 ~20 m³/h。</t>
  </si>
  <si>
    <t>Assess feasibility and effectiveness of nitrogen sweep operation during SC coupling to reduce HCN concentration.
评估 SC 偶联期间氮气吹扫操作降低 HCN 浓度的可行性与有效性。</t>
  </si>
  <si>
    <t>Agreement has been reached that sweeping/vacuum is not recommended.</t>
  </si>
  <si>
    <t>Complete planned passivation of GG917 and LAARA process lines. Confirm there are not similar gaps on cleavage and purification process lines for GG917 steps.
完成计划的 GG917 与 LAARA 工艺管路钝化。确认 GG917 步骤的裂解及纯化工艺管路不存在类似缺口。</t>
  </si>
  <si>
    <t>Detail refer to Notes for each project</t>
  </si>
  <si>
    <t>No passivation on the inner surface of process lines.</t>
  </si>
  <si>
    <t>Perform passivation of GG917 and LAARA process lines.</t>
  </si>
  <si>
    <t>L1 Step 1 Completed; Step 2: 09/29/2026
L2 Step 1 Completed; Step 2: 09/29/2026
L3 Step 1 Completed; Step 2: 09/29/2026; Step 3: 10/07/2026
GG917 Step 1 Completed; Step 2: 10/02/2026; Step 3: Completed</t>
  </si>
  <si>
    <t>生产/张忠尧、王帆</t>
  </si>
  <si>
    <t>QA/杨明旸</t>
  </si>
  <si>
    <t>钝化</t>
  </si>
  <si>
    <t>Provide a remediation plan and timeline for passivation of all bulk solvent tanks and headers
提供全部大宗溶剂罐及总管钝化的整改计划与时间表。</t>
  </si>
  <si>
    <t>一期罐区暂时不钝化,执行金属离子检测；</t>
  </si>
  <si>
    <t>待二期罐区交付后，进行管路和储罐钝化，后续项目全部使用二期罐区溶剂；</t>
  </si>
  <si>
    <t>无</t>
  </si>
  <si>
    <t>罐区/张文艺</t>
  </si>
  <si>
    <t>Implement administrative controls for raw material receipt and transfer into CNC areas to minimize potential exposure to outdoor conditions.
对原料接收及转入 CNC 区域实施管理控制，最大限度降低室外条件暴露风险。</t>
  </si>
  <si>
    <t xml:space="preserve">There is administrative requirement that once the material arrived at production workshop, dedicated operator needs to transfer it to CNC area. </t>
  </si>
  <si>
    <t>Update SOP to include detailed material lifecycle management to avoid material transition gap</t>
  </si>
  <si>
    <t>生产/马辉</t>
  </si>
  <si>
    <t>Define long-term facility modifications to provide an airlock or physical segregation for transer of raw materials into CNC area for stagging.
明确长期厂房改造方案，为原料转入 CNC 暂存区提供气闸或物理隔离。</t>
  </si>
  <si>
    <t>提交变更，增加缓冲间</t>
  </si>
  <si>
    <t>工程/郭宏杰
生产/</t>
  </si>
  <si>
    <t>Complete review of the site multiproduct cross-contamination risk assessment and incorporate high level summary of risk and mitigations into the process specific CCS docments for each process steps
完成现场多产品交叉污染风险评估复核，并将风险与缓解措施的高层摘要纳入各工艺步骤专用 CCS 文件。</t>
  </si>
  <si>
    <t xml:space="preserve">Lack detailed description in CCS document </t>
  </si>
  <si>
    <t>Increase detailed description in CCS document</t>
  </si>
  <si>
    <t>CCS</t>
  </si>
  <si>
    <t>Replace silicone water hoses with PTFE hoses or provide a documented technical justification
将硅胶水管更换为 PTFE 软管，或提供成文技术论证。</t>
  </si>
  <si>
    <t>Using silicone water hoses</t>
  </si>
  <si>
    <t>Replace silicone hoses to PTFE hoses</t>
  </si>
  <si>
    <t>Silicone could pose risk to process if shedding occurs as PTFE is inherient and more inert
若发生脱落，硅胶可能对工艺构成风险；PTFE 更惰性。</t>
  </si>
  <si>
    <t>Update procedure to ensure immediate water hose disconnection and controlled storage after use
更新程序，确保用水软管用后立即断开并受控存放。</t>
  </si>
  <si>
    <t>10/04/2026</t>
  </si>
  <si>
    <t>No clear time requirement in SOP for water hose disconnection after use</t>
  </si>
  <si>
    <t xml:space="preserve">Update SOP to inlcude the requirement once the water charge is finished. The water hoses need to be disconnected immediately.  </t>
  </si>
  <si>
    <t>Prevent biofilm formation during Demo processing that could impact PPQ.
防止 Demo 加工期间形成生物膜而影响 PPQ。</t>
  </si>
  <si>
    <t>Update CCS for each process step to clearly define the filtration strategy in alignment with the corporate filtration gudiance. Include filtration location, type, replacement criteria, justification and diagrams or tables to CCS documentation for each process step
更新各工艺步骤 CCS，按公司过滤指导明确过滤策略。在各步骤 CCS 文件中纳入过滤位置、类型、更换标准、论证以及图示或表格。</t>
  </si>
  <si>
    <t xml:space="preserve">The detailed filtration principle is not included in SOP and CCS document. </t>
  </si>
  <si>
    <t xml:space="preserve">Update SOP and CCS document to inlcude the detaied filtration principle. </t>
  </si>
  <si>
    <t>QA/于生辉</t>
  </si>
  <si>
    <t>过滤策略相关</t>
  </si>
  <si>
    <t>Filtration of liquid raw materials is required for all process steps. Reassess and document justification for 75-micron filtration of SPPS raw material drum charging.
所有工艺步骤均要求液体原料过滤。重新评估并成文论证 SPPS 原料桶投料的 75-micron 过滤。</t>
  </si>
  <si>
    <t>No detialed requirement and assement for liquid material filtration</t>
  </si>
  <si>
    <t>Increase detailed description for liquid material filtration in SOP and CCS</t>
  </si>
  <si>
    <t>Prevent particulate contamination of equipment which may impact PPQ (particualte can be challenging to remove once introduced).
防止设备微粒污染而影响 PPQ（微粒一旦引入往往难以清除）。</t>
  </si>
  <si>
    <t>生产/王帆</t>
  </si>
  <si>
    <r>
      <rPr>
        <color rgb="FF008000"/>
        <rFont val="微软雅黑"/>
        <sz val="11"/>
      </rPr>
      <t xml:space="preserve">Revise glovebox cleaning practices to use approved alcohol wipes rather than water wipes in dispensing areas.
修订手套箱清洁相关做法，在分装区域使用经批准的</t>
    </r>
    <r>
      <rPr>
        <color rgb="FF008000"/>
        <rFont val="微软雅黑"/>
        <sz val="11"/>
      </rPr>
      <t xml:space="preserve">iIPA</t>
    </r>
    <r>
      <rPr>
        <color rgb="FF008000"/>
        <rFont val="微软雅黑"/>
        <sz val="11"/>
      </rPr>
      <t xml:space="preserve">擦拭布，而非水擦拭布。</t>
    </r>
  </si>
  <si>
    <t xml:space="preserve">Using water for golvebox cleaning </t>
  </si>
  <si>
    <t xml:space="preserve">After water cleaning, alcohol wipe shall be performed to avoid any water residue </t>
  </si>
  <si>
    <t>Complete planned upgrades and demonstrate CNC area relative humidity remains below 60% during summer conditions
完成计划升级，并证明夏季条件下 CNC 区域相对湿度保持低于 60%。</t>
  </si>
  <si>
    <t>对空调机组改造，增加表冷器，在生产间歇完成验证；</t>
  </si>
  <si>
    <t>空调机组改造期间，对应房间需要停产</t>
  </si>
  <si>
    <t>Confirm procedure in place to use protable dehumidifiers in the short term until all upgrades are complete to allow for robust control iof humidity in CNC areas.
确认短期程序已到位，在升级完成前使用便携除湿机，以便稳健控制 CNC 区域湿度。</t>
  </si>
  <si>
    <t>生产设备部/张文艺</t>
  </si>
  <si>
    <t>CNC湿度</t>
  </si>
  <si>
    <t>Asymchem to provide vent header drawings and designs to Lilly for review.
Asymchem 向 Lilly 提供排气总管图纸与设计供审阅。</t>
  </si>
  <si>
    <t>本周周末前上传</t>
  </si>
  <si>
    <t>工程/郭宏杰
IEPE/张国睿</t>
  </si>
  <si>
    <t>Evaluate process-specific cross-contamination risks from process connections and utility lines, then develop a long-term plan to isolate nonessential connections or otherwise mitigate identified risks. Assess shared-utility and equipment-isolation requirements for GG917 and LAARA operations
评估来自工艺连接及公用系统管路的工艺特异性交叉污染风险，并制定长期计划以隔离非必要连接或以其他方式缓解已识别风险。评估 GG917 与 LAARA 运行对共用公用系统及设备隔离的要求。</t>
  </si>
  <si>
    <t>No detailed assessment in CCS document</t>
  </si>
  <si>
    <t>Increase detailed assessment in CCS document</t>
  </si>
  <si>
    <t>QA/王琪，杨明旸</t>
  </si>
  <si>
    <t>Implement the use of permeable film to cover the ends of process and water hoses while stored for drying
在工艺及用水软管干燥存放期间，采用透气膜覆盖软管端部。</t>
  </si>
  <si>
    <t xml:space="preserve">No permeable film is used for covering ends of process and water hoses </t>
  </si>
  <si>
    <t xml:space="preserve">Using permeable film for covering ends of process and water hoses </t>
  </si>
  <si>
    <t>Prevent hose contamination during Demo processing that could impact PPQ.
防止 Demo 加工期间软管污染而影响 PPQ。</t>
  </si>
  <si>
    <t>M/A</t>
  </si>
  <si>
    <t>Install low-point drains on the inlet and outlet of all PD pumps used in Category 4 systems, and add pre- and post-cleaning steps to drain from these points and nitrogen-purge through the pump to the outlet drain
在用于 4类 系统的所有容积式泵（PD pump）进出口安装低点排尽口，并在清洗前/后步骤中增加自上述点排尽及经泵至出口排尽口的氮气吹扫。</t>
  </si>
  <si>
    <t>已完成</t>
  </si>
  <si>
    <t>具备该条件</t>
  </si>
  <si>
    <t>Update the cleaning program for PD pumps so recovery factors account for large-area soft parts and include a representative pump swab location for product-contact applications
更新容积式泵（PD pump）清洗方案，使回收因子计入大面积软部件，并为产品接触应用纳入代表性泵擦拭取样点。</t>
  </si>
  <si>
    <t xml:space="preserve">PD pump is rinsed for residue testing </t>
  </si>
  <si>
    <t xml:space="preserve">Update SOP to inlcude swab sampling for residue testing </t>
  </si>
  <si>
    <t>Evaluate long-term replacement of PD pumps with pressure transfer or hygienic centrifugal pumps with low-point casing drains; where PD pumps remain necessary, assess more drainable designs
评估长期以压力转移或带低点壳体排尽口的卫生型离心泵替代容积式泵（PD pump）；在仍需使用容积式泵处，评估更易排尽的设计。</t>
  </si>
  <si>
    <t>01/30/2027</t>
  </si>
  <si>
    <t>使用结束后进行泵两端进行排空吹干。并提供具体操作流程。</t>
  </si>
  <si>
    <t>对应卫生级离心泵采购中</t>
  </si>
  <si>
    <t>Several non-compliant items still exist against equipment/piping standards. For example, ball valves on Category 4 equipment/piping, for all steps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
相对设备/管路标准仍存在若干不符合项。例如：4类 设备/管路上的球阀；各步骤容器封头上的过长接管和/或自接管分支且 CIP（在线清洗）期间不可清洗的支管；以挂钩支撑并形成缝隙的浸管；低点缺失排尽口（尤其过滤器周围）；非卫生/不易清洁的仪表设计（液位、温度）；安装于不可排尽位置的流量计；3类 与 4类 设备/管路上的法兰连接；螺栓固定的搅拌桨叶；因非零静阀/非最小距离三通导致的多处死角（dead-leg）等。对照设备与管路标准开展全面差距评估，并在生产开始前优先整改高风险 3类 与 4类 系统。</t>
  </si>
  <si>
    <t>重新设计中，待方案确认后重点与礼来团队讨论执行。</t>
  </si>
  <si>
    <t>物料管路排尽的设计是否满足要求2Dor3D；部分储罐已经确认改造方案的需要礼来团队帮忙确认；</t>
  </si>
  <si>
    <t>QA/陈明志</t>
  </si>
  <si>
    <t>For equipment and piping gaps not remediated before production, establish direct traceability in cleaning documentation, including manual cleaning, targeted inspection, and cleaning or draining instructions for dead legs
对生产前未能整改的设备与管路缺口，在清洗文件中建立直接可追溯性，包括手动清洗、针对性检查，以及针对死角（dead-leg）的清洗或排尽说明。</t>
  </si>
  <si>
    <t>同第一条。</t>
  </si>
  <si>
    <t>生产/唐安垚</t>
  </si>
  <si>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
Implement point-of-use flushing directly to waste and post-use draining and drying for purified-water lines using zero-static valves or minimum-distance tees without creating dead legs
全厂纯化水（Purified Water）总管不符合行业指导——取样点不能代表使用点（POU），缺乏使用前冲洗/吹扫手段等。此外，经软管向促生长溶液供应的任何 PW，应在排尽管路上游提供 POU 过滤；此类过滤器应跟踪使用时间并频繁更换（NMT 24 hours）。
实施使用点直接排废冲洗，以及纯化水管路使用后排尽与干燥；采用零静阀或最小距离三通，且不形成死角（dead-leg）。</t>
  </si>
  <si>
    <t>货期6周
改造3周
钝化1周
验证3周</t>
  </si>
  <si>
    <t>使用临时水管从水点连接到使用点</t>
  </si>
  <si>
    <t>pre-PPQ前完成较为紧张，是否在PPQ后进行，按照现有的执行方式进行用水。</t>
  </si>
  <si>
    <t>生产/胡春鹏
工程/郭宏杰</t>
  </si>
  <si>
    <t>Install point-of-use filters for purified water supplied by hose to growth-promoting solutions, track time in use, and replace filters no later than 24 hours
为经软管向促生长溶液供应的纯化水安装使用点过滤器，跟踪使用时间，并最迟于 24 hours 更换过滤器。</t>
  </si>
  <si>
    <t>No requirement for filtration of purifed water supplied by hose</t>
  </si>
  <si>
    <t xml:space="preserve">Increase the filtration requirement in MOR and replacement period requirement. </t>
  </si>
  <si>
    <t>Assess representative sampling from new point-of-use drains and determine whether formal revalidation or an informal verification study is required to confirm water-system quality
评估新建使用点排尽口的代表性取样，并确定是否需要正式再验证或非正式确认研究以证明水系统质量。</t>
  </si>
  <si>
    <t>同39行</t>
  </si>
  <si>
    <t>Provide Lilly with the changeover strategy and governance for reused equipment, including cleaning limits, normally uncleaned lines, soft and hard-to-clean components, and replacement of filters, membranes, and resins
向 Lilly 提供复用设备的切换策略与治理，包括清洗限度、通常不清洗管路、软部件及难清洁相关部件，以及过滤器、膜与树脂的更换。</t>
  </si>
  <si>
    <t>志强写个PPT，评估是否需要擦拭</t>
  </si>
  <si>
    <t>设备进行拆卸清洗，ARL进行回流溶剂的level2检测；激活罐到合成仪的管路存在溶剂淌洗的方式进行复用。</t>
  </si>
  <si>
    <t>生产/李延龙
王帆
刘林冲</t>
  </si>
  <si>
    <t>Define and document release controls for new equipment that demonstrate removal of fabrication and construction residues, debris and particulates, and acceptable bioburden before production use
明确并成文新设备放行控制，以证明投产前已去除制造与施工残留、碎屑与微粒，且生物负荷可接受。</t>
  </si>
  <si>
    <t>SOP will be revised.</t>
  </si>
  <si>
    <t>生产/李延龙
刘恺</t>
  </si>
  <si>
    <t>Execute spray coverage testing for all product-contact and growth-promoting equipment and incorporate qualified pressure, time, alarm limits, flow durations, and manual cleaning or swabbing of hard-to-clean areas into operating instructions
对所有产品接触及促生长设备执行喷淋覆盖测试，并将经确认的压力、时间、报警限度、流量持续时间，以及对难清洁相关区域的手动清洗或擦拭纳入操作说明。</t>
  </si>
  <si>
    <t>设备进行喷淋覆盖率的验证。</t>
  </si>
  <si>
    <t>Determine and implement a means for visitors/support staff to wear a dedicated base layer in classified areas
确定并实施访客/支持人员在洁净级别区域穿着专用内层服装的方式。</t>
  </si>
  <si>
    <t>11/10/2026</t>
  </si>
  <si>
    <t>Asymchem has internal gowning procedure for classified area. The gowning procedure needs to be re-visited.</t>
  </si>
  <si>
    <t xml:space="preserve">updating gowning procedure for classified area. </t>
  </si>
  <si>
    <t>Follow up with Marie to understand acceptability.
跟进 Marie 以了解可接受性。</t>
  </si>
  <si>
    <t>生产/刘恺</t>
  </si>
  <si>
    <t>Provide Lilly with the operations access-control strategy and governance, including required training, approval criteria, and periodic roster review to remove or flag inappropriate access
向 Lilly 提供操作区域门禁控制策略与治理，包括所需培训、批准标准，以及定期名册复核以移除或标注不当权限。</t>
  </si>
  <si>
    <t xml:space="preserve">Asymchem has internal procedure for access control. </t>
  </si>
  <si>
    <t xml:space="preserve">Present Asymchem access control to Lilly </t>
  </si>
  <si>
    <t>Conduct hold-time studies for all portable vessels used for temporary water or growth-promoting solution storage, confirm complete drainability, and incorporate hold-time and draining requirements into operating documents
对用于临时贮水或促生长溶液贮存的全部可移动容器开展保持时间研究（hold-time studies），确认完全可排尽，并将保持时间与排尽要求纳入操作文件。</t>
  </si>
  <si>
    <t>Limit refresh time to 48 hours, even if hold time is demonstrated to be longer.
即使保持时间（hold time）经验证更长，刷新时间仍限制为 48 hours。</t>
  </si>
  <si>
    <t>研发/朱新义
生产/马辉</t>
  </si>
  <si>
    <t>Define controls that ensure only acceptable mobile phase is supplied to the process and specify the system response to out-of-range temperature, composition, or pH
明确控制措施，确保仅向工艺供应可接受的流动相，并规定温度、组成或 pH 超限时的系统响应。</t>
  </si>
  <si>
    <t>配液系统混合器后有电导监测响应，合格流动相会进流动相储罐，不在范围内会响应切换排废；配液采用的质量流量计计量，温度变化对其混合前组成的计量影响较小。混合器和接收后的流动相储罐安装pH，有监测功能。</t>
  </si>
  <si>
    <t>生产/刘林冲
IEPE/王志恒</t>
  </si>
  <si>
    <t>Provide the final pre-use and post-use filter integrity testing strategy
提供最终的使用前与使用后过滤器完整性测试策略。</t>
  </si>
  <si>
    <t xml:space="preserve">Asymchem has internal procedure for filter integirty testing. </t>
  </si>
  <si>
    <t xml:space="preserve">Present Asymchem filter integrity testing strategy to Lilly </t>
  </si>
  <si>
    <t>生产/史永钢</t>
  </si>
  <si>
    <t>Confirm AFD stroke height prevents blades from being submerged during displacement washes
确认三合一（AFD）行程高度可防止置换洗涤期间桨叶浸没。</t>
  </si>
  <si>
    <t>郭泽鹏反馈时间</t>
  </si>
  <si>
    <t>Define the mill operating strategy for final drug-substance sampling, inerting, target drum weight without overfill, screen-temperature monitoring, and operator ergonomics
明确终产品（原料药）取样、惰性化、目标桶重且不过填、筛网温度监测及操作人员人机工程学的磨机操作策略。</t>
  </si>
  <si>
    <t>09/27/2026</t>
  </si>
  <si>
    <t>Store hose ends at least 6 inches off the floor and provide a clear visual indicator confirming compliant storage position
软管端部存放高度至少离地 6 inches，并提供明确目视标识以确认符合存放位置。</t>
  </si>
  <si>
    <t xml:space="preserve">No requirement for height between floor and end of purified water hoses. </t>
  </si>
  <si>
    <t xml:space="preserve">Update SOP to increase at least 6 inches height requirment. </t>
  </si>
  <si>
    <t>Require contained devices for all solids-charging operations to prevent residual powder exposure to rooms and personnel. Require split valve charging strategy for all steps (including SPPS and cleavage).
所有固体加料操作须使用密闭装置，防止残留粉末暴露于房间及人员。所有步骤（含 SPPS 与裂解）均要求采用分体阀加料策略。</t>
  </si>
  <si>
    <t>刘林冲提供</t>
  </si>
  <si>
    <t>Walk down all lines containing diaphragm valves, verify correct installation angle for drainability, and correct noncompliant installations
巡查所有含隔膜阀的管路，核实安装角度是否利于排尽，并纠正不符合安装。</t>
  </si>
  <si>
    <t>2D:
step1:
step2:
step3A:11/18/2026
step3B:
3D:
step1:
step2:
step3A:11/18/2026
step3B:</t>
  </si>
  <si>
    <t>Ensure representative sampling capability exists for every required process sample while minimizing product loss
确保每个所需工艺样品具备代表性取样能力，同时最大限度减少产品损失。</t>
  </si>
  <si>
    <t>100L制备桶配置取样阀</t>
  </si>
  <si>
    <t>工程/郭宏杰
生产/李延龙</t>
  </si>
  <si>
    <t>Update calibration instructions to keep tanks capped while non-retractable pH probes are calibrated, and evaluate replacement with retractable probe housings
更新校准说明，使非可回缩 pH 探头校准时保持储罐加盖，并评估更换为可回缩探头护套。</t>
  </si>
  <si>
    <t>采购周期6周，</t>
  </si>
  <si>
    <t>BLA Visit Action Tracker Summary</t>
  </si>
  <si>
    <t>Metric</t>
  </si>
  <si>
    <t>Count</t>
  </si>
  <si>
    <t>Priority</t>
  </si>
  <si>
    <t>Total Actions</t>
  </si>
  <si>
    <t>High</t>
  </si>
  <si>
    <t>High Priority</t>
  </si>
  <si>
    <t>Medium</t>
  </si>
  <si>
    <t>Low</t>
  </si>
  <si>
    <t>Blocked</t>
  </si>
  <si>
    <t>How to Use This Tracker</t>
  </si>
  <si>
    <t>• Assign a named owner in the Suggested Owner column, replacing the suggested function if appropriate.</t>
  </si>
  <si>
    <t>• Set a due date for every High-priority item.</t>
  </si>
  <si>
    <t>• Use the Status dropdown to update progress.</t>
  </si>
  <si>
    <t>• Use table filters to review actions by day, area, priority, owner, or status.</t>
  </si>
  <si>
    <t>• Priorities and owners are suggested organizational fields derived from the visit notes and should be confirmed by the project team.</t>
  </si>
  <si>
    <t>Category</t>
  </si>
  <si>
    <t>Implementation Timing</t>
  </si>
  <si>
    <t>Implementation Effort</t>
  </si>
  <si>
    <t xml:space="preserve">Scope </t>
  </si>
  <si>
    <t>Prior to Pre-PPQ</t>
  </si>
  <si>
    <t>Low &lt; 1 week</t>
  </si>
  <si>
    <t>All Steps</t>
  </si>
  <si>
    <t>Technical</t>
  </si>
  <si>
    <t>Prior to Demo</t>
  </si>
  <si>
    <t>Med &gt; 1 week &lt; 1 Month</t>
  </si>
  <si>
    <t>BLA/technical</t>
  </si>
  <si>
    <t>Post PPQ</t>
  </si>
  <si>
    <t>High &gt; 1 month</t>
  </si>
  <si>
    <t>Cleavage</t>
  </si>
  <si>
    <t xml:space="preserve">Impurity Investigation </t>
  </si>
  <si>
    <t>Purification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</si>
</sst>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11"/>
      <color rgb="FFFFD966"/>
      <name val="微软雅黑"/>
    </font>
    <font>
      <b/>
      <sz val="11"/>
      <color rgb="FF000000"/>
      <name val="宋体"/>
    </font>
    <font>
      <sz val="11"/>
      <color rgb="FF000000"/>
      <name val="微软雅黑"/>
    </font>
    <font>
      <sz val="11"/>
      <color rgb="FFFF0000"/>
      <name val="微软雅黑"/>
    </font>
    <font>
      <sz val="11"/>
      <color rgb="FF008000"/>
      <name val="微软雅黑"/>
    </font>
    <font>
      <sz val="11"/>
      <color rgb="FF666666"/>
      <name val="微软雅黑"/>
    </font>
    <font>
      <b/>
      <sz val="11"/>
      <color rgb="FFFFFFFF"/>
      <name val="微软雅黑"/>
    </font>
    <font>
      <b/>
      <sz val="18"/>
      <color rgb="FFFFFFFF"/>
      <name val="Calibri"/>
    </font>
    <font>
      <b/>
      <sz val="11"/>
      <color rgb="FFFFFFFF"/>
      <name val="Calibri"/>
    </font>
    <font>
      <sz val="11"/>
      <color rgb="FF0000FF"/>
      <name val="微软雅黑"/>
    </font>
    <font>
      <sz val="11"/>
      <color rgb="FF000000"/>
      <name val="微软雅黑"/>
    </font>
    <font>
      <b/>
      <sz val="11"/>
      <color rgb="FFFFFFFF"/>
      <name val="微软雅黑"/>
    </font>
    <font>
      <b/>
      <sz val="11"/>
      <color rgb="FFFFFFFF"/>
      <name val="微软雅黑"/>
    </font>
    <font>
      <b/>
      <sz val="11"/>
      <color rgb="FFFFFFFF"/>
      <name val="微软雅黑"/>
    </font>
    <font>
      <b/>
      <sz val="11"/>
      <color rgb="FFFFFFFF"/>
      <name val="微软雅黑"/>
    </font>
    <font>
      <b/>
      <sz val="11"/>
      <color rgb="FFFFFFFF"/>
      <name val="微软雅黑"/>
    </font>
    <font>
      <b/>
      <sz val="11"/>
      <color rgb="FFFFFFFF"/>
      <name val="微软雅黑"/>
    </font>
    <font>
      <b/>
      <sz val="11"/>
      <color rgb="FFFFFFFF"/>
      <name val="微软雅黑"/>
    </font>
    <font>
      <sz val="11"/>
      <color rgb="FFFF0000"/>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0000"/>
      <name val="宋体"/>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0000"/>
      <name val="宋体"/>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0000"/>
      <name val="宋体"/>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0000"/>
      <name val="宋体"/>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000000"/>
      <name val="宋体"/>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0000"/>
      <name val="宋体"/>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000000"/>
      <name val="宋体"/>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000000"/>
      <name val="宋体"/>
    </font>
    <font>
      <sz val="11"/>
      <color rgb="FF008000"/>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000000"/>
      <name val="宋体"/>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0000"/>
      <name val="宋体"/>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0000"/>
      <name val="宋体"/>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FF0000"/>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0000"/>
      <name val="宋体"/>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0000"/>
      <name val="宋体"/>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666666"/>
      <name val="微软雅黑"/>
    </font>
    <font>
      <sz val="11"/>
      <color rgb="FFFF0000"/>
      <name val="微软雅黑"/>
    </font>
    <font>
      <sz val="11"/>
      <color rgb="FF008000"/>
      <name val="微软雅黑"/>
    </font>
    <font>
      <sz val="11"/>
      <color rgb="FF666666"/>
      <name val="微软雅黑"/>
    </font>
    <font>
      <sz val="11"/>
      <color rgb="FF666666"/>
      <name val="微软雅黑"/>
    </font>
    <font>
      <sz val="11"/>
      <color rgb="FF666666"/>
      <name val="微软雅黑"/>
    </font>
    <font>
      <sz val="11"/>
      <color rgb="FF000000"/>
      <name val="宋体"/>
    </font>
    <font>
      <sz val="11"/>
      <color rgb="FF666666"/>
      <name val="微软雅黑"/>
    </font>
    <font>
      <sz val="11"/>
      <color rgb="FF008000"/>
      <name val="微软雅黑"/>
    </font>
    <font>
      <sz val="11"/>
      <color rgb="FF666666"/>
      <name val="微软雅黑"/>
    </font>
    <font>
      <sz val="11"/>
      <color rgb="FF666666"/>
      <name val="微软雅黑"/>
    </font>
    <font>
      <sz val="11"/>
      <color rgb="FF666666"/>
      <name val="微软雅黑"/>
    </font>
  </fonts>
  <fills count="8">
    <fill>
      <patternFill patternType="none"/>
    </fill>
    <fill>
      <patternFill patternType="gray125"/>
    </fill>
    <fill>
      <patternFill patternType="solid">
        <fgColor rgb="FF1F4E78"/>
      </patternFill>
    </fill>
    <fill>
      <patternFill patternType="solid">
        <fgColor rgb="FF4F81BD"/>
      </patternFill>
    </fill>
    <fill>
      <patternFill patternType="solid">
        <fgColor rgb="FFFFFF00"/>
      </patternFill>
    </fill>
    <fill>
      <patternFill patternType="solid">
        <fgColor rgb="FFDCE6F2"/>
      </patternFill>
    </fill>
    <fill>
      <patternFill patternType="solid">
        <fgColor rgb="FF00B050"/>
      </patternFill>
    </fill>
    <fill>
      <patternFill patternType="solid">
        <fgColor rgb="FFDAE2F6"/>
      </patternFill>
    </fill>
  </fills>
  <borders count="2">
    <border>
      <left/>
      <right/>
      <top/>
      <bottom/>
      <diagonal/>
    </border>
    <border>
      <left style="thin">
        <color rgb="FFA4A5A5"/>
      </left>
      <right style="thin">
        <color rgb="FFA4A5A5"/>
      </right>
      <top style="thin">
        <color rgb="FFA4A5A5"/>
      </top>
      <bottom style="thin">
        <color rgb="FFA4A5A5"/>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5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general" vertical="bottom"/>
    </xf>
    <xf numFmtId="0" fontId="4" fillId="0" borderId="1" xfId="0" applyFont="1" applyBorder="1" applyProtection="1">
      <alignment horizontal="center" vertical="center" wrapText="1"/>
    </xf>
    <xf numFmtId="0" fontId="4" fillId="0" borderId="1" xfId="0" applyFont="1" applyBorder="1" applyProtection="1">
      <alignment horizontal="center" vertical="center"/>
    </xf>
    <xf numFmtId="0" fontId="5" fillId="2" borderId="1" xfId="0" applyFont="1" applyFill="1" applyBorder="1" applyProtection="1">
      <alignment horizontal="center" vertical="center" wrapText="1"/>
    </xf>
    <xf numFmtId="0" fontId="6" fillId="3" borderId="1" xfId="0" applyFont="1" applyFill="1" applyBorder="1" applyProtection="1">
      <alignment horizontal="center" vertical="center" wrapText="1"/>
    </xf>
    <xf numFmtId="0" fontId="6" fillId="3" borderId="1" xfId="0" applyFont="1" applyFill="1" applyBorder="1" applyProtection="1">
      <alignment horizontal="center" vertical="center"/>
    </xf>
    <xf numFmtId="0" fontId="7" fillId="4" borderId="1" xfId="0" applyFont="1" applyFill="1" applyBorder="1" applyProtection="1">
      <alignment horizontal="general" vertical="top" wrapText="1"/>
    </xf>
    <xf numFmtId="0" fontId="8" fillId="4"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8" fillId="5" borderId="1" xfId="0" applyFont="1" applyFill="1" applyBorder="1" applyProtection="1">
      <alignment horizontal="general" vertical="top" wrapText="1"/>
    </xf>
    <xf numFmtId="0" fontId="4" fillId="5" borderId="1" xfId="0" applyFont="1" applyFill="1" applyBorder="1" applyProtection="1">
      <alignment horizontal="center" vertical="center" wrapText="1"/>
    </xf>
    <xf numFmtId="0" fontId="4" fillId="5" borderId="1" xfId="0" applyFont="1" applyFill="1" applyBorder="1" applyProtection="1">
      <alignment horizontal="center" vertical="center"/>
    </xf>
    <xf numFmtId="0" fontId="7"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8" fillId="0" borderId="1" xfId="0" applyFont="1" applyBorder="1" applyProtection="1">
      <alignment horizontal="general" vertical="top" wrapText="1"/>
    </xf>
    <xf numFmtId="0" fontId="7" fillId="6"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0" borderId="1" xfId="0" applyFont="1" applyBorder="1" applyProtection="1">
      <alignment horizontal="left" vertical="center" wrapText="1"/>
    </xf>
    <xf numFmtId="0" fontId="10" fillId="5" borderId="1" xfId="0" applyFont="1" applyFill="1" applyBorder="1" applyProtection="1">
      <alignment horizontal="left" vertical="center" wrapText="1"/>
    </xf>
    <xf numFmtId="0" fontId="4" fillId="0" borderId="0" xfId="0" applyFont="1">
      <alignment horizontal="general" vertical="bottom"/>
    </xf>
    <xf numFmtId="14" fontId="10" fillId="0" borderId="1" xfId="0" applyNumberFormat="1" applyFont="1" applyBorder="1" applyProtection="1">
      <alignment horizontal="left" vertical="center" wrapText="1"/>
    </xf>
    <xf numFmtId="0" fontId="7" fillId="0" borderId="1" xfId="0" applyFont="1" applyBorder="1" applyProtection="1">
      <alignment horizontal="center" vertical="center" wrapText="1"/>
    </xf>
    <xf numFmtId="0" fontId="11" fillId="2" borderId="1" xfId="0" applyFont="1" applyFill="1" applyBorder="1" applyProtection="1">
      <alignment horizontal="center" vertical="center" wrapText="1"/>
    </xf>
    <xf numFmtId="0" fontId="11" fillId="2" borderId="1" xfId="0" applyFont="1" applyFill="1" applyBorder="1" applyProtection="1">
      <alignment horizontal="center" vertical="center" wrapText="1"/>
    </xf>
    <xf numFmtId="0" fontId="11" fillId="2" borderId="1" xfId="0" applyFont="1" applyFill="1" applyBorder="1" applyProtection="1">
      <alignment horizontal="center" vertical="center" wrapText="1"/>
    </xf>
    <xf numFmtId="0" fontId="11" fillId="2" borderId="1" xfId="0" applyFont="1" applyFill="1" applyBorder="1" applyProtection="1">
      <alignment horizontal="center" vertical="center" wrapText="1"/>
    </xf>
    <xf numFmtId="0" fontId="11" fillId="2" borderId="1" xfId="0" applyFont="1" applyFill="1" applyBorder="1" applyProtection="1">
      <alignment horizontal="center" vertical="center" wrapText="1"/>
    </xf>
    <xf numFmtId="0" fontId="11" fillId="2" borderId="1" xfId="0" applyFont="1" applyFill="1" applyBorder="1" applyProtection="1">
      <alignment horizontal="center" vertical="center" wrapText="1"/>
    </xf>
    <xf numFmtId="0" fontId="8" fillId="4"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8"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4" fillId="0" borderId="1" xfId="0" applyFont="1" applyBorder="1" applyProtection="1">
      <alignment horizontal="center" vertical="center"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4" fillId="0" borderId="1" xfId="0" applyFont="1" applyBorder="1" applyProtection="1">
      <alignment horizontal="center" vertical="center" wrapText="1"/>
    </xf>
    <xf numFmtId="0" fontId="10"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4" fillId="5" borderId="1" xfId="0" applyFont="1" applyFill="1" applyBorder="1" applyProtection="1">
      <alignment horizontal="center" vertical="center"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8"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8"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8" fillId="4"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8" fillId="0" borderId="1" xfId="0" applyFont="1" applyBorder="1" applyProtection="1">
      <alignment horizontal="general" vertical="top" wrapText="1"/>
    </xf>
    <xf numFmtId="0" fontId="10"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8" fillId="0" borderId="1" xfId="0" applyFont="1" applyBorder="1" applyProtection="1">
      <alignment horizontal="general" vertical="top" wrapText="1"/>
    </xf>
    <xf numFmtId="0" fontId="4" fillId="0" borderId="1" xfId="0" applyFont="1" applyBorder="1" applyProtection="1">
      <alignment horizontal="center" vertical="center"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8"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4" fillId="0" borderId="1" xfId="0" applyFont="1" applyBorder="1" applyProtection="1">
      <alignment horizontal="center" vertical="center" wrapText="1"/>
    </xf>
    <xf numFmtId="0" fontId="8" fillId="4"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8" fillId="5" borderId="1" xfId="0" applyFont="1" applyFill="1" applyBorder="1" applyProtection="1">
      <alignment horizontal="general" vertical="top" wrapText="1"/>
    </xf>
    <xf numFmtId="0" fontId="4" fillId="5" borderId="1" xfId="0" applyFont="1" applyFill="1" applyBorder="1" applyProtection="1">
      <alignment horizontal="center" vertical="center"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8" fillId="0" borderId="1" xfId="0" applyFont="1" applyBorder="1" applyProtection="1">
      <alignment horizontal="general" vertical="top" wrapText="1"/>
    </xf>
    <xf numFmtId="0" fontId="4" fillId="0" borderId="1" xfId="0" applyFont="1" applyBorder="1" applyProtection="1">
      <alignment horizontal="center" vertical="center"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8" fillId="4"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8" fillId="0" borderId="1" xfId="0" applyFont="1" applyBorder="1" applyProtection="1">
      <alignment horizontal="general" vertical="top" wrapText="1"/>
    </xf>
    <xf numFmtId="0" fontId="4" fillId="0" borderId="1" xfId="0" applyFont="1" applyBorder="1" applyProtection="1">
      <alignment horizontal="center" vertical="center"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8"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8" fillId="4"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8"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4" fillId="0" borderId="1" xfId="0" applyFont="1" applyBorder="1" applyProtection="1">
      <alignment horizontal="center" vertical="center" wrapText="1"/>
    </xf>
    <xf numFmtId="0" fontId="10"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4" fillId="5" borderId="1" xfId="0" applyFont="1" applyFill="1" applyBorder="1" applyProtection="1">
      <alignment horizontal="center" vertical="center" wrapText="1"/>
    </xf>
    <xf numFmtId="0" fontId="8"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8"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8"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0" fillId="0" borderId="1" xfId="0" applyFont="1" applyBorder="1" applyProtection="1">
      <alignment horizontal="general" vertical="top" wrapText="1"/>
    </xf>
    <xf numFmtId="0" fontId="4" fillId="0" borderId="1" xfId="0" applyFont="1" applyBorder="1" applyProtection="1">
      <alignment horizontal="center" vertical="center" wrapText="1"/>
    </xf>
    <xf numFmtId="0" fontId="10" fillId="5" borderId="1" xfId="0" applyFont="1" applyFill="1" applyBorder="1" applyProtection="1">
      <alignment horizontal="general" vertical="top" wrapText="1"/>
    </xf>
    <xf numFmtId="0" fontId="9"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0" fillId="5" borderId="1" xfId="0" applyFont="1" applyFill="1" applyBorder="1" applyProtection="1">
      <alignment horizontal="general" vertical="top" wrapText="1"/>
    </xf>
    <xf numFmtId="0" fontId="12" fillId="2" borderId="0" xfId="0" applyFont="1" applyFill="1">
      <alignment horizontal="general" vertical="bottom"/>
    </xf>
    <xf numFmtId="0" fontId="4" fillId="0" borderId="0" xfId="0" applyFont="1">
      <alignment horizontal="general" vertical="bottom"/>
    </xf>
    <xf numFmtId="0" fontId="4" fillId="0" borderId="0" xfId="0" applyFont="1">
      <alignment horizontal="general" vertical="top" wrapText="1"/>
    </xf>
    <xf numFmtId="58" fontId="10" fillId="5" borderId="1" xfId="0" applyNumberFormat="1" applyFont="1" applyFill="1" applyBorder="1" applyProtection="1">
      <alignment horizontal="left" vertical="center" wrapText="1"/>
    </xf>
    <xf numFmtId="0" fontId="10" fillId="4" borderId="1" xfId="0" applyFont="1" applyFill="1" applyBorder="1" applyProtection="1">
      <alignment horizontal="left" vertical="center" wrapText="1"/>
    </xf>
    <xf numFmtId="0" fontId="13" fillId="2" borderId="0" xfId="0" applyFont="1" applyFill="1">
      <alignment horizontal="general" vertical="bottom"/>
    </xf>
    <xf numFmtId="0" fontId="10" fillId="0" borderId="1" xfId="0" applyFont="1" applyBorder="1" applyProtection="1">
      <alignment horizontal="center" vertical="center" wrapText="1"/>
    </xf>
    <xf numFmtId="0" fontId="10" fillId="5" borderId="1" xfId="0" applyFont="1" applyFill="1" applyBorder="1" applyProtection="1">
      <alignment horizontal="center" vertical="center" wrapText="1"/>
    </xf>
    <xf numFmtId="14" fontId="10" fillId="5" borderId="1" xfId="0" applyNumberFormat="1" applyFont="1" applyFill="1" applyBorder="1" applyProtection="1">
      <alignment horizontal="left" vertical="center" wrapText="1"/>
    </xf>
    <xf numFmtId="0" fontId="4" fillId="0" borderId="1" xfId="0" applyFont="1" applyBorder="1" applyProtection="1">
      <alignment horizontal="general" vertical="center"/>
    </xf>
    <xf numFmtId="0" fontId="10" fillId="5" borderId="1" xfId="0" applyFont="1" applyFill="1" applyBorder="1" applyProtection="1">
      <alignment horizontal="general" vertical="center" wrapText="1"/>
    </xf>
    <xf numFmtId="0" fontId="10" fillId="0" borderId="1" xfId="0" applyFont="1" applyBorder="1" applyProtection="1">
      <alignment horizontal="general" vertical="center" wrapText="1"/>
    </xf>
    <xf numFmtId="0" fontId="14" fillId="5" borderId="1" xfId="0" applyFont="1" applyFill="1" applyBorder="1" applyProtection="1">
      <alignment horizontal="center" vertical="center" wrapText="1"/>
    </xf>
    <xf numFmtId="0" fontId="14" fillId="0" borderId="1" xfId="0" applyFont="1" applyBorder="1" applyProtection="1">
      <alignment horizontal="center" vertical="center" wrapText="1"/>
    </xf>
    <xf numFmtId="0" fontId="14" fillId="7" borderId="1" xfId="0" applyFont="1" applyFill="1" applyBorder="1" applyProtection="1">
      <alignment horizontal="center" vertical="center" wrapText="1"/>
    </xf>
    <xf numFmtId="0" fontId="15" fillId="0" borderId="1" xfId="0" applyFont="1" applyBorder="1" applyProtection="1">
      <alignment horizontal="center" vertical="center" wrapText="1"/>
    </xf>
    <xf numFmtId="0" fontId="16" fillId="2" borderId="1" xfId="0" applyFont="1" applyFill="1" applyBorder="1" applyProtection="1">
      <alignment horizontal="center" vertical="center" wrapText="1"/>
    </xf>
    <xf numFmtId="0" fontId="17" fillId="2" borderId="1" xfId="0" applyFont="1" applyFill="1" applyBorder="1" applyProtection="1">
      <alignment horizontal="center" vertical="center" wrapText="1"/>
    </xf>
    <xf numFmtId="0" fontId="18" fillId="2" borderId="1" xfId="0" applyFont="1" applyFill="1" applyBorder="1" applyProtection="1">
      <alignment horizontal="center" vertical="center" wrapText="1"/>
    </xf>
    <xf numFmtId="0" fontId="19" fillId="2" borderId="1" xfId="0" applyFont="1" applyFill="1" applyBorder="1" applyProtection="1">
      <alignment horizontal="center" vertical="center" wrapText="1"/>
    </xf>
    <xf numFmtId="0" fontId="20" fillId="2" borderId="1" xfId="0" applyFont="1" applyFill="1" applyBorder="1" applyProtection="1">
      <alignment horizontal="center" vertical="center" wrapText="1"/>
    </xf>
    <xf numFmtId="0" fontId="21" fillId="2" borderId="1" xfId="0" applyFont="1" applyFill="1" applyBorder="1" applyProtection="1">
      <alignment horizontal="center" vertical="center" wrapText="1"/>
    </xf>
    <xf numFmtId="0" fontId="22" fillId="2" borderId="1" xfId="0" applyFont="1" applyFill="1" applyBorder="1" applyProtection="1">
      <alignment horizontal="center" vertical="center" wrapText="1"/>
    </xf>
    <xf numFmtId="0" fontId="23" fillId="4" borderId="1" xfId="0" applyFont="1" applyFill="1" applyBorder="1" applyProtection="1">
      <alignment horizontal="general" vertical="top" wrapText="1"/>
    </xf>
    <xf numFmtId="0" fontId="24" fillId="5" borderId="1" xfId="0" applyFont="1" applyFill="1" applyBorder="1" applyProtection="1">
      <alignment horizontal="general" vertical="top" wrapText="1"/>
    </xf>
    <xf numFmtId="0" fontId="25" fillId="5" borderId="1" xfId="0" applyFont="1" applyFill="1" applyBorder="1" applyProtection="1">
      <alignment horizontal="general" vertical="top" wrapText="1"/>
    </xf>
    <xf numFmtId="0" fontId="26" fillId="5" borderId="1" xfId="0" applyFont="1" applyFill="1" applyBorder="1" applyProtection="1">
      <alignment horizontal="general" vertical="top" wrapText="1"/>
    </xf>
    <xf numFmtId="0" fontId="27" fillId="5" borderId="1" xfId="0" applyFont="1" applyFill="1" applyBorder="1" applyProtection="1">
      <alignment horizontal="general" vertical="center" wrapText="1"/>
    </xf>
    <xf numFmtId="0" fontId="28" fillId="5" borderId="1" xfId="0" applyFont="1" applyFill="1" applyBorder="1" applyProtection="1">
      <alignment horizontal="general" vertical="center" wrapText="1"/>
    </xf>
    <xf numFmtId="0" fontId="29" fillId="5" borderId="1" xfId="0" applyFont="1" applyFill="1" applyBorder="1" applyProtection="1">
      <alignment horizontal="general" vertical="top" wrapText="1"/>
    </xf>
    <xf numFmtId="0" fontId="30" fillId="0" borderId="1" xfId="0" applyFont="1" applyBorder="1" applyProtection="1">
      <alignment horizontal="general" vertical="top" wrapText="1"/>
    </xf>
    <xf numFmtId="0" fontId="31" fillId="0" borderId="1" xfId="0" applyFont="1" applyBorder="1" applyProtection="1">
      <alignment horizontal="general" vertical="top" wrapText="1"/>
    </xf>
    <xf numFmtId="0" fontId="32" fillId="0" borderId="1" xfId="0" applyFont="1" applyBorder="1" applyProtection="1">
      <alignment horizontal="general" vertical="top" wrapText="1"/>
    </xf>
    <xf numFmtId="0" fontId="33" fillId="0" borderId="1" xfId="0" applyFont="1" applyBorder="1" applyProtection="1">
      <alignment horizontal="general" vertical="top" wrapText="1"/>
    </xf>
    <xf numFmtId="0" fontId="34" fillId="0" borderId="1" xfId="0" applyFont="1" applyBorder="1" applyProtection="1">
      <alignment horizontal="general" vertical="center" wrapText="1"/>
    </xf>
    <xf numFmtId="0" fontId="35" fillId="5" borderId="1" xfId="0" applyFont="1" applyFill="1" applyBorder="1" applyProtection="1">
      <alignment horizontal="general" vertical="top" wrapText="1"/>
    </xf>
    <xf numFmtId="0" fontId="36" fillId="5" borderId="1" xfId="0" applyFont="1" applyFill="1" applyBorder="1" applyProtection="1">
      <alignment horizontal="general" vertical="top" wrapText="1"/>
    </xf>
    <xf numFmtId="0" fontId="37" fillId="5" borderId="1" xfId="0" applyFont="1" applyFill="1" applyBorder="1" applyProtection="1">
      <alignment horizontal="general" vertical="top" wrapText="1"/>
    </xf>
    <xf numFmtId="0" fontId="38" fillId="5" borderId="1" xfId="0" applyFont="1" applyFill="1" applyBorder="1" applyProtection="1">
      <alignment horizontal="general" vertical="top" wrapText="1"/>
    </xf>
    <xf numFmtId="0" fontId="39" fillId="5" borderId="1" xfId="0" applyFont="1" applyFill="1" applyBorder="1" applyProtection="1">
      <alignment horizontal="general" vertical="center" wrapText="1"/>
    </xf>
    <xf numFmtId="0" fontId="40" fillId="0" borderId="1" xfId="0" applyFont="1" applyBorder="1" applyProtection="1">
      <alignment horizontal="general" vertical="top" wrapText="1"/>
    </xf>
    <xf numFmtId="0" fontId="41" fillId="0" borderId="1" xfId="0" applyFont="1" applyBorder="1" applyProtection="1">
      <alignment horizontal="general" vertical="top" wrapText="1"/>
    </xf>
    <xf numFmtId="0" fontId="42" fillId="0" borderId="1" xfId="0" applyFont="1" applyBorder="1" applyProtection="1">
      <alignment horizontal="general" vertical="top" wrapText="1"/>
    </xf>
    <xf numFmtId="0" fontId="43" fillId="0" borderId="1" xfId="0" applyFont="1" applyBorder="1" applyProtection="1">
      <alignment horizontal="left" vertical="center" wrapText="1"/>
    </xf>
    <xf numFmtId="0" fontId="44" fillId="0" borderId="1" xfId="0" applyFont="1" applyBorder="1" applyProtection="1">
      <alignment horizontal="general" vertical="center" wrapText="1"/>
    </xf>
    <xf numFmtId="0" fontId="45" fillId="0" borderId="1" xfId="0" applyFont="1" applyBorder="1" applyProtection="1">
      <alignment horizontal="center" vertical="center" wrapText="1"/>
    </xf>
    <xf numFmtId="0" fontId="46" fillId="5" borderId="1" xfId="0" applyFont="1" applyFill="1" applyBorder="1" applyProtection="1">
      <alignment horizontal="general" vertical="top" wrapText="1"/>
    </xf>
    <xf numFmtId="0" fontId="47" fillId="5" borderId="1" xfId="0" applyFont="1" applyFill="1" applyBorder="1" applyProtection="1">
      <alignment horizontal="general" vertical="top" wrapText="1"/>
    </xf>
    <xf numFmtId="0" fontId="48" fillId="5" borderId="1" xfId="0" applyFont="1" applyFill="1" applyBorder="1" applyProtection="1">
      <alignment horizontal="general" vertical="top" wrapText="1"/>
    </xf>
    <xf numFmtId="0" fontId="49" fillId="5" borderId="1" xfId="0" applyFont="1" applyFill="1" applyBorder="1" applyProtection="1">
      <alignment horizontal="general" vertical="center" wrapText="1"/>
    </xf>
    <xf numFmtId="0" fontId="50" fillId="5" borderId="1" xfId="0" applyFont="1" applyFill="1" applyBorder="1" applyProtection="1">
      <alignment horizontal="general" vertical="top" wrapText="1"/>
    </xf>
    <xf numFmtId="0" fontId="51" fillId="0" borderId="1" xfId="0" applyFont="1" applyBorder="1" applyProtection="1">
      <alignment horizontal="general" vertical="top" wrapText="1"/>
    </xf>
    <xf numFmtId="0" fontId="52" fillId="0" borderId="1" xfId="0" applyFont="1" applyBorder="1" applyProtection="1">
      <alignment horizontal="general" vertical="top" wrapText="1"/>
    </xf>
    <xf numFmtId="0" fontId="53" fillId="0" borderId="1" xfId="0" applyFont="1" applyBorder="1" applyProtection="1">
      <alignment horizontal="general" vertical="top" wrapText="1"/>
    </xf>
    <xf numFmtId="0" fontId="54" fillId="0" borderId="1" xfId="0" applyFont="1" applyBorder="1" applyProtection="1">
      <alignment horizontal="general" vertical="top" wrapText="1"/>
    </xf>
    <xf numFmtId="0" fontId="55" fillId="0" borderId="1" xfId="0" applyFont="1" applyBorder="1" applyProtection="1">
      <alignment horizontal="general" vertical="center" wrapText="1"/>
    </xf>
    <xf numFmtId="0" fontId="56" fillId="0" borderId="1" xfId="0" applyFont="1" applyBorder="1" applyProtection="1">
      <alignment horizontal="general" vertical="top" wrapText="1"/>
    </xf>
    <xf numFmtId="0" fontId="57" fillId="0" borderId="1" xfId="0" applyFont="1" applyBorder="1" applyProtection="1">
      <alignment horizontal="center" vertical="center" wrapText="1"/>
    </xf>
    <xf numFmtId="0" fontId="58" fillId="5" borderId="1" xfId="0" applyFont="1" applyFill="1" applyBorder="1" applyProtection="1">
      <alignment horizontal="general" vertical="top" wrapText="1"/>
    </xf>
    <xf numFmtId="0" fontId="59" fillId="5" borderId="1" xfId="0" applyFont="1" applyFill="1" applyBorder="1" applyProtection="1">
      <alignment horizontal="general" vertical="top" wrapText="1"/>
    </xf>
    <xf numFmtId="0" fontId="60" fillId="5" borderId="1" xfId="0" applyFont="1" applyFill="1" applyBorder="1" applyProtection="1">
      <alignment horizontal="general" vertical="top" wrapText="1"/>
    </xf>
    <xf numFmtId="0" fontId="61" fillId="5" borderId="1" xfId="0" applyFont="1" applyFill="1" applyBorder="1" applyProtection="1">
      <alignment horizontal="general" vertical="top" wrapText="1"/>
    </xf>
    <xf numFmtId="0" fontId="62" fillId="5" borderId="1" xfId="0" applyFont="1" applyFill="1" applyBorder="1" applyProtection="1">
      <alignment horizontal="general" vertical="center" wrapText="1"/>
    </xf>
    <xf numFmtId="0" fontId="63" fillId="5" borderId="1" xfId="0" applyFont="1" applyFill="1" applyBorder="1" applyProtection="1">
      <alignment horizontal="general" vertical="top" wrapText="1"/>
    </xf>
    <xf numFmtId="0" fontId="64" fillId="0" borderId="1" xfId="0" applyFont="1" applyBorder="1" applyProtection="1">
      <alignment horizontal="general" vertical="top" wrapText="1"/>
    </xf>
    <xf numFmtId="0" fontId="65" fillId="0" borderId="1" xfId="0" applyFont="1" applyBorder="1" applyProtection="1">
      <alignment horizontal="general" vertical="top" wrapText="1"/>
    </xf>
    <xf numFmtId="0" fontId="66" fillId="0" borderId="1" xfId="0" applyFont="1" applyBorder="1" applyProtection="1">
      <alignment horizontal="general" vertical="top" wrapText="1"/>
    </xf>
    <xf numFmtId="0" fontId="67" fillId="0" borderId="1" xfId="0" applyFont="1" applyBorder="1" applyProtection="1">
      <alignment horizontal="general" vertical="top" wrapText="1"/>
    </xf>
    <xf numFmtId="0" fontId="68" fillId="0" borderId="1" xfId="0" applyFont="1" applyBorder="1" applyProtection="1">
      <alignment horizontal="general" vertical="center" wrapText="1"/>
    </xf>
    <xf numFmtId="0" fontId="69" fillId="5" borderId="1" xfId="0" applyFont="1" applyFill="1" applyBorder="1" applyProtection="1">
      <alignment horizontal="general" vertical="top" wrapText="1"/>
    </xf>
    <xf numFmtId="0" fontId="70" fillId="5" borderId="1" xfId="0" applyFont="1" applyFill="1" applyBorder="1" applyProtection="1">
      <alignment horizontal="general" vertical="top" wrapText="1"/>
    </xf>
    <xf numFmtId="0" fontId="71" fillId="5" borderId="1" xfId="0" applyFont="1" applyFill="1" applyBorder="1" applyProtection="1">
      <alignment horizontal="general" vertical="top" wrapText="1"/>
    </xf>
    <xf numFmtId="0" fontId="72" fillId="5" borderId="1" xfId="0" applyFont="1" applyFill="1" applyBorder="1" applyProtection="1">
      <alignment horizontal="general" vertical="center" wrapText="1"/>
    </xf>
    <xf numFmtId="0" fontId="73" fillId="5" borderId="1" xfId="0" applyFont="1" applyFill="1" applyBorder="1" applyProtection="1">
      <alignment horizontal="center" vertical="center" wrapText="1"/>
    </xf>
    <xf numFmtId="0" fontId="74" fillId="0" borderId="1" xfId="0" applyFont="1" applyBorder="1" applyProtection="1">
      <alignment horizontal="general" vertical="top" wrapText="1"/>
    </xf>
    <xf numFmtId="0" fontId="75" fillId="0" borderId="1" xfId="0" applyFont="1" applyBorder="1" applyProtection="1">
      <alignment horizontal="general" vertical="top" wrapText="1"/>
    </xf>
    <xf numFmtId="0" fontId="76" fillId="0" borderId="1" xfId="0" applyFont="1" applyBorder="1" applyProtection="1">
      <alignment horizontal="general" vertical="top" wrapText="1"/>
    </xf>
    <xf numFmtId="0" fontId="77" fillId="0" borderId="1" xfId="0" applyFont="1" applyBorder="1" applyProtection="1">
      <alignment horizontal="general" vertical="top" wrapText="1"/>
    </xf>
    <xf numFmtId="0" fontId="78" fillId="0" borderId="1" xfId="0" applyFont="1" applyBorder="1" applyProtection="1">
      <alignment horizontal="general" vertical="center" wrapText="1"/>
    </xf>
    <xf numFmtId="0" fontId="79" fillId="0" borderId="1" xfId="0" applyFont="1" applyBorder="1" applyProtection="1">
      <alignment horizontal="general" vertical="top" wrapText="1"/>
    </xf>
    <xf numFmtId="0" fontId="80" fillId="5" borderId="1" xfId="0" applyFont="1" applyFill="1" applyBorder="1" applyProtection="1">
      <alignment horizontal="general" vertical="top" wrapText="1"/>
    </xf>
    <xf numFmtId="0" fontId="81" fillId="5" borderId="1" xfId="0" applyFont="1" applyFill="1" applyBorder="1" applyProtection="1">
      <alignment horizontal="general" vertical="top" wrapText="1"/>
    </xf>
    <xf numFmtId="0" fontId="82" fillId="5" borderId="1" xfId="0" applyFont="1" applyFill="1" applyBorder="1" applyProtection="1">
      <alignment horizontal="general" vertical="top" wrapText="1"/>
    </xf>
    <xf numFmtId="0" fontId="83" fillId="5" borderId="1" xfId="0" applyFont="1" applyFill="1" applyBorder="1" applyProtection="1">
      <alignment horizontal="general" vertical="top" wrapText="1"/>
    </xf>
    <xf numFmtId="0" fontId="84" fillId="5" borderId="1" xfId="0" applyFont="1" applyFill="1" applyBorder="1" applyProtection="1">
      <alignment horizontal="general" vertical="center" wrapText="1"/>
    </xf>
    <xf numFmtId="0" fontId="85" fillId="0" borderId="1" xfId="0" applyFont="1" applyBorder="1" applyProtection="1">
      <alignment horizontal="general" vertical="top" wrapText="1"/>
    </xf>
    <xf numFmtId="0" fontId="86" fillId="0" borderId="1" xfId="0" applyFont="1" applyBorder="1" applyProtection="1">
      <alignment horizontal="general" vertical="top" wrapText="1"/>
    </xf>
    <xf numFmtId="0" fontId="87" fillId="0" borderId="1" xfId="0" applyFont="1" applyBorder="1" applyProtection="1">
      <alignment horizontal="general" vertical="top" wrapText="1"/>
    </xf>
    <xf numFmtId="0" fontId="88" fillId="0" borderId="1" xfId="0" applyFont="1" applyBorder="1" applyProtection="1">
      <alignment horizontal="general" vertical="top" wrapText="1"/>
    </xf>
    <xf numFmtId="0" fontId="89" fillId="0" borderId="1" xfId="0" applyFont="1" applyBorder="1" applyProtection="1">
      <alignment horizontal="general" vertical="center" wrapText="1"/>
    </xf>
    <xf numFmtId="0" fontId="90" fillId="0" borderId="1" xfId="0" applyFont="1" applyBorder="1" applyProtection="1">
      <alignment horizontal="general" vertical="top" wrapText="1"/>
    </xf>
    <xf numFmtId="0" fontId="91" fillId="0" borderId="1" xfId="0" applyFont="1" applyBorder="1" applyProtection="1">
      <alignment horizontal="center" vertical="center" wrapText="1"/>
    </xf>
    <xf numFmtId="0" fontId="92" fillId="5" borderId="1" xfId="0" applyFont="1" applyFill="1" applyBorder="1" applyProtection="1">
      <alignment horizontal="general" vertical="top" wrapText="1"/>
    </xf>
    <xf numFmtId="0" fontId="93" fillId="5" borderId="1" xfId="0" applyFont="1" applyFill="1" applyBorder="1" applyProtection="1">
      <alignment horizontal="general" vertical="top" wrapText="1"/>
    </xf>
    <xf numFmtId="0" fontId="94" fillId="5" borderId="1" xfId="0" applyFont="1" applyFill="1" applyBorder="1" applyProtection="1">
      <alignment horizontal="general" vertical="top" wrapText="1"/>
    </xf>
    <xf numFmtId="0" fontId="95" fillId="5" borderId="1" xfId="0" applyFont="1" applyFill="1" applyBorder="1" applyProtection="1">
      <alignment horizontal="left" vertical="center" wrapText="1"/>
    </xf>
    <xf numFmtId="0" fontId="96" fillId="5" borderId="1" xfId="0" applyFont="1" applyFill="1" applyBorder="1" applyProtection="1">
      <alignment horizontal="general" vertical="center" wrapText="1"/>
    </xf>
    <xf numFmtId="0" fontId="97" fillId="5" borderId="1" xfId="0" applyFont="1" applyFill="1" applyBorder="1" applyProtection="1">
      <alignment horizontal="general" vertical="top" wrapText="1"/>
    </xf>
    <xf numFmtId="0" fontId="98" fillId="0" borderId="1" xfId="0" applyFont="1" applyBorder="1" applyProtection="1">
      <alignment horizontal="general" vertical="top" wrapText="1"/>
    </xf>
    <xf numFmtId="0" fontId="99" fillId="0" borderId="1" xfId="0" applyFont="1" applyBorder="1" applyProtection="1">
      <alignment horizontal="general" vertical="top" wrapText="1"/>
    </xf>
    <xf numFmtId="0" fontId="100" fillId="0" borderId="1" xfId="0" applyFont="1" applyBorder="1" applyProtection="1">
      <alignment horizontal="general" vertical="top" wrapText="1"/>
    </xf>
    <xf numFmtId="0" fontId="101" fillId="0" borderId="1" xfId="0" applyFont="1" applyBorder="1" applyProtection="1">
      <alignment horizontal="general" vertical="top" wrapText="1"/>
    </xf>
    <xf numFmtId="0" fontId="102" fillId="5" borderId="1" xfId="0" applyFont="1" applyFill="1" applyBorder="1" applyProtection="1">
      <alignment horizontal="general" vertical="top" wrapText="1"/>
    </xf>
    <xf numFmtId="0" fontId="103" fillId="5" borderId="1" xfId="0" applyFont="1" applyFill="1" applyBorder="1" applyProtection="1">
      <alignment horizontal="general" vertical="top" wrapText="1"/>
    </xf>
    <xf numFmtId="0" fontId="104" fillId="5" borderId="1" xfId="0" applyFont="1" applyFill="1" applyBorder="1" applyProtection="1">
      <alignment horizontal="general" vertical="top" wrapText="1"/>
    </xf>
    <xf numFmtId="0" fontId="105" fillId="5" borderId="1" xfId="0" applyFont="1" applyFill="1" applyBorder="1" applyProtection="1">
      <alignment horizontal="general" vertical="top" wrapText="1"/>
    </xf>
    <xf numFmtId="0" fontId="106" fillId="0" borderId="1" xfId="0" applyFont="1" applyBorder="1" applyProtection="1">
      <alignment horizontal="general" vertical="top" wrapText="1"/>
    </xf>
    <xf numFmtId="0" fontId="107" fillId="0" borderId="1" xfId="0" applyFont="1" applyBorder="1" applyProtection="1">
      <alignment horizontal="general" vertical="top" wrapText="1"/>
    </xf>
    <xf numFmtId="0" fontId="108" fillId="0" borderId="1" xfId="0" applyFont="1" applyBorder="1" applyProtection="1">
      <alignment horizontal="general" vertical="top" wrapText="1"/>
    </xf>
    <xf numFmtId="0" fontId="109" fillId="0" borderId="1" xfId="0" applyFont="1" applyBorder="1" applyProtection="1">
      <alignment horizontal="general" vertical="top" wrapText="1"/>
    </xf>
    <xf numFmtId="0" fontId="110" fillId="5" borderId="1" xfId="0" applyFont="1" applyFill="1" applyBorder="1" applyProtection="1">
      <alignment horizontal="general" vertical="top" wrapText="1"/>
    </xf>
    <xf numFmtId="0" fontId="111" fillId="5" borderId="1" xfId="0" applyFont="1" applyFill="1" applyBorder="1" applyProtection="1">
      <alignment horizontal="general" vertical="top" wrapText="1"/>
    </xf>
    <xf numFmtId="0" fontId="112" fillId="5" borderId="1" xfId="0" applyFont="1" applyFill="1" applyBorder="1" applyProtection="1">
      <alignment horizontal="general" vertical="top" wrapText="1"/>
    </xf>
    <xf numFmtId="0" fontId="113" fillId="5" borderId="1" xfId="0" applyFont="1" applyFill="1" applyBorder="1" applyProtection="1">
      <alignment horizontal="general" vertical="top" wrapText="1"/>
    </xf>
    <xf numFmtId="0" fontId="114" fillId="5" borderId="1" xfId="0" applyFont="1" applyFill="1" applyBorder="1" applyProtection="1">
      <alignment horizontal="general" vertical="top" wrapText="1"/>
    </xf>
    <xf numFmtId="0" fontId="115" fillId="0" borderId="1" xfId="0" applyFont="1" applyBorder="1" applyProtection="1">
      <alignment horizontal="general" vertical="top" wrapText="1"/>
    </xf>
    <xf numFmtId="0" fontId="116" fillId="0" borderId="1" xfId="0" applyFont="1" applyBorder="1" applyProtection="1">
      <alignment horizontal="general" vertical="top" wrapText="1"/>
    </xf>
    <xf numFmtId="0" fontId="117" fillId="0" borderId="1" xfId="0" applyFont="1" applyBorder="1" applyProtection="1">
      <alignment horizontal="general" vertical="top" wrapText="1"/>
    </xf>
    <xf numFmtId="0" fontId="118" fillId="0" borderId="1" xfId="0" applyFont="1" applyBorder="1" applyProtection="1">
      <alignment horizontal="general" vertical="top" wrapText="1"/>
    </xf>
    <xf numFmtId="0" fontId="119" fillId="5" borderId="1" xfId="0" applyFont="1" applyFill="1" applyBorder="1" applyProtection="1">
      <alignment horizontal="general" vertical="top" wrapText="1"/>
    </xf>
    <xf numFmtId="0" fontId="120" fillId="5" borderId="1" xfId="0" applyFont="1" applyFill="1" applyBorder="1" applyProtection="1">
      <alignment horizontal="general" vertical="top" wrapText="1"/>
    </xf>
    <xf numFmtId="0" fontId="121" fillId="5" borderId="1" xfId="0" applyFont="1" applyFill="1" applyBorder="1" applyProtection="1">
      <alignment horizontal="general" vertical="top" wrapText="1"/>
    </xf>
    <xf numFmtId="0" fontId="122" fillId="5" borderId="1" xfId="0" applyFont="1" applyFill="1" applyBorder="1" applyProtection="1">
      <alignment horizontal="general" vertical="top" wrapText="1"/>
    </xf>
    <xf numFmtId="0" fontId="123" fillId="5" borderId="1" xfId="0" applyFont="1" applyFill="1" applyBorder="1" applyProtection="1">
      <alignment horizontal="general" vertical="center" wrapText="1"/>
    </xf>
    <xf numFmtId="0" fontId="124" fillId="5" borderId="1" xfId="0" applyFont="1" applyFill="1" applyBorder="1" applyProtection="1">
      <alignment horizontal="general" vertical="top" wrapText="1"/>
    </xf>
    <xf numFmtId="0" fontId="125" fillId="4" borderId="1" xfId="0" applyFont="1" applyFill="1" applyBorder="1" applyProtection="1">
      <alignment horizontal="general" vertical="top" wrapText="1"/>
    </xf>
    <xf numFmtId="0" fontId="126" fillId="0" borderId="1" xfId="0" applyFont="1" applyBorder="1" applyProtection="1">
      <alignment horizontal="general" vertical="top" wrapText="1"/>
    </xf>
    <xf numFmtId="0" fontId="127" fillId="0" borderId="1" xfId="0" applyFont="1" applyBorder="1" applyProtection="1">
      <alignment horizontal="general" vertical="top" wrapText="1"/>
    </xf>
    <xf numFmtId="0" fontId="128" fillId="0" borderId="1" xfId="0" applyFont="1" applyBorder="1" applyProtection="1">
      <alignment horizontal="general" vertical="top" wrapText="1"/>
    </xf>
    <xf numFmtId="0" fontId="129" fillId="0" borderId="1" xfId="0" applyFont="1" applyBorder="1" applyProtection="1">
      <alignment horizontal="general" vertical="center" wrapText="1"/>
    </xf>
    <xf numFmtId="0" fontId="130" fillId="5" borderId="1" xfId="0" applyFont="1" applyFill="1" applyBorder="1" applyProtection="1">
      <alignment horizontal="general" vertical="top" wrapText="1"/>
    </xf>
    <xf numFmtId="0" fontId="131" fillId="5" borderId="1" xfId="0" applyFont="1" applyFill="1" applyBorder="1" applyProtection="1">
      <alignment horizontal="general" vertical="top" wrapText="1"/>
    </xf>
    <xf numFmtId="0" fontId="132" fillId="5" borderId="1" xfId="0" applyFont="1" applyFill="1" applyBorder="1" applyProtection="1">
      <alignment horizontal="general" vertical="top" wrapText="1"/>
    </xf>
    <xf numFmtId="0" fontId="133" fillId="5" borderId="1" xfId="0" applyFont="1" applyFill="1" applyBorder="1" applyProtection="1">
      <alignment horizontal="general" vertical="top" wrapText="1"/>
    </xf>
    <xf numFmtId="0" fontId="134" fillId="5" borderId="1" xfId="0" applyFont="1" applyFill="1" applyBorder="1" applyProtection="1">
      <alignment horizontal="general" vertical="center" wrapText="1"/>
    </xf>
    <xf numFmtId="0" fontId="135" fillId="0" borderId="1" xfId="0" applyFont="1" applyBorder="1" applyProtection="1">
      <alignment horizontal="general" vertical="top" wrapText="1"/>
    </xf>
    <xf numFmtId="0" fontId="136" fillId="0" borderId="1" xfId="0" applyFont="1" applyBorder="1" applyProtection="1">
      <alignment horizontal="general" vertical="top" wrapText="1"/>
    </xf>
    <xf numFmtId="0" fontId="137" fillId="0" borderId="1" xfId="0" applyFont="1" applyBorder="1" applyProtection="1">
      <alignment horizontal="general" vertical="top" wrapText="1"/>
    </xf>
    <xf numFmtId="0" fontId="138" fillId="0" borderId="1" xfId="0" applyFont="1" applyBorder="1" applyProtection="1">
      <alignment horizontal="general" vertical="center" wrapText="1"/>
    </xf>
    <xf numFmtId="0" fontId="139" fillId="0" borderId="1" xfId="0" applyFont="1" applyBorder="1" applyProtection="1">
      <alignment horizontal="center" vertical="center" wrapText="1"/>
    </xf>
    <xf numFmtId="0" fontId="140" fillId="5" borderId="1" xfId="0" applyFont="1" applyFill="1" applyBorder="1" applyProtection="1">
      <alignment horizontal="general" vertical="top" wrapText="1"/>
    </xf>
    <xf numFmtId="0" fontId="141" fillId="5" borderId="1" xfId="0" applyFont="1" applyFill="1" applyBorder="1" applyProtection="1">
      <alignment horizontal="general" vertical="top" wrapText="1"/>
    </xf>
    <xf numFmtId="0" fontId="142" fillId="5" borderId="1" xfId="0" applyFont="1" applyFill="1" applyBorder="1" applyProtection="1">
      <alignment horizontal="general" vertical="top" wrapText="1"/>
    </xf>
    <xf numFmtId="0" fontId="143" fillId="5" borderId="1" xfId="0" applyFont="1" applyFill="1" applyBorder="1" applyProtection="1">
      <alignment horizontal="general" vertical="center" wrapText="1"/>
    </xf>
    <xf numFmtId="0" fontId="144" fillId="0" borderId="1" xfId="0" applyFont="1" applyBorder="1" applyProtection="1">
      <alignment horizontal="general" vertical="top" wrapText="1"/>
    </xf>
    <xf numFmtId="0" fontId="145" fillId="0" borderId="1" xfId="0" applyFont="1" applyBorder="1" applyProtection="1">
      <alignment horizontal="general" vertical="top" wrapText="1"/>
    </xf>
    <xf numFmtId="0" fontId="146" fillId="0" borderId="1" xfId="0" applyFont="1" applyBorder="1" applyProtection="1">
      <alignment horizontal="general" vertical="top" wrapText="1"/>
    </xf>
    <xf numFmtId="0" fontId="147" fillId="0" borderId="1" xfId="0" applyFont="1" applyBorder="1" applyProtection="1">
      <alignment horizontal="general" vertical="top" wrapText="1"/>
    </xf>
    <xf numFmtId="0" fontId="148" fillId="0" borderId="1" xfId="0" applyFont="1" applyBorder="1" applyProtection="1">
      <alignment horizontal="general" vertical="center" wrapText="1"/>
    </xf>
    <xf numFmtId="0" fontId="149" fillId="0" borderId="1" xfId="0" applyFont="1" applyBorder="1" applyProtection="1">
      <alignment horizontal="general" vertical="top" wrapText="1"/>
    </xf>
    <xf numFmtId="0" fontId="150" fillId="5" borderId="1" xfId="0" applyFont="1" applyFill="1" applyBorder="1" applyProtection="1">
      <alignment horizontal="general" vertical="top" wrapText="1"/>
    </xf>
    <xf numFmtId="0" fontId="151" fillId="5" borderId="1" xfId="0" applyFont="1" applyFill="1" applyBorder="1" applyProtection="1">
      <alignment horizontal="general" vertical="top" wrapText="1"/>
    </xf>
    <xf numFmtId="0" fontId="152" fillId="5" borderId="1" xfId="0" applyFont="1" applyFill="1" applyBorder="1" applyProtection="1">
      <alignment horizontal="general" vertical="top" wrapText="1"/>
    </xf>
    <xf numFmtId="0" fontId="153" fillId="5" borderId="1" xfId="0" applyFont="1" applyFill="1" applyBorder="1" applyProtection="1">
      <alignment horizontal="general" vertical="center" wrapText="1"/>
    </xf>
    <xf numFmtId="0" fontId="154" fillId="5" borderId="1" xfId="0" applyFont="1" applyFill="1" applyBorder="1" applyProtection="1">
      <alignment horizontal="general" vertical="top" wrapText="1"/>
    </xf>
    <xf numFmtId="0" fontId="155" fillId="0" borderId="1" xfId="0" applyFont="1" applyBorder="1" applyProtection="1">
      <alignment horizontal="general" vertical="top" wrapText="1"/>
    </xf>
    <xf numFmtId="0" fontId="156" fillId="0" borderId="1" xfId="0" applyFont="1" applyBorder="1" applyProtection="1">
      <alignment horizontal="general" vertical="top" wrapText="1"/>
    </xf>
    <xf numFmtId="0" fontId="157" fillId="0" borderId="1" xfId="0" applyFont="1" applyBorder="1" applyProtection="1">
      <alignment horizontal="general" vertical="top" wrapText="1"/>
    </xf>
    <xf numFmtId="0" fontId="158" fillId="0" borderId="1" xfId="0" applyFont="1" applyBorder="1" applyProtection="1">
      <alignment horizontal="general" vertical="center" wrapText="1"/>
    </xf>
    <xf numFmtId="0" fontId="159" fillId="5" borderId="1" xfId="0" applyFont="1" applyFill="1" applyBorder="1" applyProtection="1">
      <alignment horizontal="general" vertical="top" wrapText="1"/>
    </xf>
    <xf numFmtId="0" fontId="160" fillId="5" borderId="1" xfId="0" applyFont="1" applyFill="1" applyBorder="1" applyProtection="1">
      <alignment horizontal="general" vertical="top" wrapText="1"/>
    </xf>
    <xf numFmtId="0" fontId="161" fillId="5" borderId="1" xfId="0" applyFont="1" applyFill="1" applyBorder="1" applyProtection="1">
      <alignment horizontal="general" vertical="top" wrapText="1"/>
    </xf>
    <xf numFmtId="0" fontId="162" fillId="5" borderId="1" xfId="0" applyFont="1" applyFill="1" applyBorder="1" applyProtection="1">
      <alignment horizontal="general" vertical="center" wrapText="1"/>
    </xf>
    <xf numFmtId="0" fontId="163" fillId="5" borderId="1" xfId="0" applyFont="1" applyFill="1" applyBorder="1" applyProtection="1">
      <alignment horizontal="general" vertical="top" wrapText="1"/>
    </xf>
    <xf numFmtId="0" fontId="164" fillId="0" borderId="1" xfId="0" applyFont="1" applyBorder="1" applyProtection="1">
      <alignment horizontal="general" vertical="top" wrapText="1"/>
    </xf>
    <xf numFmtId="0" fontId="165" fillId="0" borderId="1" xfId="0" applyFont="1" applyBorder="1" applyProtection="1">
      <alignment horizontal="general" vertical="top" wrapText="1"/>
    </xf>
    <xf numFmtId="0" fontId="166" fillId="0" borderId="1" xfId="0" applyFont="1" applyBorder="1" applyProtection="1">
      <alignment horizontal="general" vertical="center" wrapText="1"/>
    </xf>
    <xf numFmtId="0" fontId="167" fillId="5" borderId="1" xfId="0" applyFont="1" applyFill="1" applyBorder="1" applyProtection="1">
      <alignment horizontal="general" vertical="top" wrapText="1"/>
    </xf>
    <xf numFmtId="0" fontId="168" fillId="5" borderId="1" xfId="0" applyFont="1" applyFill="1" applyBorder="1" applyProtection="1">
      <alignment horizontal="general" vertical="top" wrapText="1"/>
    </xf>
    <xf numFmtId="0" fontId="169" fillId="5" borderId="1" xfId="0" applyFont="1" applyFill="1" applyBorder="1" applyProtection="1">
      <alignment horizontal="general" vertical="top" wrapText="1"/>
    </xf>
    <xf numFmtId="0" fontId="170" fillId="5" borderId="1" xfId="0" applyFont="1" applyFill="1" applyBorder="1" applyProtection="1">
      <alignment horizontal="general" vertical="center" wrapText="1"/>
    </xf>
    <xf numFmtId="0" fontId="171" fillId="5" borderId="1" xfId="0" applyFont="1" applyFill="1" applyBorder="1" applyProtection="1">
      <alignment horizontal="general" vertical="top" wrapText="1"/>
    </xf>
    <xf numFmtId="0" fontId="172" fillId="0" borderId="1" xfId="0" applyFont="1" applyBorder="1" applyProtection="1">
      <alignment horizontal="general" vertical="top" wrapText="1"/>
    </xf>
    <xf numFmtId="0" fontId="173" fillId="0" borderId="1" xfId="0" applyFont="1" applyBorder="1" applyProtection="1">
      <alignment horizontal="general" vertical="top" wrapText="1"/>
    </xf>
    <xf numFmtId="0" fontId="174" fillId="0" borderId="1" xfId="0" applyFont="1" applyBorder="1" applyProtection="1">
      <alignment horizontal="general" vertical="top" wrapText="1"/>
    </xf>
    <xf numFmtId="0" fontId="175" fillId="0" borderId="1" xfId="0" applyFont="1" applyBorder="1" applyProtection="1">
      <alignment horizontal="general" vertical="center" wrapText="1"/>
    </xf>
    <xf numFmtId="0" fontId="176" fillId="0" borderId="1" xfId="0" applyFont="1" applyBorder="1" applyProtection="1">
      <alignment horizontal="center" vertical="center" wrapText="1"/>
    </xf>
    <xf numFmtId="0" fontId="177" fillId="4" borderId="1" xfId="0" applyFont="1" applyFill="1" applyBorder="1" applyProtection="1">
      <alignment horizontal="general" vertical="top" wrapText="1"/>
    </xf>
    <xf numFmtId="0" fontId="178" fillId="5" borderId="1" xfId="0" applyFont="1" applyFill="1" applyBorder="1" applyProtection="1">
      <alignment horizontal="general" vertical="top" wrapText="1"/>
    </xf>
    <xf numFmtId="0" fontId="179" fillId="5" borderId="1" xfId="0" applyFont="1" applyFill="1" applyBorder="1" applyProtection="1">
      <alignment horizontal="general" vertical="top" wrapText="1"/>
    </xf>
    <xf numFmtId="0" fontId="180" fillId="5" borderId="1" xfId="0" applyFont="1" applyFill="1" applyBorder="1" applyProtection="1">
      <alignment horizontal="general" vertical="top" wrapText="1"/>
    </xf>
    <xf numFmtId="0" fontId="181" fillId="5" borderId="1" xfId="0" applyFont="1" applyFill="1" applyBorder="1" applyProtection="1">
      <alignment horizontal="general" vertical="center" wrapText="1"/>
    </xf>
    <xf numFmtId="0" fontId="182" fillId="0" borderId="1" xfId="0" applyFont="1" applyBorder="1" applyProtection="1">
      <alignment horizontal="general" vertical="top" wrapText="1"/>
    </xf>
    <xf numFmtId="0" fontId="183" fillId="0" borderId="1" xfId="0" applyFont="1" applyBorder="1" applyProtection="1">
      <alignment horizontal="general" vertical="top" wrapText="1"/>
    </xf>
    <xf numFmtId="0" fontId="184" fillId="0" borderId="1" xfId="0" applyFont="1" applyBorder="1" applyProtection="1">
      <alignment horizontal="general" vertical="top" wrapText="1"/>
    </xf>
    <xf numFmtId="0" fontId="185" fillId="0" borderId="1" xfId="0" applyFont="1" applyBorder="1" applyProtection="1">
      <alignment horizontal="general" vertical="center" wrapText="1"/>
    </xf>
    <xf numFmtId="0" fontId="186" fillId="0" borderId="1" xfId="0" applyFont="1" applyBorder="1" applyProtection="1">
      <alignment horizontal="general" vertical="top" wrapText="1"/>
    </xf>
    <xf numFmtId="0" fontId="187" fillId="5" borderId="1" xfId="0" applyFont="1" applyFill="1" applyBorder="1" applyProtection="1">
      <alignment horizontal="general" vertical="top" wrapText="1"/>
    </xf>
    <xf numFmtId="0" fontId="188" fillId="5" borderId="1" xfId="0" applyFont="1" applyFill="1" applyBorder="1" applyProtection="1">
      <alignment horizontal="general" vertical="top" wrapText="1"/>
    </xf>
    <xf numFmtId="0" fontId="189" fillId="5" borderId="1" xfId="0" applyFont="1" applyFill="1" applyBorder="1" applyProtection="1">
      <alignment horizontal="general" vertical="top" wrapText="1"/>
    </xf>
    <xf numFmtId="0" fontId="190" fillId="5" borderId="1" xfId="0" applyFont="1" applyFill="1" applyBorder="1" applyProtection="1">
      <alignment horizontal="general" vertical="center" wrapText="1"/>
    </xf>
    <xf numFmtId="0" fontId="191" fillId="0" borderId="1" xfId="0" applyFont="1" applyBorder="1" applyProtection="1">
      <alignment horizontal="general" vertical="top" wrapText="1"/>
    </xf>
    <xf numFmtId="0" fontId="192" fillId="0" borderId="1" xfId="0" applyFont="1" applyBorder="1" applyProtection="1">
      <alignment horizontal="general" vertical="top" wrapText="1"/>
    </xf>
    <xf numFmtId="0" fontId="193" fillId="0" borderId="1" xfId="0" applyFont="1" applyBorder="1" applyProtection="1">
      <alignment horizontal="general" vertical="top" wrapText="1"/>
    </xf>
    <xf numFmtId="0" fontId="194" fillId="0" borderId="1" xfId="0" applyFont="1" applyBorder="1" applyProtection="1">
      <alignment horizontal="general" vertical="center" wrapText="1"/>
    </xf>
    <xf numFmtId="0" fontId="195" fillId="5" borderId="1" xfId="0" applyFont="1" applyFill="1" applyBorder="1" applyProtection="1">
      <alignment horizontal="general" vertical="top" wrapText="1"/>
    </xf>
    <xf numFmtId="0" fontId="196" fillId="5" borderId="1" xfId="0" applyFont="1" applyFill="1" applyBorder="1" applyProtection="1">
      <alignment horizontal="general" vertical="top" wrapText="1"/>
    </xf>
    <xf numFmtId="0" fontId="197" fillId="5" borderId="1" xfId="0" applyFont="1" applyFill="1" applyBorder="1" applyProtection="1">
      <alignment horizontal="general" vertical="top" wrapText="1"/>
    </xf>
    <xf numFmtId="0" fontId="198" fillId="5" borderId="1" xfId="0" applyFont="1" applyFill="1" applyBorder="1" applyProtection="1">
      <alignment horizontal="general" vertical="center" wrapText="1"/>
    </xf>
    <xf numFmtId="0" fontId="199" fillId="5" borderId="1" xfId="0" applyFont="1" applyFill="1" applyBorder="1" applyProtection="1">
      <alignment horizontal="center" vertical="center" wrapText="1"/>
    </xf>
    <xf numFmtId="0" fontId="200" fillId="0" borderId="1" xfId="0" applyFont="1" applyBorder="1" applyProtection="1">
      <alignment horizontal="general" vertical="top" wrapText="1"/>
    </xf>
    <xf numFmtId="0" fontId="201" fillId="0" borderId="1" xfId="0" applyFont="1" applyBorder="1" applyProtection="1">
      <alignment horizontal="general" vertical="top" wrapText="1"/>
    </xf>
    <xf numFmtId="0" fontId="202" fillId="0" borderId="1" xfId="0" applyFont="1" applyBorder="1" applyProtection="1">
      <alignment horizontal="general" vertical="top" wrapText="1"/>
    </xf>
    <xf numFmtId="0" fontId="203" fillId="0" borderId="1" xfId="0" applyFont="1" applyBorder="1" applyProtection="1">
      <alignment horizontal="left" vertical="center" wrapText="1"/>
    </xf>
    <xf numFmtId="0" fontId="204" fillId="0" borderId="1" xfId="0" applyFont="1" applyBorder="1" applyProtection="1">
      <alignment horizontal="general" vertical="center" wrapText="1"/>
    </xf>
    <xf numFmtId="0" fontId="205" fillId="0" borderId="1" xfId="0" applyFont="1" applyBorder="1" applyProtection="1">
      <alignment horizontal="center" vertical="center" wrapText="1"/>
    </xf>
    <xf numFmtId="0" fontId="206" fillId="5" borderId="1" xfId="0" applyFont="1" applyFill="1" applyBorder="1" applyProtection="1">
      <alignment horizontal="general" vertical="top" wrapText="1"/>
    </xf>
    <xf numFmtId="0" fontId="207" fillId="5" borderId="1" xfId="0" applyFont="1" applyFill="1" applyBorder="1" applyProtection="1">
      <alignment horizontal="general" vertical="top" wrapText="1"/>
    </xf>
    <xf numFmtId="0" fontId="208" fillId="5" borderId="1" xfId="0" applyFont="1" applyFill="1" applyBorder="1" applyProtection="1">
      <alignment horizontal="general" vertical="top" wrapText="1"/>
    </xf>
    <xf numFmtId="0" fontId="209" fillId="5" borderId="1" xfId="0" applyFont="1" applyFill="1" applyBorder="1" applyProtection="1">
      <alignment horizontal="general" vertical="center" wrapText="1"/>
    </xf>
    <xf numFmtId="0" fontId="210" fillId="4" borderId="1" xfId="0" applyFont="1" applyFill="1" applyBorder="1" applyProtection="1">
      <alignment horizontal="general" vertical="top" wrapText="1"/>
    </xf>
    <xf numFmtId="0" fontId="211" fillId="0" borderId="1" xfId="0" applyFont="1" applyBorder="1" applyProtection="1">
      <alignment horizontal="general" vertical="top" wrapText="1"/>
    </xf>
    <xf numFmtId="0" fontId="212" fillId="0" borderId="1" xfId="0" applyFont="1" applyBorder="1" applyProtection="1">
      <alignment horizontal="general" vertical="top" wrapText="1"/>
    </xf>
    <xf numFmtId="0" fontId="213" fillId="0" borderId="1" xfId="0" applyFont="1" applyBorder="1" applyProtection="1">
      <alignment horizontal="general" vertical="top" wrapText="1"/>
    </xf>
    <xf numFmtId="0" fontId="214" fillId="0" borderId="1" xfId="0" applyFont="1" applyBorder="1" applyProtection="1">
      <alignment horizontal="left" vertical="center" wrapText="1"/>
    </xf>
    <xf numFmtId="0" fontId="215" fillId="0" borderId="1" xfId="0" applyFont="1" applyBorder="1" applyProtection="1">
      <alignment horizontal="general" vertical="center" wrapText="1"/>
    </xf>
    <xf numFmtId="0" fontId="216" fillId="0" borderId="1" xfId="0" applyFont="1" applyBorder="1" applyProtection="1">
      <alignment horizontal="center" vertical="center" wrapText="1"/>
    </xf>
    <xf numFmtId="0" fontId="217" fillId="5" borderId="1" xfId="0" applyFont="1" applyFill="1" applyBorder="1" applyProtection="1">
      <alignment horizontal="general" vertical="top" wrapText="1"/>
    </xf>
    <xf numFmtId="0" fontId="218" fillId="5" borderId="1" xfId="0" applyFont="1" applyFill="1" applyBorder="1" applyProtection="1">
      <alignment horizontal="general" vertical="top" wrapText="1"/>
    </xf>
    <xf numFmtId="0" fontId="219" fillId="5" borderId="1" xfId="0" applyFont="1" applyFill="1" applyBorder="1" applyProtection="1">
      <alignment horizontal="general" vertical="top" wrapText="1"/>
    </xf>
    <xf numFmtId="0" fontId="220" fillId="5" borderId="1" xfId="0" applyFont="1" applyFill="1" applyBorder="1" applyProtection="1">
      <alignment horizontal="general" vertical="center" wrapText="1"/>
    </xf>
    <xf numFmtId="0" fontId="221" fillId="0" borderId="1" xfId="0" applyFont="1" applyBorder="1" applyProtection="1">
      <alignment horizontal="general" vertical="top" wrapText="1"/>
    </xf>
    <xf numFmtId="0" fontId="222" fillId="0" borderId="1" xfId="0" applyFont="1" applyBorder="1" applyProtection="1">
      <alignment horizontal="general" vertical="top" wrapText="1"/>
    </xf>
    <xf numFmtId="0" fontId="223" fillId="0" borderId="1" xfId="0" applyFont="1" applyBorder="1" applyProtection="1">
      <alignment horizontal="general" vertical="top" wrapText="1"/>
    </xf>
    <xf numFmtId="0" fontId="224" fillId="0" borderId="1" xfId="0" applyFont="1" applyBorder="1" applyProtection="1">
      <alignment horizontal="general" vertical="center" wrapText="1"/>
    </xf>
    <xf numFmtId="0" fontId="225" fillId="5" borderId="1" xfId="0" applyFont="1" applyFill="1" applyBorder="1" applyProtection="1">
      <alignment horizontal="general" vertical="top" wrapText="1"/>
    </xf>
    <xf numFmtId="0" fontId="226" fillId="5" borderId="1" xfId="0" applyFont="1" applyFill="1" applyBorder="1" applyProtection="1">
      <alignment horizontal="general" vertical="top" wrapText="1"/>
    </xf>
    <xf numFmtId="0" fontId="227" fillId="5" borderId="1" xfId="0" applyFont="1" applyFill="1" applyBorder="1" applyProtection="1">
      <alignment horizontal="general" vertical="top" wrapText="1"/>
    </xf>
    <xf numFmtId="0" fontId="228" fillId="5" borderId="1" xfId="0" applyFont="1" applyFill="1" applyBorder="1" applyProtection="1">
      <alignment horizontal="general" vertical="center" wrapText="1"/>
    </xf>
    <xf numFmtId="0" fontId="229" fillId="5" borderId="1" xfId="0" applyFont="1" applyFill="1" applyBorder="1" applyProtection="1">
      <alignment horizontal="center" vertical="center" wrapText="1"/>
    </xf>
    <xf numFmtId="0" fontId="230" fillId="0" borderId="1" xfId="0" applyFont="1" applyBorder="1" applyProtection="1">
      <alignment horizontal="general" vertical="top" wrapText="1"/>
    </xf>
    <xf numFmtId="0" fontId="231" fillId="0" borderId="1" xfId="0" applyFont="1" applyBorder="1" applyProtection="1">
      <alignment horizontal="general" vertical="top" wrapText="1"/>
    </xf>
    <xf numFmtId="0" fontId="232" fillId="0" borderId="1" xfId="0" applyFont="1" applyBorder="1" applyProtection="1">
      <alignment horizontal="general" vertical="top" wrapText="1"/>
    </xf>
    <xf numFmtId="0" fontId="233" fillId="0" borderId="1" xfId="0" applyFont="1" applyBorder="1" applyProtection="1">
      <alignment horizontal="general" vertical="top" wrapText="1"/>
    </xf>
    <xf numFmtId="0" fontId="234" fillId="0" borderId="1" xfId="0" applyFont="1" applyBorder="1" applyProtection="1">
      <alignment horizontal="general" vertical="center" wrapText="1"/>
    </xf>
    <xf numFmtId="0" fontId="235" fillId="0" borderId="1" xfId="0" applyFont="1" applyBorder="1" applyProtection="1">
      <alignment horizontal="center" vertical="center" wrapText="1"/>
    </xf>
    <xf numFmtId="0" fontId="236" fillId="4" borderId="1" xfId="0" applyFont="1" applyFill="1" applyBorder="1" applyProtection="1">
      <alignment horizontal="general" vertical="top" wrapText="1"/>
    </xf>
    <xf numFmtId="0" fontId="237" fillId="5" borderId="1" xfId="0" applyFont="1" applyFill="1" applyBorder="1" applyProtection="1">
      <alignment horizontal="general" vertical="top" wrapText="1"/>
    </xf>
    <xf numFmtId="0" fontId="238" fillId="5" borderId="1" xfId="0" applyFont="1" applyFill="1" applyBorder="1" applyProtection="1">
      <alignment horizontal="general" vertical="top" wrapText="1"/>
    </xf>
    <xf numFmtId="0" fontId="239" fillId="5" borderId="1" xfId="0" applyFont="1" applyFill="1" applyBorder="1" applyProtection="1">
      <alignment horizontal="general" vertical="top" wrapText="1"/>
    </xf>
    <xf numFmtId="0" fontId="240" fillId="5" borderId="1" xfId="0" applyFont="1" applyFill="1" applyBorder="1" applyProtection="1">
      <alignment horizontal="general" vertical="center" wrapText="1"/>
    </xf>
    <xf numFmtId="0" fontId="241" fillId="0" borderId="1" xfId="0" applyFont="1" applyBorder="1" applyProtection="1">
      <alignment horizontal="general" vertical="top" wrapText="1"/>
    </xf>
    <xf numFmtId="0" fontId="242" fillId="0" borderId="1" xfId="0" applyFont="1" applyBorder="1" applyProtection="1">
      <alignment horizontal="general" vertical="top" wrapText="1"/>
    </xf>
    <xf numFmtId="0" fontId="243" fillId="0" borderId="1" xfId="0" applyFont="1" applyBorder="1" applyProtection="1">
      <alignment horizontal="general" vertical="top" wrapText="1"/>
    </xf>
    <xf numFmtId="0" fontId="244" fillId="0" borderId="1" xfId="0" applyFont="1" applyBorder="1" applyProtection="1">
      <alignment horizontal="general" vertical="center" wrapText="1"/>
    </xf>
    <xf numFmtId="0" fontId="245" fillId="0" borderId="1" xfId="0" applyFont="1" applyBorder="1" applyProtection="1">
      <alignment horizontal="general" vertical="top" wrapText="1"/>
    </xf>
    <xf numFmtId="0" fontId="246" fillId="5" borderId="1" xfId="0" applyFont="1" applyFill="1" applyBorder="1" applyProtection="1">
      <alignment horizontal="general" vertical="top" wrapText="1"/>
    </xf>
    <xf numFmtId="0" fontId="247" fillId="5" borderId="1" xfId="0" applyFont="1" applyFill="1" applyBorder="1" applyProtection="1">
      <alignment horizontal="general" vertical="top" wrapText="1"/>
    </xf>
    <xf numFmtId="0" fontId="248" fillId="5" borderId="1" xfId="0" applyFont="1" applyFill="1" applyBorder="1" applyProtection="1">
      <alignment horizontal="general" vertical="top" wrapText="1"/>
    </xf>
    <xf numFmtId="0" fontId="249" fillId="5" borderId="1" xfId="0" applyFont="1" applyFill="1" applyBorder="1" applyProtection="1">
      <alignment horizontal="general" vertical="center" wrapText="1"/>
    </xf>
    <xf numFmtId="0" fontId="250" fillId="0" borderId="1" xfId="0" applyFont="1" applyBorder="1" applyProtection="1">
      <alignment horizontal="general" vertical="top" wrapText="1"/>
    </xf>
    <xf numFmtId="0" fontId="251" fillId="0" borderId="1" xfId="0" applyFont="1" applyBorder="1" applyProtection="1">
      <alignment horizontal="general" vertical="top" wrapText="1"/>
    </xf>
    <xf numFmtId="0" fontId="252" fillId="0" borderId="1" xfId="0" applyFont="1" applyBorder="1" applyProtection="1">
      <alignment horizontal="general" vertical="top" wrapText="1"/>
    </xf>
    <xf numFmtId="0" fontId="253" fillId="0" borderId="1" xfId="0" applyFont="1" applyBorder="1" applyProtection="1">
      <alignment horizontal="general" vertical="center" wrapText="1"/>
    </xf>
    <xf numFmtId="0" fontId="254" fillId="0" borderId="1" xfId="0" applyFont="1" applyBorder="1" applyProtection="1">
      <alignment horizontal="general" vertical="top" wrapText="1"/>
    </xf>
    <xf numFmtId="0" fontId="255" fillId="0" borderId="1" xfId="0" applyFont="1" applyBorder="1" applyProtection="1">
      <alignment horizontal="center" vertical="center" wrapText="1"/>
    </xf>
    <xf numFmtId="0" fontId="256" fillId="5" borderId="1" xfId="0" applyFont="1" applyFill="1" applyBorder="1" applyProtection="1">
      <alignment horizontal="general" vertical="top" wrapText="1"/>
    </xf>
    <xf numFmtId="0" fontId="257" fillId="5" borderId="1" xfId="0" applyFont="1" applyFill="1" applyBorder="1" applyProtection="1">
      <alignment horizontal="general" vertical="top" wrapText="1"/>
    </xf>
    <xf numFmtId="0" fontId="258" fillId="5" borderId="1" xfId="0" applyFont="1" applyFill="1" applyBorder="1" applyProtection="1">
      <alignment horizontal="general" vertical="top" wrapText="1"/>
    </xf>
    <xf numFmtId="0" fontId="259" fillId="5" borderId="1" xfId="0" applyFont="1" applyFill="1" applyBorder="1" applyProtection="1">
      <alignment horizontal="general" vertical="top" wrapText="1"/>
    </xf>
    <xf numFmtId="0" fontId="260" fillId="5" borderId="1" xfId="0" applyFont="1" applyFill="1" applyBorder="1" applyProtection="1">
      <alignment horizontal="general" vertical="center" wrapText="1"/>
    </xf>
    <xf numFmtId="0" fontId="261" fillId="5" borderId="1" xfId="0" applyFont="1" applyFill="1" applyBorder="1" applyProtection="1">
      <alignment horizontal="center" vertical="center" wrapText="1"/>
    </xf>
    <xf numFmtId="0" fontId="262" fillId="0" borderId="1" xfId="0" applyFont="1" applyBorder="1" applyProtection="1">
      <alignment horizontal="general" vertical="top" wrapText="1"/>
    </xf>
    <xf numFmtId="0" fontId="263" fillId="0" borderId="1" xfId="0" applyFont="1" applyBorder="1" applyProtection="1">
      <alignment horizontal="general" vertical="top" wrapText="1"/>
    </xf>
    <xf numFmtId="0" fontId="264" fillId="0" borderId="1" xfId="0" applyFont="1" applyBorder="1" applyProtection="1">
      <alignment horizontal="general" vertical="top" wrapText="1"/>
    </xf>
    <xf numFmtId="0" fontId="265" fillId="0" borderId="1" xfId="0" applyFont="1" applyBorder="1" applyProtection="1">
      <alignment horizontal="general" vertical="top" wrapText="1"/>
    </xf>
    <xf numFmtId="0" fontId="266" fillId="0" borderId="1" xfId="0" applyFont="1" applyBorder="1" applyProtection="1">
      <alignment horizontal="general" vertical="center" wrapText="1"/>
    </xf>
    <xf numFmtId="0" fontId="267" fillId="5" borderId="1" xfId="0" applyFont="1" applyFill="1" applyBorder="1" applyProtection="1">
      <alignment horizontal="general" vertical="top" wrapText="1"/>
    </xf>
    <xf numFmtId="0" fontId="268" fillId="5" borderId="1" xfId="0" applyFont="1" applyFill="1" applyBorder="1" applyProtection="1">
      <alignment horizontal="general" vertical="top" wrapText="1"/>
    </xf>
    <xf numFmtId="0" fontId="269" fillId="5" borderId="1" xfId="0" applyFont="1" applyFill="1" applyBorder="1" applyProtection="1">
      <alignment horizontal="general" vertical="top" wrapText="1"/>
    </xf>
    <xf numFmtId="0" fontId="270" fillId="5" borderId="1" xfId="0" applyFont="1" applyFill="1" applyBorder="1" applyProtection="1">
      <alignment horizontal="general" vertical="top" wrapText="1"/>
    </xf>
    <xf numFmtId="0" fontId="271" fillId="5" borderId="1" xfId="0" applyFont="1" applyFill="1" applyBorder="1" applyProtection="1">
      <alignment horizontal="general" vertical="center" wrapText="1"/>
    </xf>
    <xf numFmtId="0" fontId="272" fillId="0" borderId="1" xfId="0" applyFont="1" applyBorder="1" applyProtection="1">
      <alignment horizontal="general" vertical="top" wrapText="1"/>
    </xf>
    <xf numFmtId="0" fontId="273" fillId="0" borderId="1" xfId="0" applyFont="1" applyBorder="1" applyProtection="1">
      <alignment horizontal="general" vertical="top" wrapText="1"/>
    </xf>
    <xf numFmtId="0" fontId="274" fillId="0" borderId="1" xfId="0" applyFont="1" applyBorder="1" applyProtection="1">
      <alignment horizontal="general" vertical="top" wrapText="1"/>
    </xf>
    <xf numFmtId="0" fontId="275" fillId="0" borderId="1" xfId="0" applyFont="1" applyBorder="1" applyProtection="1">
      <alignment horizontal="general" vertical="top" wrapText="1"/>
    </xf>
    <xf numFmtId="0" fontId="276" fillId="0" borderId="1" xfId="0" applyFont="1" applyBorder="1" applyProtection="1">
      <alignment horizontal="general" vertical="center" wrapText="1"/>
    </xf>
    <xf numFmtId="0" fontId="277" fillId="5" borderId="1" xfId="0" applyFont="1" applyFill="1" applyBorder="1" applyProtection="1">
      <alignment horizontal="general" vertical="top" wrapText="1"/>
    </xf>
    <xf numFmtId="0" fontId="278" fillId="5" borderId="1" xfId="0" applyFont="1" applyFill="1" applyBorder="1" applyProtection="1">
      <alignment horizontal="general" vertical="top" wrapText="1"/>
    </xf>
    <xf numFmtId="0" fontId="279" fillId="5" borderId="1" xfId="0" applyFont="1" applyFill="1" applyBorder="1" applyProtection="1">
      <alignment horizontal="general" vertical="top" wrapText="1"/>
    </xf>
    <xf numFmtId="0" fontId="280" fillId="5" borderId="1" xfId="0" applyFont="1" applyFill="1" applyBorder="1" applyProtection="1">
      <alignment horizontal="general" vertical="top" wrapText="1"/>
    </xf>
    <xf numFmtId="0" fontId="281" fillId="5" borderId="1" xfId="0" applyFont="1" applyFill="1" applyBorder="1" applyProtection="1">
      <alignment horizontal="general" vertical="center" wrapText="1"/>
    </xf>
    <xf numFmtId="0" fontId="282" fillId="0" borderId="1" xfId="0" applyFont="1" applyBorder="1" applyProtection="1">
      <alignment horizontal="general" vertical="top" wrapText="1"/>
    </xf>
    <xf numFmtId="0" fontId="283" fillId="0" borderId="1" xfId="0" applyFont="1" applyBorder="1" applyProtection="1">
      <alignment horizontal="general" vertical="top" wrapText="1"/>
    </xf>
    <xf numFmtId="0" fontId="284" fillId="0" borderId="1" xfId="0" applyFont="1" applyBorder="1" applyProtection="1">
      <alignment horizontal="general" vertical="top" wrapText="1"/>
    </xf>
    <xf numFmtId="0" fontId="285" fillId="0" borderId="1" xfId="0" applyFont="1" applyBorder="1" applyProtection="1">
      <alignment horizontal="general" vertical="top" wrapText="1"/>
    </xf>
    <xf numFmtId="0" fontId="286" fillId="0" borderId="1" xfId="0" applyFont="1" applyBorder="1" applyProtection="1">
      <alignment horizontal="general" vertical="center" wrapText="1"/>
    </xf>
    <xf numFmtId="0" fontId="287" fillId="5" borderId="1" xfId="0" applyFont="1" applyFill="1" applyBorder="1" applyProtection="1">
      <alignment horizontal="general" vertical="top" wrapText="1"/>
    </xf>
    <xf numFmtId="0" fontId="288" fillId="5" borderId="1" xfId="0" applyFont="1" applyFill="1" applyBorder="1" applyProtection="1">
      <alignment horizontal="general" vertical="top" wrapText="1"/>
    </xf>
    <xf numFmtId="0" fontId="289" fillId="5" borderId="1" xfId="0" applyFont="1" applyFill="1" applyBorder="1" applyProtection="1">
      <alignment horizontal="general" vertical="top" wrapText="1"/>
    </xf>
    <xf numFmtId="0" fontId="290" fillId="5" borderId="1" xfId="0" applyFont="1" applyFill="1" applyBorder="1" applyProtection="1">
      <alignment horizontal="left" vertical="center" wrapText="1"/>
    </xf>
    <xf numFmtId="0" fontId="291" fillId="5" borderId="1" xfId="0" applyFont="1" applyFill="1" applyBorder="1" applyProtection="1">
      <alignment horizontal="general" vertical="center" wrapText="1"/>
    </xf>
    <xf numFmtId="0" fontId="292" fillId="0" borderId="1" xfId="0" applyFont="1" applyBorder="1" applyProtection="1">
      <alignment horizontal="general" vertical="top" wrapText="1"/>
    </xf>
    <xf numFmtId="0" fontId="293" fillId="0" borderId="1" xfId="0" applyFont="1" applyBorder="1" applyProtection="1">
      <alignment horizontal="general" vertical="top" wrapText="1"/>
    </xf>
    <xf numFmtId="0" fontId="294" fillId="0" borderId="1" xfId="0" applyFont="1" applyBorder="1" applyProtection="1">
      <alignment horizontal="general" vertical="top" wrapText="1"/>
    </xf>
    <xf numFmtId="0" fontId="295" fillId="0" borderId="1" xfId="0" applyFont="1" applyBorder="1" applyProtection="1">
      <alignment horizontal="general" vertical="top" wrapText="1"/>
    </xf>
    <xf numFmtId="0" fontId="296" fillId="0" borderId="1" xfId="0" applyFont="1" applyBorder="1" applyProtection="1">
      <alignment horizontal="general" vertical="center" wrapText="1"/>
    </xf>
    <xf numFmtId="0" fontId="297" fillId="0" borderId="1" xfId="0" applyFont="1" applyBorder="1" applyProtection="1">
      <alignment horizontal="center" vertical="center" wrapText="1"/>
    </xf>
    <xf numFmtId="0" fontId="298" fillId="5" borderId="1" xfId="0" applyFont="1" applyFill="1" applyBorder="1" applyProtection="1">
      <alignment horizontal="general" vertical="top" wrapText="1"/>
    </xf>
    <xf numFmtId="0" fontId="299" fillId="5" borderId="1" xfId="0" applyFont="1" applyFill="1" applyBorder="1" applyProtection="1">
      <alignment horizontal="general" vertical="top" wrapText="1"/>
    </xf>
    <xf numFmtId="0" fontId="300" fillId="5" borderId="1" xfId="0" applyFont="1" applyFill="1" applyBorder="1" applyProtection="1">
      <alignment horizontal="general" vertical="top" wrapText="1"/>
    </xf>
    <xf numFmtId="0" fontId="301" fillId="5" borderId="1" xfId="0" applyFont="1" applyFill="1" applyBorder="1" applyProtection="1">
      <alignment horizontal="general" vertical="top" wrapText="1"/>
    </xf>
    <xf numFmtId="0" fontId="302" fillId="5" borderId="1" xfId="0" applyFont="1" applyFill="1" applyBorder="1" applyProtection="1">
      <alignment horizontal="general" vertical="center" wrapText="1"/>
    </xf>
  </cellXfs>
  <cellStyles count="2">
    <cellStyle name="常规" xfId="0" builtinId="0"/>
    <cellStyle name="超链接" xfId="1" builtinId="8"/>
  </cellStyles>
  <dxfs count="1">
    <dxf>
      <fill>
        <patternFill>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7" Type="http://schemas.openxmlformats.org/officeDocument/2006/relationships/theme" Target="theme/theme1.xml"/><Relationship Id="rId2" Type="http://schemas.openxmlformats.org/officeDocument/2006/relationships/worksheet" Target="worksheets/sheet2.xml"/><Relationship Id="rId4" Type="http://schemas.openxmlformats.org/officeDocument/2006/relationships/worksheet" Target="worksheets/sheet4.xml"/><Relationship Id="rId6" Type="http://schemas.openxmlformats.org/officeDocument/2006/relationships/styles" Target="styles.xml"/></Relationships>
</file>

<file path=xl/tables/table1.xml><?xml version="1.0" encoding="utf-8"?>
<table xmlns="http://schemas.openxmlformats.org/spreadsheetml/2006/main" id="1" name="BLAActionTracker" displayName="BLAActionTracker" ref="B1:P56" totalsRowShown="0">
  <autoFilter ref="B1:P56"/>
  <tableColumns count="15">
    <tableColumn id="1" name="Category_x000a_类别" totalsRowFunction="custom"/>
    <tableColumn id="2" name="Action Item_x000a_行动项" totalsRowFunction="custom"/>
    <tableColumn id="3" name="Implemintaton Timing_x000a_实施时机" totalsRowFunction="custom"/>
    <tableColumn id="4" name="Implementation Effort_x000a_实施工作量" totalsRowFunction="custom"/>
    <tableColumn id="5" name="Proposed target completion date " totalsRowFunction="custom"/>
    <tableColumn id="6" name="Existing approach" totalsRowFunction="custom"/>
    <tableColumn id="7" name="Action Plan" totalsRowFunction="custom"/>
    <tableColumn id="8" name="Questions" totalsRowFunction="custom"/>
    <tableColumn id="9" name="Scope_x000a_范围" totalsRowFunction="custom"/>
    <tableColumn id="10" name="Status_x000a_状态" totalsRowFunction="custom"/>
    <tableColumn id="11" name="Notes_x000a_备注" totalsRowFunction="custom"/>
    <tableColumn id="12" name="牵头负责人" totalsRowFunction="custom"/>
    <tableColumn id="13" name="QA对接人" totalsRowFunction="custom"/>
    <tableColumn id="14" name="完成时间" totalsRowFunction="custom"/>
    <tableColumn id="15" name="Asymchem内部分类" totalsRowFunction="cust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zoomScale="55" zoomScaleNormal="55" showGridLines="0">
      <pane topLeftCell="A2" activePane="bottomRight" state="frozen" ySplit="1"/>
    </sheetView>
  </sheetViews>
  <sheetFormatPr baseColWidth="10" defaultColWidth="9" defaultRowHeight="14.002500000000003" customHeight="1"/>
  <cols>
    <col min="1" max="1" width="12.9990234375" hidden="1" customWidth="1" style="5"/>
    <col min="2" max="2" width="10.5" customWidth="1" style="5"/>
    <col min="3" max="3" width="85.998046875" customWidth="1" style="5"/>
    <col min="4" max="4" width="13.6640625" customWidth="1" style="5"/>
    <col min="5" max="5" width="16.5" customWidth="1" style="5"/>
    <col min="6" max="6" width="19.8310546875" customWidth="1" style="263"/>
    <col min="7" max="7" width="31.6640625" customWidth="1" style="263"/>
    <col min="8" max="8" width="33" customWidth="1" style="263"/>
    <col min="9" max="9" width="25.6640625" customWidth="1" style="263"/>
    <col min="10" max="10" width="12.2900390625" customWidth="1" style="263"/>
    <col min="11" max="11" width="13.623046875" customWidth="1" style="5"/>
    <col min="12" max="12" width="41.4990234375" customWidth="1" style="5"/>
    <col min="13" max="13" width="20.8330078125" customWidth="1" style="6"/>
    <col min="14" max="14" width="15.3310546875" customWidth="1" style="6"/>
    <col min="15" max="15" width="16.8310546875" customWidth="1" style="7"/>
    <col min="16" max="16" width="13.6640625" customWidth="1" style="7"/>
  </cols>
  <sheetData>
    <row r="1" ht="49.5" customHeight="1">
      <c r="A1" s="269" t="s">
        <v>0</v>
      </c>
      <c r="B1" s="270" t="s">
        <v>1</v>
      </c>
      <c r="C1" s="271" t="s">
        <v>2</v>
      </c>
      <c r="D1" s="272" t="s">
        <v>3</v>
      </c>
      <c r="E1" s="273" t="s">
        <v>4</v>
      </c>
      <c r="F1" s="8" t="s">
        <v>5</v>
      </c>
      <c r="G1" s="8" t="s">
        <v>6</v>
      </c>
      <c r="H1" s="8" t="s">
        <v>7</v>
      </c>
      <c r="I1" s="8" t="s">
        <v>8</v>
      </c>
      <c r="J1" s="274" t="s">
        <v>9</v>
      </c>
      <c r="K1" s="275" t="s">
        <v>10</v>
      </c>
      <c r="L1" s="276" t="s">
        <v>11</v>
      </c>
      <c r="M1" s="9" t="s">
        <v>12</v>
      </c>
      <c r="N1" s="9" t="s">
        <v>13</v>
      </c>
      <c r="O1" s="10" t="s">
        <v>14</v>
      </c>
      <c r="P1" s="9" t="s">
        <v>15</v>
      </c>
    </row>
    <row r="2" ht="159" customHeight="1">
      <c r="A2" s="11" t="n">
        <v>1</v>
      </c>
      <c r="B2" s="277" t="s">
        <v>16</v>
      </c>
      <c r="C2" s="278" t="s">
        <v>17</v>
      </c>
      <c r="D2" s="279" t="s">
        <v>18</v>
      </c>
      <c r="E2" s="280" t="s">
        <v>19</v>
      </c>
      <c r="F2" s="281" t="s">
        <v>20</v>
      </c>
      <c r="G2" s="264"/>
      <c r="H2" s="264"/>
      <c r="I2" s="264"/>
      <c r="J2" s="282" t="s">
        <v>21</v>
      </c>
      <c r="K2" s="266" t="s">
        <v>22</v>
      </c>
      <c r="L2" s="283" t="s">
        <v>23</v>
      </c>
      <c r="M2" s="16" t="s">
        <v>24</v>
      </c>
      <c r="N2" s="16" t="s">
        <v>25</v>
      </c>
      <c r="O2" s="17"/>
      <c r="P2" s="17" t="s">
        <v>26</v>
      </c>
    </row>
    <row r="3" ht="45.65" customHeight="1">
      <c r="A3" s="18" t="n">
        <v>2</v>
      </c>
      <c r="B3" s="284" t="s">
        <v>27</v>
      </c>
      <c r="C3" s="285" t="s">
        <v>28</v>
      </c>
      <c r="D3" s="286" t="s">
        <v>29</v>
      </c>
      <c r="E3" s="287" t="s">
        <v>30</v>
      </c>
      <c r="F3" s="265" t="s">
        <v>31</v>
      </c>
      <c r="G3" s="265" t="s">
        <v>32</v>
      </c>
      <c r="H3" s="265" t="s">
        <v>32</v>
      </c>
      <c r="I3" s="265" t="s">
        <v>32</v>
      </c>
      <c r="J3" s="288" t="s">
        <v>33</v>
      </c>
      <c r="K3" s="267" t="s">
        <v>34</v>
      </c>
      <c r="L3" s="19"/>
      <c r="M3" s="6" t="s">
        <v>24</v>
      </c>
      <c r="N3" s="6" t="s">
        <v>32</v>
      </c>
      <c r="P3" s="7" t="s">
        <v>35</v>
      </c>
    </row>
    <row r="4" ht="43.25" customHeight="1">
      <c r="A4" s="18" t="n">
        <v>3</v>
      </c>
      <c r="B4" s="289" t="s">
        <v>27</v>
      </c>
      <c r="C4" s="290" t="s">
        <v>36</v>
      </c>
      <c r="D4" s="291" t="s">
        <v>29</v>
      </c>
      <c r="E4" s="292" t="s">
        <v>30</v>
      </c>
      <c r="F4" s="262" t="n">
        <v>46295</v>
      </c>
      <c r="G4" s="264" t="s">
        <v>32</v>
      </c>
      <c r="H4" s="264" t="s">
        <v>37</v>
      </c>
      <c r="I4" s="264" t="s">
        <v>32</v>
      </c>
      <c r="J4" s="293" t="s">
        <v>33</v>
      </c>
      <c r="K4" s="266" t="s">
        <v>22</v>
      </c>
      <c r="L4" s="14"/>
      <c r="M4" s="16" t="s">
        <v>38</v>
      </c>
      <c r="N4" s="16" t="s">
        <v>32</v>
      </c>
      <c r="O4" s="17"/>
      <c r="P4" s="17" t="s">
        <v>35</v>
      </c>
    </row>
    <row r="5" ht="84.65" customHeight="1">
      <c r="A5" s="18" t="n">
        <v>4</v>
      </c>
      <c r="B5" s="12" t="s">
        <v>39</v>
      </c>
      <c r="C5" s="294" t="s">
        <v>40</v>
      </c>
      <c r="D5" s="295" t="s">
        <v>18</v>
      </c>
      <c r="E5" s="296" t="s">
        <v>41</v>
      </c>
      <c r="F5" s="297" t="s">
        <v>42</v>
      </c>
      <c r="G5" s="24" t="s">
        <v>43</v>
      </c>
      <c r="H5" s="24" t="s">
        <v>44</v>
      </c>
      <c r="I5" s="24" t="s">
        <v>45</v>
      </c>
      <c r="J5" s="298" t="s">
        <v>21</v>
      </c>
      <c r="K5" s="267" t="s">
        <v>22</v>
      </c>
      <c r="L5" s="19"/>
      <c r="M5" s="299" t="s">
        <v>46</v>
      </c>
      <c r="N5" s="6" t="s">
        <v>47</v>
      </c>
      <c r="P5" s="7" t="s">
        <v>48</v>
      </c>
    </row>
    <row r="6" ht="69.65" customHeight="1">
      <c r="A6" s="18" t="n">
        <v>5</v>
      </c>
      <c r="B6" s="300" t="s">
        <v>27</v>
      </c>
      <c r="C6" s="13" t="s">
        <v>49</v>
      </c>
      <c r="D6" s="301" t="s">
        <v>50</v>
      </c>
      <c r="E6" s="302" t="s">
        <v>41</v>
      </c>
      <c r="F6" s="25" t="s">
        <v>51</v>
      </c>
      <c r="G6" s="25" t="s">
        <v>52</v>
      </c>
      <c r="H6" s="25" t="s">
        <v>53</v>
      </c>
      <c r="I6" s="25" t="s">
        <v>32</v>
      </c>
      <c r="J6" s="303" t="s">
        <v>21</v>
      </c>
      <c r="K6" s="268" t="s">
        <v>22</v>
      </c>
      <c r="L6" s="304" t="s">
        <v>54</v>
      </c>
      <c r="M6" s="16" t="s">
        <v>55</v>
      </c>
      <c r="N6" s="16" t="s">
        <v>32</v>
      </c>
      <c r="O6" s="17"/>
      <c r="P6" s="17" t="s">
        <v>48</v>
      </c>
    </row>
    <row r="7" ht="41.25" customHeight="1">
      <c r="A7" s="18" t="n">
        <v>6</v>
      </c>
      <c r="B7" s="305" t="s">
        <v>27</v>
      </c>
      <c r="C7" s="306" t="s">
        <v>56</v>
      </c>
      <c r="D7" s="307" t="s">
        <v>29</v>
      </c>
      <c r="E7" s="308" t="s">
        <v>30</v>
      </c>
      <c r="F7" s="24" t="s">
        <v>57</v>
      </c>
      <c r="G7" s="24" t="s">
        <v>32</v>
      </c>
      <c r="H7" s="24" t="s">
        <v>58</v>
      </c>
      <c r="I7" s="24" t="s">
        <v>32</v>
      </c>
      <c r="J7" s="309" t="s">
        <v>33</v>
      </c>
      <c r="K7" s="267" t="s">
        <v>22</v>
      </c>
      <c r="L7" s="310" t="s">
        <v>59</v>
      </c>
      <c r="M7" s="311" t="s">
        <v>60</v>
      </c>
      <c r="N7" s="6" t="s">
        <v>61</v>
      </c>
      <c r="P7" s="7" t="s">
        <v>48</v>
      </c>
    </row>
    <row r="8" ht="51.65" customHeight="1">
      <c r="A8" s="18" t="n">
        <v>7</v>
      </c>
      <c r="B8" s="312" t="s">
        <v>27</v>
      </c>
      <c r="C8" s="313" t="s">
        <v>62</v>
      </c>
      <c r="D8" s="314" t="s">
        <v>29</v>
      </c>
      <c r="E8" s="315" t="s">
        <v>30</v>
      </c>
      <c r="F8" s="25" t="s">
        <v>63</v>
      </c>
      <c r="G8" s="25" t="s">
        <v>64</v>
      </c>
      <c r="H8" s="25" t="s">
        <v>65</v>
      </c>
      <c r="I8" s="25"/>
      <c r="J8" s="316" t="s">
        <v>33</v>
      </c>
      <c r="K8" s="266" t="s">
        <v>22</v>
      </c>
      <c r="L8" s="317" t="s">
        <v>66</v>
      </c>
      <c r="M8" s="16" t="s">
        <v>24</v>
      </c>
      <c r="N8" s="16" t="s">
        <v>61</v>
      </c>
      <c r="O8" s="17"/>
      <c r="P8" s="17" t="s">
        <v>35</v>
      </c>
    </row>
    <row r="9" ht="54.75" customHeight="1">
      <c r="A9" s="18" t="n">
        <v>8</v>
      </c>
      <c r="B9" s="318" t="s">
        <v>27</v>
      </c>
      <c r="C9" s="319" t="s">
        <v>67</v>
      </c>
      <c r="D9" s="320" t="s">
        <v>18</v>
      </c>
      <c r="E9" s="321" t="s">
        <v>41</v>
      </c>
      <c r="F9" s="24" t="s">
        <v>68</v>
      </c>
      <c r="G9" s="24"/>
      <c r="H9" s="24" t="s">
        <v>69</v>
      </c>
      <c r="I9" s="24"/>
      <c r="J9" s="322" t="s">
        <v>21</v>
      </c>
      <c r="K9" s="267" t="s">
        <v>22</v>
      </c>
      <c r="L9" s="19"/>
      <c r="M9" s="6" t="s">
        <v>24</v>
      </c>
      <c r="N9" s="6" t="s">
        <v>32</v>
      </c>
      <c r="P9" s="7" t="s">
        <v>35</v>
      </c>
    </row>
    <row r="10" ht="88.74999999999999" customHeight="1">
      <c r="A10" s="11" t="n">
        <v>9</v>
      </c>
      <c r="B10" s="14" t="s">
        <v>39</v>
      </c>
      <c r="C10" s="323" t="s">
        <v>70</v>
      </c>
      <c r="D10" s="324" t="s">
        <v>18</v>
      </c>
      <c r="E10" s="325" t="s">
        <v>41</v>
      </c>
      <c r="F10" s="257" t="s">
        <v>71</v>
      </c>
      <c r="G10" s="25"/>
      <c r="H10" s="25" t="s">
        <v>72</v>
      </c>
      <c r="I10" s="25" t="s">
        <v>73</v>
      </c>
      <c r="J10" s="326" t="s">
        <v>21</v>
      </c>
      <c r="K10" s="266" t="s">
        <v>22</v>
      </c>
      <c r="L10" s="14"/>
      <c r="M10" s="327" t="s">
        <v>74</v>
      </c>
      <c r="N10" s="16" t="s">
        <v>47</v>
      </c>
      <c r="O10" s="17"/>
      <c r="P10" s="17" t="s">
        <v>75</v>
      </c>
    </row>
    <row r="11" ht="68.25" customHeight="1">
      <c r="A11" s="18" t="n">
        <v>10</v>
      </c>
      <c r="B11" s="328" t="s">
        <v>27</v>
      </c>
      <c r="C11" s="329" t="s">
        <v>76</v>
      </c>
      <c r="D11" s="330" t="s">
        <v>50</v>
      </c>
      <c r="E11" s="331" t="s">
        <v>30</v>
      </c>
      <c r="F11" s="24" t="s">
        <v>51</v>
      </c>
      <c r="G11" s="24" t="s">
        <v>77</v>
      </c>
      <c r="H11" s="24" t="s">
        <v>78</v>
      </c>
      <c r="I11" s="24" t="s">
        <v>32</v>
      </c>
      <c r="J11" s="332" t="s">
        <v>21</v>
      </c>
      <c r="K11" s="267" t="s">
        <v>22</v>
      </c>
      <c r="L11" s="333" t="s">
        <v>79</v>
      </c>
      <c r="M11" s="6" t="s">
        <v>80</v>
      </c>
      <c r="N11" s="6" t="s">
        <v>81</v>
      </c>
      <c r="P11" s="7" t="s">
        <v>82</v>
      </c>
    </row>
    <row r="12" ht="84.65" customHeight="1">
      <c r="A12" s="18" t="n">
        <v>11</v>
      </c>
      <c r="B12" s="334" t="s">
        <v>16</v>
      </c>
      <c r="C12" s="335" t="s">
        <v>83</v>
      </c>
      <c r="D12" s="336" t="s">
        <v>18</v>
      </c>
      <c r="E12" s="337" t="s">
        <v>30</v>
      </c>
      <c r="F12" s="25" t="s">
        <v>51</v>
      </c>
      <c r="G12" s="25" t="s">
        <v>32</v>
      </c>
      <c r="H12" s="25" t="s">
        <v>84</v>
      </c>
      <c r="I12" s="25" t="s">
        <v>32</v>
      </c>
      <c r="J12" s="338" t="s">
        <v>21</v>
      </c>
      <c r="K12" s="266" t="s">
        <v>22</v>
      </c>
      <c r="L12" s="14"/>
      <c r="M12" s="16" t="s">
        <v>85</v>
      </c>
      <c r="N12" s="16" t="s">
        <v>81</v>
      </c>
      <c r="O12" s="17"/>
      <c r="P12" s="17" t="s">
        <v>26</v>
      </c>
    </row>
    <row r="13" ht="97.75" customHeight="1">
      <c r="A13" s="18" t="n">
        <v>12</v>
      </c>
      <c r="B13" s="339" t="s">
        <v>16</v>
      </c>
      <c r="C13" s="340" t="s">
        <v>86</v>
      </c>
      <c r="D13" s="341" t="s">
        <v>29</v>
      </c>
      <c r="E13" s="342" t="s">
        <v>41</v>
      </c>
      <c r="F13" s="258" t="s">
        <v>87</v>
      </c>
      <c r="G13" s="24"/>
      <c r="H13" s="24" t="s">
        <v>88</v>
      </c>
      <c r="I13" s="24" t="s">
        <v>32</v>
      </c>
      <c r="J13" s="343" t="s">
        <v>21</v>
      </c>
      <c r="K13" s="267" t="s">
        <v>22</v>
      </c>
      <c r="L13" s="344" t="s">
        <v>89</v>
      </c>
      <c r="M13" s="345" t="s">
        <v>90</v>
      </c>
      <c r="N13" s="6" t="s">
        <v>25</v>
      </c>
      <c r="P13" s="7" t="s">
        <v>26</v>
      </c>
    </row>
    <row r="14" ht="56.4" customHeight="1">
      <c r="A14" s="18" t="n">
        <v>13</v>
      </c>
      <c r="B14" s="14" t="s">
        <v>39</v>
      </c>
      <c r="C14" s="346" t="s">
        <v>91</v>
      </c>
      <c r="D14" s="347" t="s">
        <v>18</v>
      </c>
      <c r="E14" s="348" t="s">
        <v>41</v>
      </c>
      <c r="F14" s="349" t="s">
        <v>92</v>
      </c>
      <c r="G14" s="25" t="s">
        <v>93</v>
      </c>
      <c r="H14" s="25" t="s">
        <v>94</v>
      </c>
      <c r="I14" s="25" t="s">
        <v>95</v>
      </c>
      <c r="J14" s="350" t="s">
        <v>21</v>
      </c>
      <c r="K14" s="266" t="s">
        <v>22</v>
      </c>
      <c r="L14" s="351" t="s">
        <v>96</v>
      </c>
      <c r="M14" s="16" t="s">
        <v>24</v>
      </c>
      <c r="N14" s="16" t="s">
        <v>97</v>
      </c>
      <c r="O14" s="17"/>
      <c r="P14" s="17" t="s">
        <v>35</v>
      </c>
    </row>
    <row r="15" ht="54.75" customHeight="1">
      <c r="A15" s="18" t="n">
        <v>14</v>
      </c>
      <c r="B15" s="352" t="s">
        <v>98</v>
      </c>
      <c r="C15" s="353" t="s">
        <v>99</v>
      </c>
      <c r="D15" s="354" t="s">
        <v>18</v>
      </c>
      <c r="E15" s="355" t="s">
        <v>41</v>
      </c>
      <c r="F15" s="260" t="s">
        <v>100</v>
      </c>
      <c r="G15" s="260" t="s">
        <v>101</v>
      </c>
      <c r="H15" s="260" t="s">
        <v>102</v>
      </c>
      <c r="I15" s="260" t="s">
        <v>103</v>
      </c>
      <c r="J15" s="265" t="s">
        <v>104</v>
      </c>
      <c r="K15" s="267" t="s">
        <v>105</v>
      </c>
      <c r="L15" s="19"/>
      <c r="M15" s="6" t="s">
        <v>106</v>
      </c>
      <c r="N15" s="6" t="s">
        <v>32</v>
      </c>
      <c r="P15" s="7" t="s">
        <v>107</v>
      </c>
    </row>
    <row r="16" ht="54.75" customHeight="1">
      <c r="A16" s="18" t="n">
        <v>15</v>
      </c>
      <c r="B16" s="356" t="s">
        <v>98</v>
      </c>
      <c r="C16" s="357" t="s">
        <v>108</v>
      </c>
      <c r="D16" s="358" t="s">
        <v>18</v>
      </c>
      <c r="E16" s="359" t="s">
        <v>41</v>
      </c>
      <c r="F16" s="261" t="s">
        <v>32</v>
      </c>
      <c r="G16" s="261" t="s">
        <v>109</v>
      </c>
      <c r="H16" s="261" t="s">
        <v>110</v>
      </c>
      <c r="I16" s="261" t="s">
        <v>32</v>
      </c>
      <c r="J16" s="264" t="s">
        <v>104</v>
      </c>
      <c r="K16" s="266" t="s">
        <v>34</v>
      </c>
      <c r="L16" s="14"/>
      <c r="M16" s="16" t="s">
        <v>106</v>
      </c>
      <c r="N16" s="16" t="s">
        <v>32</v>
      </c>
      <c r="O16" s="17"/>
      <c r="P16" s="17" t="s">
        <v>107</v>
      </c>
    </row>
    <row r="17" ht="67.74999999999999" customHeight="1">
      <c r="A17" s="18" t="n">
        <v>16</v>
      </c>
      <c r="B17" s="360" t="s">
        <v>98</v>
      </c>
      <c r="C17" s="361" t="s">
        <v>111</v>
      </c>
      <c r="D17" s="362" t="s">
        <v>18</v>
      </c>
      <c r="E17" s="363" t="s">
        <v>30</v>
      </c>
      <c r="F17" s="260" t="s">
        <v>32</v>
      </c>
      <c r="G17" s="260" t="s">
        <v>112</v>
      </c>
      <c r="H17" s="260" t="s">
        <v>113</v>
      </c>
      <c r="I17" s="260" t="s">
        <v>32</v>
      </c>
      <c r="J17" s="265" t="s">
        <v>104</v>
      </c>
      <c r="K17" s="267" t="s">
        <v>34</v>
      </c>
      <c r="L17" s="19"/>
      <c r="M17" s="6" t="s">
        <v>106</v>
      </c>
      <c r="N17" s="6" t="s">
        <v>32</v>
      </c>
      <c r="P17" s="7" t="s">
        <v>107</v>
      </c>
    </row>
    <row r="18" ht="87" customHeight="1">
      <c r="A18" s="18" t="n">
        <v>17</v>
      </c>
      <c r="B18" s="364" t="s">
        <v>98</v>
      </c>
      <c r="C18" s="365" t="s">
        <v>114</v>
      </c>
      <c r="D18" s="366" t="s">
        <v>18</v>
      </c>
      <c r="E18" s="367" t="s">
        <v>30</v>
      </c>
      <c r="F18" s="261" t="s">
        <v>32</v>
      </c>
      <c r="G18" s="261" t="s">
        <v>115</v>
      </c>
      <c r="H18" s="261" t="s">
        <v>116</v>
      </c>
      <c r="I18" s="261" t="s">
        <v>32</v>
      </c>
      <c r="J18" s="264" t="s">
        <v>104</v>
      </c>
      <c r="K18" s="266" t="s">
        <v>34</v>
      </c>
      <c r="L18" s="368" t="s">
        <v>117</v>
      </c>
      <c r="M18" s="16" t="s">
        <v>106</v>
      </c>
      <c r="N18" s="16" t="s">
        <v>32</v>
      </c>
      <c r="O18" s="17"/>
      <c r="P18" s="17" t="s">
        <v>107</v>
      </c>
    </row>
    <row r="19" ht="59.5" customHeight="1">
      <c r="A19" s="18" t="n">
        <v>18</v>
      </c>
      <c r="B19" s="369" t="s">
        <v>98</v>
      </c>
      <c r="C19" s="370" t="s">
        <v>118</v>
      </c>
      <c r="D19" s="371" t="s">
        <v>18</v>
      </c>
      <c r="E19" s="372" t="s">
        <v>30</v>
      </c>
      <c r="F19" s="260" t="s">
        <v>32</v>
      </c>
      <c r="G19" s="260" t="s">
        <v>119</v>
      </c>
      <c r="H19" s="260" t="s">
        <v>32</v>
      </c>
      <c r="I19" s="260" t="s">
        <v>32</v>
      </c>
      <c r="J19" s="265" t="s">
        <v>104</v>
      </c>
      <c r="K19" s="267" t="s">
        <v>34</v>
      </c>
      <c r="L19" s="19"/>
      <c r="M19" s="6" t="s">
        <v>106</v>
      </c>
      <c r="N19" s="6" t="s">
        <v>32</v>
      </c>
      <c r="P19" s="7" t="s">
        <v>107</v>
      </c>
    </row>
    <row r="20" ht="75.99999999999999" customHeight="1">
      <c r="A20" s="18" t="n">
        <v>19</v>
      </c>
      <c r="B20" s="373" t="s">
        <v>98</v>
      </c>
      <c r="C20" s="374" t="s">
        <v>120</v>
      </c>
      <c r="D20" s="375" t="s">
        <v>18</v>
      </c>
      <c r="E20" s="376" t="s">
        <v>30</v>
      </c>
      <c r="F20" s="25" t="s">
        <v>121</v>
      </c>
      <c r="G20" s="25" t="s">
        <v>122</v>
      </c>
      <c r="H20" s="25" t="s">
        <v>123</v>
      </c>
      <c r="I20" s="25"/>
      <c r="J20" s="377" t="s">
        <v>21</v>
      </c>
      <c r="K20" s="266" t="s">
        <v>22</v>
      </c>
      <c r="L20" s="378" t="s">
        <v>124</v>
      </c>
      <c r="M20" s="16" t="s">
        <v>125</v>
      </c>
      <c r="N20" s="16" t="s">
        <v>126</v>
      </c>
      <c r="O20" s="17"/>
      <c r="P20" s="17" t="s">
        <v>127</v>
      </c>
    </row>
    <row r="21" ht="52.75" customHeight="1">
      <c r="A21" s="18" t="n">
        <v>20</v>
      </c>
      <c r="B21" s="379" t="s">
        <v>98</v>
      </c>
      <c r="C21" s="380" t="s">
        <v>128</v>
      </c>
      <c r="D21" s="381" t="s">
        <v>18</v>
      </c>
      <c r="E21" s="382" t="s">
        <v>19</v>
      </c>
      <c r="F21" s="27" t="n">
        <v>46435</v>
      </c>
      <c r="G21" s="260" t="s">
        <v>129</v>
      </c>
      <c r="H21" s="260" t="s">
        <v>130</v>
      </c>
      <c r="I21" s="260" t="s">
        <v>131</v>
      </c>
      <c r="J21" s="383" t="s">
        <v>21</v>
      </c>
      <c r="K21" s="267" t="s">
        <v>22</v>
      </c>
      <c r="L21" s="19"/>
      <c r="M21" s="6" t="s">
        <v>132</v>
      </c>
      <c r="N21" s="6" t="s">
        <v>47</v>
      </c>
      <c r="P21" s="7" t="s">
        <v>127</v>
      </c>
    </row>
    <row r="22" ht="76.5" customHeight="1">
      <c r="A22" s="18" t="n">
        <v>21</v>
      </c>
      <c r="B22" s="384" t="s">
        <v>98</v>
      </c>
      <c r="C22" s="385" t="s">
        <v>133</v>
      </c>
      <c r="D22" s="386" t="s">
        <v>18</v>
      </c>
      <c r="E22" s="387" t="s">
        <v>41</v>
      </c>
      <c r="F22" s="25" t="s">
        <v>71</v>
      </c>
      <c r="G22" s="25" t="s">
        <v>134</v>
      </c>
      <c r="H22" s="25" t="s">
        <v>135</v>
      </c>
      <c r="I22" s="25"/>
      <c r="J22" s="388" t="s">
        <v>21</v>
      </c>
      <c r="K22" s="266" t="s">
        <v>22</v>
      </c>
      <c r="L22" s="14"/>
      <c r="M22" s="16" t="s">
        <v>136</v>
      </c>
      <c r="N22" s="16" t="s">
        <v>97</v>
      </c>
      <c r="O22" s="17"/>
      <c r="P22" s="17" t="s">
        <v>75</v>
      </c>
    </row>
    <row r="23" ht="55.25" customHeight="1">
      <c r="A23" s="22" t="n">
        <v>22</v>
      </c>
      <c r="B23" s="19" t="s">
        <v>39</v>
      </c>
      <c r="C23" s="389" t="s">
        <v>137</v>
      </c>
      <c r="D23" s="390" t="s">
        <v>50</v>
      </c>
      <c r="E23" s="391" t="s">
        <v>19</v>
      </c>
      <c r="F23" s="27" t="n">
        <v>46315</v>
      </c>
      <c r="G23" s="24"/>
      <c r="H23" s="24" t="s">
        <v>138</v>
      </c>
      <c r="I23" s="24"/>
      <c r="J23" s="392" t="s">
        <v>21</v>
      </c>
      <c r="K23" s="267" t="s">
        <v>22</v>
      </c>
      <c r="L23" s="19"/>
      <c r="M23" s="393" t="s">
        <v>139</v>
      </c>
      <c r="N23" s="6" t="s">
        <v>47</v>
      </c>
      <c r="P23" s="7" t="s">
        <v>75</v>
      </c>
    </row>
    <row r="24" ht="84.65" customHeight="1">
      <c r="A24" s="18" t="n">
        <v>23</v>
      </c>
      <c r="B24" s="14" t="s">
        <v>39</v>
      </c>
      <c r="C24" s="394" t="s">
        <v>140</v>
      </c>
      <c r="D24" s="395" t="s">
        <v>18</v>
      </c>
      <c r="E24" s="396" t="s">
        <v>41</v>
      </c>
      <c r="F24" s="25" t="s">
        <v>71</v>
      </c>
      <c r="G24" s="25" t="s">
        <v>141</v>
      </c>
      <c r="H24" s="25" t="s">
        <v>142</v>
      </c>
      <c r="I24" s="25"/>
      <c r="J24" s="397" t="s">
        <v>21</v>
      </c>
      <c r="K24" s="266" t="s">
        <v>22</v>
      </c>
      <c r="L24" s="14"/>
      <c r="M24" s="16" t="s">
        <v>61</v>
      </c>
      <c r="N24" s="16"/>
      <c r="O24" s="17"/>
      <c r="P24" s="17" t="s">
        <v>143</v>
      </c>
    </row>
    <row r="25" ht="54.75" customHeight="1">
      <c r="A25" s="18" t="n">
        <v>24</v>
      </c>
      <c r="B25" s="398" t="s">
        <v>27</v>
      </c>
      <c r="C25" s="399" t="s">
        <v>144</v>
      </c>
      <c r="D25" s="400" t="s">
        <v>50</v>
      </c>
      <c r="E25" s="401" t="s">
        <v>41</v>
      </c>
      <c r="F25" s="24" t="s">
        <v>71</v>
      </c>
      <c r="G25" s="24" t="s">
        <v>145</v>
      </c>
      <c r="H25" s="24" t="s">
        <v>146</v>
      </c>
      <c r="I25" s="24"/>
      <c r="J25" s="402" t="s">
        <v>33</v>
      </c>
      <c r="K25" s="267" t="s">
        <v>22</v>
      </c>
      <c r="L25" s="403" t="s">
        <v>147</v>
      </c>
      <c r="M25" s="6" t="s">
        <v>80</v>
      </c>
      <c r="N25" s="6" t="s">
        <v>81</v>
      </c>
      <c r="P25" s="7" t="s">
        <v>82</v>
      </c>
    </row>
    <row r="26" ht="78.99999999999999" customHeight="1">
      <c r="A26" s="18" t="n">
        <v>25</v>
      </c>
      <c r="B26" s="14" t="s">
        <v>39</v>
      </c>
      <c r="C26" s="404" t="s">
        <v>148</v>
      </c>
      <c r="D26" s="405" t="s">
        <v>29</v>
      </c>
      <c r="E26" s="406" t="s">
        <v>41</v>
      </c>
      <c r="F26" s="25" t="s">
        <v>149</v>
      </c>
      <c r="G26" s="25" t="s">
        <v>150</v>
      </c>
      <c r="H26" s="25" t="s">
        <v>151</v>
      </c>
      <c r="I26" s="25"/>
      <c r="J26" s="407" t="s">
        <v>33</v>
      </c>
      <c r="K26" s="266" t="s">
        <v>22</v>
      </c>
      <c r="L26" s="408" t="s">
        <v>152</v>
      </c>
      <c r="M26" s="16" t="s">
        <v>80</v>
      </c>
      <c r="N26" s="16" t="s">
        <v>81</v>
      </c>
      <c r="O26" s="17"/>
      <c r="P26" s="17" t="s">
        <v>82</v>
      </c>
    </row>
    <row r="27" ht="102" customHeight="1">
      <c r="A27" s="11" t="n">
        <v>26</v>
      </c>
      <c r="B27" s="19" t="s">
        <v>39</v>
      </c>
      <c r="C27" s="409" t="s">
        <v>153</v>
      </c>
      <c r="D27" s="410" t="s">
        <v>18</v>
      </c>
      <c r="E27" s="411" t="s">
        <v>41</v>
      </c>
      <c r="F27" s="24" t="s">
        <v>149</v>
      </c>
      <c r="G27" s="24" t="s">
        <v>154</v>
      </c>
      <c r="H27" s="24" t="s">
        <v>155</v>
      </c>
      <c r="I27" s="24"/>
      <c r="J27" s="412" t="s">
        <v>21</v>
      </c>
      <c r="K27" s="267" t="s">
        <v>22</v>
      </c>
      <c r="L27" s="19"/>
      <c r="M27" s="6" t="s">
        <v>106</v>
      </c>
      <c r="N27" s="6" t="s">
        <v>156</v>
      </c>
      <c r="P27" s="7" t="s">
        <v>157</v>
      </c>
    </row>
    <row r="28" ht="89.40000000000002" customHeight="1">
      <c r="A28" s="18" t="n">
        <v>27</v>
      </c>
      <c r="B28" s="14" t="s">
        <v>39</v>
      </c>
      <c r="C28" s="413" t="s">
        <v>158</v>
      </c>
      <c r="D28" s="414" t="s">
        <v>29</v>
      </c>
      <c r="E28" s="415" t="s">
        <v>41</v>
      </c>
      <c r="F28" s="25" t="s">
        <v>149</v>
      </c>
      <c r="G28" s="25" t="s">
        <v>159</v>
      </c>
      <c r="H28" s="25" t="s">
        <v>160</v>
      </c>
      <c r="I28" s="25"/>
      <c r="J28" s="416" t="s">
        <v>21</v>
      </c>
      <c r="K28" s="266" t="s">
        <v>22</v>
      </c>
      <c r="L28" s="417" t="s">
        <v>161</v>
      </c>
      <c r="M28" s="16" t="s">
        <v>162</v>
      </c>
      <c r="N28" s="16" t="s">
        <v>156</v>
      </c>
      <c r="O28" s="17"/>
      <c r="P28" s="17" t="s">
        <v>157</v>
      </c>
    </row>
    <row r="29" ht="55.25" customHeight="1">
      <c r="A29" s="18" t="n">
        <v>28</v>
      </c>
      <c r="B29" s="21" t="s">
        <v>39</v>
      </c>
      <c r="C29" s="20" t="s">
        <v>163</v>
      </c>
      <c r="D29" s="418" t="s">
        <v>29</v>
      </c>
      <c r="E29" s="419" t="s">
        <v>30</v>
      </c>
      <c r="F29" s="24" t="s">
        <v>149</v>
      </c>
      <c r="G29" s="24" t="s">
        <v>164</v>
      </c>
      <c r="H29" s="24" t="s">
        <v>165</v>
      </c>
      <c r="I29" s="24"/>
      <c r="J29" s="420" t="s">
        <v>21</v>
      </c>
      <c r="K29" s="267" t="s">
        <v>22</v>
      </c>
      <c r="L29" s="19"/>
      <c r="M29" s="6" t="s">
        <v>85</v>
      </c>
      <c r="N29" s="6" t="s">
        <v>97</v>
      </c>
      <c r="P29" s="7" t="s">
        <v>26</v>
      </c>
    </row>
    <row r="30" ht="98.40000000000002" customHeight="1">
      <c r="A30" s="22" t="n">
        <v>29</v>
      </c>
      <c r="B30" s="12" t="s">
        <v>39</v>
      </c>
      <c r="C30" s="421" t="s">
        <v>166</v>
      </c>
      <c r="D30" s="422" t="s">
        <v>50</v>
      </c>
      <c r="E30" s="423" t="s">
        <v>19</v>
      </c>
      <c r="F30" s="262" t="n">
        <v>46537</v>
      </c>
      <c r="G30" s="261"/>
      <c r="H30" s="261" t="s">
        <v>167</v>
      </c>
      <c r="I30" s="261" t="s">
        <v>168</v>
      </c>
      <c r="J30" s="424" t="s">
        <v>21</v>
      </c>
      <c r="K30" s="266" t="s">
        <v>22</v>
      </c>
      <c r="L30" s="425" t="s">
        <v>169</v>
      </c>
      <c r="M30" s="16" t="s">
        <v>170</v>
      </c>
      <c r="N30" s="16" t="s">
        <v>47</v>
      </c>
      <c r="O30" s="17"/>
      <c r="P30" s="17" t="s">
        <v>171</v>
      </c>
    </row>
    <row r="31" ht="37.75" customHeight="1">
      <c r="A31" s="18" t="n">
        <v>30</v>
      </c>
      <c r="B31" s="21" t="s">
        <v>39</v>
      </c>
      <c r="C31" s="426" t="s">
        <v>172</v>
      </c>
      <c r="D31" s="427" t="s">
        <v>29</v>
      </c>
      <c r="E31" s="428" t="s">
        <v>30</v>
      </c>
      <c r="F31" s="24" t="s">
        <v>173</v>
      </c>
      <c r="G31" s="24"/>
      <c r="H31" s="24"/>
      <c r="I31" s="24"/>
      <c r="J31" s="429" t="s">
        <v>21</v>
      </c>
      <c r="K31" s="267" t="s">
        <v>22</v>
      </c>
      <c r="L31" s="19"/>
      <c r="M31" s="430" t="s">
        <v>174</v>
      </c>
      <c r="N31" s="6" t="s">
        <v>47</v>
      </c>
      <c r="P31" s="7" t="s">
        <v>35</v>
      </c>
    </row>
    <row r="32" ht="113.40000000000002" customHeight="1">
      <c r="A32" s="11" t="n">
        <v>31</v>
      </c>
      <c r="B32" s="431" t="s">
        <v>16</v>
      </c>
      <c r="C32" s="432" t="s">
        <v>175</v>
      </c>
      <c r="D32" s="433" t="s">
        <v>29</v>
      </c>
      <c r="E32" s="434" t="s">
        <v>41</v>
      </c>
      <c r="F32" s="25" t="s">
        <v>149</v>
      </c>
      <c r="G32" s="25" t="s">
        <v>176</v>
      </c>
      <c r="H32" s="25" t="s">
        <v>177</v>
      </c>
      <c r="I32" s="25"/>
      <c r="J32" s="435" t="s">
        <v>21</v>
      </c>
      <c r="K32" s="266" t="s">
        <v>22</v>
      </c>
      <c r="L32" s="14"/>
      <c r="M32" s="16" t="s">
        <v>38</v>
      </c>
      <c r="N32" s="16" t="s">
        <v>178</v>
      </c>
      <c r="O32" s="17"/>
      <c r="P32" s="17" t="s">
        <v>143</v>
      </c>
    </row>
    <row r="33" ht="54.75" customHeight="1">
      <c r="A33" s="18" t="n">
        <v>32</v>
      </c>
      <c r="B33" s="19" t="s">
        <v>39</v>
      </c>
      <c r="C33" s="436" t="s">
        <v>179</v>
      </c>
      <c r="D33" s="437" t="s">
        <v>29</v>
      </c>
      <c r="E33" s="438" t="s">
        <v>41</v>
      </c>
      <c r="F33" s="24" t="s">
        <v>149</v>
      </c>
      <c r="G33" s="24" t="s">
        <v>180</v>
      </c>
      <c r="H33" s="24" t="s">
        <v>181</v>
      </c>
      <c r="I33" s="24"/>
      <c r="J33" s="439" t="s">
        <v>21</v>
      </c>
      <c r="K33" s="267" t="s">
        <v>22</v>
      </c>
      <c r="L33" s="440" t="s">
        <v>182</v>
      </c>
      <c r="M33" s="6" t="s">
        <v>80</v>
      </c>
      <c r="N33" s="6" t="s">
        <v>183</v>
      </c>
      <c r="P33" s="7" t="s">
        <v>82</v>
      </c>
    </row>
    <row r="34" ht="84.65" customHeight="1">
      <c r="A34" s="18" t="n">
        <v>33</v>
      </c>
      <c r="B34" s="15" t="s">
        <v>39</v>
      </c>
      <c r="C34" s="441" t="s">
        <v>184</v>
      </c>
      <c r="D34" s="442" t="s">
        <v>18</v>
      </c>
      <c r="E34" s="443" t="s">
        <v>41</v>
      </c>
      <c r="F34" s="25" t="s">
        <v>185</v>
      </c>
      <c r="G34" s="25" t="s">
        <v>186</v>
      </c>
      <c r="H34" s="25"/>
      <c r="I34" s="25"/>
      <c r="J34" s="444" t="s">
        <v>33</v>
      </c>
      <c r="K34" s="266" t="s">
        <v>22</v>
      </c>
      <c r="L34" s="14"/>
      <c r="M34" s="16" t="s">
        <v>24</v>
      </c>
      <c r="N34" s="16" t="s">
        <v>25</v>
      </c>
      <c r="O34" s="17"/>
      <c r="P34" s="17" t="s">
        <v>26</v>
      </c>
    </row>
    <row r="35" ht="85.25000000000001" customHeight="1">
      <c r="A35" s="18" t="n">
        <v>34</v>
      </c>
      <c r="B35" s="12" t="s">
        <v>39</v>
      </c>
      <c r="C35" s="445" t="s">
        <v>187</v>
      </c>
      <c r="D35" s="446" t="s">
        <v>18</v>
      </c>
      <c r="E35" s="447" t="s">
        <v>41</v>
      </c>
      <c r="F35" s="24" t="s">
        <v>149</v>
      </c>
      <c r="G35" s="24" t="s">
        <v>188</v>
      </c>
      <c r="H35" s="24" t="s">
        <v>189</v>
      </c>
      <c r="I35" s="24"/>
      <c r="J35" s="448" t="s">
        <v>33</v>
      </c>
      <c r="K35" s="267" t="s">
        <v>22</v>
      </c>
      <c r="L35" s="19"/>
      <c r="M35" s="6" t="s">
        <v>85</v>
      </c>
      <c r="N35" s="6" t="s">
        <v>47</v>
      </c>
      <c r="P35" s="7" t="s">
        <v>26</v>
      </c>
    </row>
    <row r="36" ht="85.25000000000001" customHeight="1">
      <c r="A36" s="22" t="n">
        <v>35</v>
      </c>
      <c r="B36" s="15" t="s">
        <v>39</v>
      </c>
      <c r="C36" s="449" t="s">
        <v>190</v>
      </c>
      <c r="D36" s="450" t="s">
        <v>50</v>
      </c>
      <c r="E36" s="451" t="s">
        <v>19</v>
      </c>
      <c r="F36" s="25" t="s">
        <v>191</v>
      </c>
      <c r="G36" s="25" t="s">
        <v>192</v>
      </c>
      <c r="H36" s="25" t="s">
        <v>193</v>
      </c>
      <c r="I36" s="25" t="s">
        <v>32</v>
      </c>
      <c r="J36" s="452" t="s">
        <v>21</v>
      </c>
      <c r="K36" s="266" t="s">
        <v>22</v>
      </c>
      <c r="L36" s="14"/>
      <c r="M36" s="453" t="s">
        <v>46</v>
      </c>
      <c r="N36" s="16" t="s">
        <v>47</v>
      </c>
      <c r="O36" s="17"/>
      <c r="P36" s="17" t="s">
        <v>48</v>
      </c>
    </row>
    <row r="37" ht="266.4" customHeight="1">
      <c r="A37" s="11" t="n">
        <v>36</v>
      </c>
      <c r="B37" s="12" t="s">
        <v>39</v>
      </c>
      <c r="C37" s="454" t="s">
        <v>194</v>
      </c>
      <c r="D37" s="455" t="s">
        <v>18</v>
      </c>
      <c r="E37" s="456" t="s">
        <v>19</v>
      </c>
      <c r="F37" s="457" t="s">
        <v>42</v>
      </c>
      <c r="G37" s="24" t="s">
        <v>32</v>
      </c>
      <c r="H37" s="24" t="s">
        <v>195</v>
      </c>
      <c r="I37" s="24" t="s">
        <v>196</v>
      </c>
      <c r="J37" s="458" t="s">
        <v>21</v>
      </c>
      <c r="K37" s="267" t="s">
        <v>22</v>
      </c>
      <c r="L37" s="19"/>
      <c r="M37" s="459" t="s">
        <v>46</v>
      </c>
      <c r="N37" s="6" t="s">
        <v>197</v>
      </c>
      <c r="P37" s="7" t="s">
        <v>48</v>
      </c>
    </row>
    <row r="38" ht="111.5" customHeight="1">
      <c r="A38" s="18" t="n">
        <v>37</v>
      </c>
      <c r="B38" s="14" t="s">
        <v>39</v>
      </c>
      <c r="C38" s="460" t="s">
        <v>198</v>
      </c>
      <c r="D38" s="461" t="s">
        <v>18</v>
      </c>
      <c r="E38" s="462" t="s">
        <v>41</v>
      </c>
      <c r="F38" s="25" t="s">
        <v>199</v>
      </c>
      <c r="G38" s="25" t="s">
        <v>32</v>
      </c>
      <c r="H38" s="25" t="s">
        <v>32</v>
      </c>
      <c r="I38" s="25" t="s">
        <v>32</v>
      </c>
      <c r="J38" s="463" t="s">
        <v>21</v>
      </c>
      <c r="K38" s="266" t="s">
        <v>22</v>
      </c>
      <c r="L38" s="14"/>
      <c r="M38" s="16" t="s">
        <v>200</v>
      </c>
      <c r="N38" s="16" t="s">
        <v>25</v>
      </c>
      <c r="O38" s="17"/>
      <c r="P38" s="17" t="s">
        <v>26</v>
      </c>
    </row>
    <row r="39" ht="149.25" customHeight="1">
      <c r="A39" s="11" t="n">
        <v>38</v>
      </c>
      <c r="B39" s="464" t="s">
        <v>16</v>
      </c>
      <c r="C39" s="465" t="s">
        <v>201</v>
      </c>
      <c r="D39" s="466" t="s">
        <v>18</v>
      </c>
      <c r="E39" s="467" t="s">
        <v>19</v>
      </c>
      <c r="F39" s="468" t="s">
        <v>202</v>
      </c>
      <c r="G39" s="24" t="s">
        <v>203</v>
      </c>
      <c r="H39" s="24"/>
      <c r="I39" s="24" t="s">
        <v>204</v>
      </c>
      <c r="J39" s="469" t="s">
        <v>21</v>
      </c>
      <c r="K39" s="267" t="s">
        <v>22</v>
      </c>
      <c r="L39" s="19"/>
      <c r="M39" s="470" t="s">
        <v>205</v>
      </c>
      <c r="N39" s="6" t="s">
        <v>197</v>
      </c>
      <c r="P39" s="7" t="s">
        <v>82</v>
      </c>
    </row>
    <row r="40" ht="54.75" customHeight="1">
      <c r="A40" s="18" t="n">
        <v>39</v>
      </c>
      <c r="B40" s="12" t="s">
        <v>39</v>
      </c>
      <c r="C40" s="471" t="s">
        <v>206</v>
      </c>
      <c r="D40" s="472" t="s">
        <v>18</v>
      </c>
      <c r="E40" s="473" t="s">
        <v>41</v>
      </c>
      <c r="F40" s="25" t="s">
        <v>71</v>
      </c>
      <c r="G40" s="25" t="s">
        <v>207</v>
      </c>
      <c r="H40" s="25" t="s">
        <v>208</v>
      </c>
      <c r="I40" s="25"/>
      <c r="J40" s="474" t="s">
        <v>33</v>
      </c>
      <c r="K40" s="266" t="s">
        <v>22</v>
      </c>
      <c r="L40" s="14"/>
      <c r="M40" s="16" t="s">
        <v>80</v>
      </c>
      <c r="N40" s="16" t="s">
        <v>61</v>
      </c>
      <c r="O40" s="17"/>
      <c r="P40" s="17" t="s">
        <v>82</v>
      </c>
    </row>
    <row r="41" ht="52.65" customHeight="1">
      <c r="A41" s="18" t="n">
        <v>40</v>
      </c>
      <c r="B41" s="21" t="s">
        <v>39</v>
      </c>
      <c r="C41" s="475" t="s">
        <v>209</v>
      </c>
      <c r="D41" s="476" t="s">
        <v>18</v>
      </c>
      <c r="E41" s="477" t="s">
        <v>19</v>
      </c>
      <c r="F41" s="24" t="s">
        <v>210</v>
      </c>
      <c r="G41" s="24"/>
      <c r="H41" s="24"/>
      <c r="I41" s="24"/>
      <c r="J41" s="478" t="s">
        <v>21</v>
      </c>
      <c r="K41" s="267" t="s">
        <v>22</v>
      </c>
      <c r="L41" s="19"/>
      <c r="M41" s="6" t="s">
        <v>80</v>
      </c>
      <c r="N41" s="6" t="s">
        <v>197</v>
      </c>
      <c r="P41" s="7" t="s">
        <v>82</v>
      </c>
    </row>
    <row r="42" ht="83.4" customHeight="1">
      <c r="A42" s="11" t="n">
        <v>41</v>
      </c>
      <c r="B42" s="15" t="s">
        <v>39</v>
      </c>
      <c r="C42" s="479" t="s">
        <v>211</v>
      </c>
      <c r="D42" s="480" t="s">
        <v>18</v>
      </c>
      <c r="E42" s="481" t="s">
        <v>41</v>
      </c>
      <c r="F42" s="25" t="s">
        <v>212</v>
      </c>
      <c r="G42" s="25" t="s">
        <v>213</v>
      </c>
      <c r="H42" s="25"/>
      <c r="I42" s="25"/>
      <c r="J42" s="482" t="s">
        <v>21</v>
      </c>
      <c r="K42" s="266" t="s">
        <v>22</v>
      </c>
      <c r="L42" s="14"/>
      <c r="M42" s="483" t="s">
        <v>214</v>
      </c>
      <c r="N42" s="16" t="s">
        <v>97</v>
      </c>
      <c r="O42" s="17"/>
      <c r="P42" s="17" t="s">
        <v>26</v>
      </c>
    </row>
    <row r="43" ht="83.4" customHeight="1">
      <c r="A43" s="11" t="n">
        <v>42</v>
      </c>
      <c r="B43" s="484" t="s">
        <v>16</v>
      </c>
      <c r="C43" s="485" t="s">
        <v>215</v>
      </c>
      <c r="D43" s="486" t="s">
        <v>18</v>
      </c>
      <c r="E43" s="487" t="s">
        <v>41</v>
      </c>
      <c r="F43" s="24"/>
      <c r="G43" s="24"/>
      <c r="H43" s="24" t="s">
        <v>216</v>
      </c>
      <c r="I43" s="24"/>
      <c r="J43" s="488" t="s">
        <v>21</v>
      </c>
      <c r="K43" s="267" t="s">
        <v>22</v>
      </c>
      <c r="L43" s="19"/>
      <c r="M43" s="489" t="s">
        <v>217</v>
      </c>
      <c r="N43" s="6" t="s">
        <v>97</v>
      </c>
      <c r="P43" s="7" t="s">
        <v>26</v>
      </c>
    </row>
    <row r="44" ht="94.5" customHeight="1">
      <c r="A44" s="11" t="n">
        <v>43</v>
      </c>
      <c r="B44" s="490" t="s">
        <v>16</v>
      </c>
      <c r="C44" s="491" t="s">
        <v>218</v>
      </c>
      <c r="D44" s="492" t="s">
        <v>18</v>
      </c>
      <c r="E44" s="493" t="s">
        <v>41</v>
      </c>
      <c r="F44" s="25"/>
      <c r="G44" s="25" t="s">
        <v>219</v>
      </c>
      <c r="H44" s="25"/>
      <c r="I44" s="25"/>
      <c r="J44" s="494" t="s">
        <v>21</v>
      </c>
      <c r="K44" s="266" t="s">
        <v>22</v>
      </c>
      <c r="L44" s="14"/>
      <c r="M44" s="16" t="s">
        <v>24</v>
      </c>
      <c r="N44" s="16" t="s">
        <v>47</v>
      </c>
      <c r="O44" s="17"/>
      <c r="P44" s="17" t="s">
        <v>26</v>
      </c>
    </row>
    <row r="45" ht="72.50000000000001" customHeight="1">
      <c r="A45" s="18" t="n">
        <v>44</v>
      </c>
      <c r="B45" s="21" t="s">
        <v>39</v>
      </c>
      <c r="C45" s="495" t="s">
        <v>220</v>
      </c>
      <c r="D45" s="496" t="s">
        <v>50</v>
      </c>
      <c r="E45" s="497" t="s">
        <v>19</v>
      </c>
      <c r="F45" s="24" t="s">
        <v>221</v>
      </c>
      <c r="G45" s="24" t="s">
        <v>222</v>
      </c>
      <c r="H45" s="24" t="s">
        <v>223</v>
      </c>
      <c r="I45" s="24"/>
      <c r="J45" s="498" t="s">
        <v>21</v>
      </c>
      <c r="K45" s="267" t="s">
        <v>22</v>
      </c>
      <c r="L45" s="499" t="s">
        <v>224</v>
      </c>
      <c r="M45" s="6" t="s">
        <v>225</v>
      </c>
      <c r="N45" s="6" t="s">
        <v>97</v>
      </c>
      <c r="P45" s="7" t="s">
        <v>35</v>
      </c>
    </row>
    <row r="46" ht="85.74999999999999" customHeight="1">
      <c r="A46" s="18" t="n">
        <v>45</v>
      </c>
      <c r="B46" s="15" t="s">
        <v>39</v>
      </c>
      <c r="C46" s="500" t="s">
        <v>226</v>
      </c>
      <c r="D46" s="501" t="s">
        <v>50</v>
      </c>
      <c r="E46" s="502" t="s">
        <v>41</v>
      </c>
      <c r="F46" s="25" t="s">
        <v>221</v>
      </c>
      <c r="G46" s="25" t="s">
        <v>227</v>
      </c>
      <c r="H46" s="25" t="s">
        <v>228</v>
      </c>
      <c r="I46" s="25"/>
      <c r="J46" s="503" t="s">
        <v>21</v>
      </c>
      <c r="K46" s="266" t="s">
        <v>22</v>
      </c>
      <c r="L46" s="14"/>
      <c r="M46" s="16" t="s">
        <v>225</v>
      </c>
      <c r="N46" s="16" t="s">
        <v>47</v>
      </c>
      <c r="O46" s="17"/>
      <c r="P46" s="17" t="s">
        <v>35</v>
      </c>
    </row>
    <row r="47" ht="87" customHeight="1">
      <c r="A47" s="18" t="n">
        <v>46</v>
      </c>
      <c r="B47" s="21" t="s">
        <v>39</v>
      </c>
      <c r="C47" s="504" t="s">
        <v>229</v>
      </c>
      <c r="D47" s="505" t="s">
        <v>18</v>
      </c>
      <c r="E47" s="506" t="s">
        <v>41</v>
      </c>
      <c r="F47" s="24"/>
      <c r="G47" s="24"/>
      <c r="H47" s="24"/>
      <c r="I47" s="24"/>
      <c r="J47" s="507" t="s">
        <v>21</v>
      </c>
      <c r="K47" s="267" t="s">
        <v>22</v>
      </c>
      <c r="L47" s="508" t="s">
        <v>230</v>
      </c>
      <c r="M47" s="509" t="s">
        <v>231</v>
      </c>
      <c r="N47" s="6" t="s">
        <v>61</v>
      </c>
      <c r="P47" s="7" t="s">
        <v>82</v>
      </c>
    </row>
    <row r="48" ht="58" customHeight="1">
      <c r="A48" s="18" t="n">
        <v>47</v>
      </c>
      <c r="B48" s="510" t="s">
        <v>27</v>
      </c>
      <c r="C48" s="511" t="s">
        <v>232</v>
      </c>
      <c r="D48" s="512" t="s">
        <v>18</v>
      </c>
      <c r="E48" s="513" t="s">
        <v>30</v>
      </c>
      <c r="F48" s="25" t="s">
        <v>32</v>
      </c>
      <c r="G48" s="25" t="s">
        <v>233</v>
      </c>
      <c r="H48" s="25"/>
      <c r="I48" s="25"/>
      <c r="J48" s="514" t="s">
        <v>33</v>
      </c>
      <c r="K48" s="266" t="s">
        <v>22</v>
      </c>
      <c r="L48" s="14"/>
      <c r="M48" s="515" t="s">
        <v>234</v>
      </c>
      <c r="N48" s="16" t="s">
        <v>47</v>
      </c>
      <c r="O48" s="17"/>
      <c r="P48" s="17" t="s">
        <v>35</v>
      </c>
    </row>
    <row r="49" ht="54.75" customHeight="1">
      <c r="A49" s="18" t="n">
        <v>48</v>
      </c>
      <c r="B49" s="516" t="s">
        <v>16</v>
      </c>
      <c r="C49" s="517" t="s">
        <v>235</v>
      </c>
      <c r="D49" s="518" t="s">
        <v>18</v>
      </c>
      <c r="E49" s="519" t="s">
        <v>41</v>
      </c>
      <c r="F49" s="24" t="s">
        <v>71</v>
      </c>
      <c r="G49" s="24" t="s">
        <v>236</v>
      </c>
      <c r="H49" s="24" t="s">
        <v>237</v>
      </c>
      <c r="I49" s="24"/>
      <c r="J49" s="520" t="s">
        <v>33</v>
      </c>
      <c r="K49" s="267" t="s">
        <v>22</v>
      </c>
      <c r="L49" s="19"/>
      <c r="M49" s="6" t="s">
        <v>238</v>
      </c>
      <c r="N49" s="6" t="s">
        <v>61</v>
      </c>
      <c r="P49" s="7" t="s">
        <v>157</v>
      </c>
    </row>
    <row r="50" ht="55.75" customHeight="1">
      <c r="A50" s="18" t="n">
        <v>49</v>
      </c>
      <c r="B50" s="521" t="s">
        <v>27</v>
      </c>
      <c r="C50" s="522" t="s">
        <v>239</v>
      </c>
      <c r="D50" s="523" t="s">
        <v>29</v>
      </c>
      <c r="E50" s="524" t="s">
        <v>30</v>
      </c>
      <c r="F50" s="25" t="s">
        <v>240</v>
      </c>
      <c r="G50" s="25"/>
      <c r="H50" s="25"/>
      <c r="I50" s="25"/>
      <c r="J50" s="525" t="s">
        <v>33</v>
      </c>
      <c r="K50" s="266" t="s">
        <v>22</v>
      </c>
      <c r="L50" s="14"/>
      <c r="M50" s="16" t="s">
        <v>24</v>
      </c>
      <c r="N50" s="16" t="s">
        <v>32</v>
      </c>
      <c r="O50" s="17"/>
      <c r="P50" s="17" t="s">
        <v>35</v>
      </c>
    </row>
    <row r="51" ht="87.65000000000002" customHeight="1">
      <c r="A51" s="18" t="n">
        <v>50</v>
      </c>
      <c r="B51" s="526" t="s">
        <v>27</v>
      </c>
      <c r="C51" s="527" t="s">
        <v>241</v>
      </c>
      <c r="D51" s="528" t="s">
        <v>29</v>
      </c>
      <c r="E51" s="529" t="s">
        <v>41</v>
      </c>
      <c r="F51" s="24" t="s">
        <v>242</v>
      </c>
      <c r="G51" s="24"/>
      <c r="H51" s="24"/>
      <c r="I51" s="24"/>
      <c r="J51" s="530" t="s">
        <v>33</v>
      </c>
      <c r="K51" s="267" t="s">
        <v>22</v>
      </c>
      <c r="L51" s="19"/>
      <c r="M51" s="6" t="s">
        <v>24</v>
      </c>
      <c r="N51" s="6" t="s">
        <v>32</v>
      </c>
      <c r="P51" s="7" t="s">
        <v>35</v>
      </c>
    </row>
    <row r="52" ht="54.75" customHeight="1">
      <c r="A52" s="18" t="n">
        <v>51</v>
      </c>
      <c r="B52" s="531" t="s">
        <v>16</v>
      </c>
      <c r="C52" s="532" t="s">
        <v>243</v>
      </c>
      <c r="D52" s="533" t="s">
        <v>18</v>
      </c>
      <c r="E52" s="534" t="s">
        <v>41</v>
      </c>
      <c r="F52" s="25" t="s">
        <v>149</v>
      </c>
      <c r="G52" s="25" t="s">
        <v>244</v>
      </c>
      <c r="H52" s="25" t="s">
        <v>245</v>
      </c>
      <c r="I52" s="25"/>
      <c r="J52" s="535" t="s">
        <v>33</v>
      </c>
      <c r="K52" s="266" t="s">
        <v>22</v>
      </c>
      <c r="L52" s="14"/>
      <c r="M52" s="16" t="s">
        <v>80</v>
      </c>
      <c r="N52" s="16" t="s">
        <v>81</v>
      </c>
      <c r="O52" s="17"/>
      <c r="P52" s="17" t="s">
        <v>82</v>
      </c>
    </row>
    <row r="53" ht="87.65000000000002" customHeight="1">
      <c r="A53" s="18" t="n">
        <v>52</v>
      </c>
      <c r="B53" s="536" t="s">
        <v>16</v>
      </c>
      <c r="C53" s="537" t="s">
        <v>246</v>
      </c>
      <c r="D53" s="538" t="s">
        <v>18</v>
      </c>
      <c r="E53" s="539" t="s">
        <v>41</v>
      </c>
      <c r="F53" s="24" t="s">
        <v>247</v>
      </c>
      <c r="G53" s="24"/>
      <c r="H53" s="24"/>
      <c r="I53" s="24"/>
      <c r="J53" s="540" t="s">
        <v>21</v>
      </c>
      <c r="K53" s="267" t="s">
        <v>22</v>
      </c>
      <c r="L53" s="19"/>
      <c r="M53" s="6" t="s">
        <v>24</v>
      </c>
      <c r="N53" s="6" t="s">
        <v>32</v>
      </c>
      <c r="P53" s="7" t="s">
        <v>35</v>
      </c>
    </row>
    <row r="54" ht="182.50000000000003" customHeight="1">
      <c r="A54" s="18" t="n">
        <v>53</v>
      </c>
      <c r="B54" s="14" t="s">
        <v>39</v>
      </c>
      <c r="C54" s="541" t="s">
        <v>248</v>
      </c>
      <c r="D54" s="542" t="s">
        <v>18</v>
      </c>
      <c r="E54" s="543" t="s">
        <v>41</v>
      </c>
      <c r="F54" s="544" t="s">
        <v>249</v>
      </c>
      <c r="G54" s="25"/>
      <c r="H54" s="25"/>
      <c r="I54" s="25"/>
      <c r="J54" s="545" t="s">
        <v>21</v>
      </c>
      <c r="K54" s="266" t="s">
        <v>22</v>
      </c>
      <c r="L54" s="14"/>
      <c r="M54" s="16" t="s">
        <v>55</v>
      </c>
      <c r="N54" s="16" t="s">
        <v>197</v>
      </c>
      <c r="O54" s="17"/>
      <c r="P54" s="17" t="s">
        <v>48</v>
      </c>
    </row>
    <row r="55" ht="54.65" customHeight="1">
      <c r="A55" s="18" t="n">
        <v>54</v>
      </c>
      <c r="B55" s="546" t="s">
        <v>27</v>
      </c>
      <c r="C55" s="547" t="s">
        <v>250</v>
      </c>
      <c r="D55" s="548" t="s">
        <v>18</v>
      </c>
      <c r="E55" s="549" t="s">
        <v>30</v>
      </c>
      <c r="F55" s="24" t="s">
        <v>240</v>
      </c>
      <c r="G55" s="24" t="s">
        <v>32</v>
      </c>
      <c r="H55" s="24" t="s">
        <v>251</v>
      </c>
      <c r="I55" s="24" t="s">
        <v>32</v>
      </c>
      <c r="J55" s="550" t="s">
        <v>33</v>
      </c>
      <c r="K55" s="267" t="s">
        <v>22</v>
      </c>
      <c r="L55" s="19"/>
      <c r="M55" s="551" t="s">
        <v>252</v>
      </c>
      <c r="N55" s="6" t="s">
        <v>61</v>
      </c>
      <c r="P55" s="7" t="s">
        <v>48</v>
      </c>
    </row>
    <row r="56" ht="54.75" customHeight="1">
      <c r="A56" s="18" t="n">
        <v>55</v>
      </c>
      <c r="B56" s="552" t="s">
        <v>16</v>
      </c>
      <c r="C56" s="553" t="s">
        <v>253</v>
      </c>
      <c r="D56" s="554" t="s">
        <v>18</v>
      </c>
      <c r="E56" s="555" t="s">
        <v>41</v>
      </c>
      <c r="F56" s="25" t="s">
        <v>254</v>
      </c>
      <c r="G56" s="25"/>
      <c r="H56" s="25"/>
      <c r="I56" s="25"/>
      <c r="J56" s="556" t="s">
        <v>33</v>
      </c>
      <c r="K56" s="266" t="s">
        <v>22</v>
      </c>
      <c r="L56" s="14"/>
      <c r="M56" s="16" t="s">
        <v>24</v>
      </c>
      <c r="N56" s="16" t="s">
        <v>197</v>
      </c>
      <c r="O56" s="17"/>
      <c r="P56" s="17" t="s">
        <v>35</v>
      </c>
    </row>
    <row r="57" ht="14.002500000000003" customHeight="1">
      <c r="K57" s="7"/>
    </row>
    <row r="58" ht="14.002500000000003" customHeight="1">
      <c r="K58" s="7"/>
    </row>
    <row r="59" ht="14.002500000000003" customHeight="1">
      <c r="K59" s="7"/>
    </row>
    <row r="60" ht="14.002500000000003" customHeight="1">
      <c r="K60" s="7"/>
    </row>
    <row r="61" ht="14.002500000000003" customHeight="1">
      <c r="K61" s="7"/>
    </row>
    <row r="62" ht="14.002500000000003" customHeight="1">
      <c r="K62" s="7"/>
    </row>
    <row r="63" ht="14.002500000000003" customHeight="1">
      <c r="K63" s="7"/>
    </row>
    <row r="64" ht="14.002500000000003" customHeight="1">
      <c r="K64" s="7"/>
    </row>
    <row r="65" ht="14.002500000000003" customHeight="1">
      <c r="K65" s="7"/>
    </row>
    <row r="66" ht="14.002500000000003" customHeight="1">
      <c r="K66" s="7"/>
    </row>
    <row r="67" ht="14.002500000000003" customHeight="1">
      <c r="K67" s="7"/>
    </row>
    <row r="68" ht="14.002500000000003" customHeight="1">
      <c r="K68" s="7"/>
    </row>
    <row r="69" ht="14.002500000000003" customHeight="1">
      <c r="K69" s="7"/>
    </row>
    <row r="70" ht="14.002500000000003" customHeight="1">
      <c r="K70" s="7"/>
    </row>
    <row r="71" ht="14.002500000000003" customHeight="1">
      <c r="K71" s="7"/>
    </row>
    <row r="72" ht="14.002500000000003" customHeight="1">
      <c r="K72" s="7"/>
    </row>
    <row r="73" ht="14.002500000000003" customHeight="1">
      <c r="K73" s="7"/>
    </row>
    <row r="74" ht="14.002500000000003" customHeight="1">
      <c r="K74" s="7"/>
    </row>
    <row r="75" ht="14.002500000000003" customHeight="1">
      <c r="K75" s="7"/>
    </row>
    <row r="76" ht="14.002500000000003" customHeight="1">
      <c r="K76" s="7"/>
    </row>
    <row r="77" ht="14.002500000000003" customHeight="1">
      <c r="K77" s="7"/>
    </row>
    <row r="78" ht="14.002500000000003" customHeight="1">
      <c r="K78" s="7"/>
    </row>
    <row r="79" ht="14.002500000000003" customHeight="1">
      <c r="K79" s="7"/>
    </row>
    <row r="80" ht="14.002500000000003" customHeight="1">
      <c r="K80" s="7"/>
    </row>
    <row r="81" ht="14.002500000000003" customHeight="1">
      <c r="K81" s="7"/>
    </row>
    <row r="82" ht="14.002500000000003" customHeight="1">
      <c r="K82" s="7"/>
    </row>
    <row r="83" ht="14.002500000000003" customHeight="1">
      <c r="K83" s="7"/>
    </row>
    <row r="84" ht="14.002500000000003" customHeight="1">
      <c r="K84" s="7"/>
    </row>
    <row r="85" ht="14.002500000000003" customHeight="1">
      <c r="K85" s="7"/>
    </row>
    <row r="86" ht="14.002500000000003" customHeight="1">
      <c r="K86" s="7"/>
    </row>
    <row r="87" ht="14.002500000000003" customHeight="1">
      <c r="K87" s="7"/>
    </row>
    <row r="88" ht="14.002500000000003" customHeight="1">
      <c r="K88" s="7"/>
    </row>
    <row r="89" ht="14.002500000000003" customHeight="1">
      <c r="K89" s="7"/>
    </row>
    <row r="90" ht="14.002500000000003" customHeight="1">
      <c r="K90" s="7"/>
    </row>
    <row r="91" ht="14.002500000000003" customHeight="1">
      <c r="K91" s="7"/>
    </row>
    <row r="92" ht="14.002500000000003" customHeight="1">
      <c r="K92" s="7"/>
    </row>
    <row r="93" ht="14.002500000000003" customHeight="1">
      <c r="K93" s="7"/>
    </row>
    <row r="94" ht="14.002500000000003" customHeight="1">
      <c r="K94" s="7"/>
    </row>
    <row r="95" ht="14.002500000000003" customHeight="1">
      <c r="K95" s="7"/>
    </row>
    <row r="96" ht="14.002500000000003" customHeight="1">
      <c r="K96" s="7"/>
    </row>
    <row r="97" ht="14.002500000000003" customHeight="1">
      <c r="K97" s="7"/>
    </row>
    <row r="98" ht="14.002500000000003" customHeight="1">
      <c r="K98" s="7"/>
    </row>
    <row r="99" ht="14.002500000000003" customHeight="1">
      <c r="K99" s="7"/>
    </row>
    <row r="100" ht="14.002500000000003" customHeight="1">
      <c r="K100" s="7"/>
    </row>
    <row r="101" ht="14.002500000000003" customHeight="1">
      <c r="K101" s="7"/>
    </row>
    <row r="102" ht="14.002500000000003" customHeight="1">
      <c r="K102" s="7"/>
    </row>
    <row r="103" ht="14.002500000000003" customHeight="1">
      <c r="K103" s="7"/>
    </row>
    <row r="104" ht="14.002500000000003" customHeight="1">
      <c r="K104" s="7"/>
    </row>
    <row r="105" ht="14.002500000000003" customHeight="1">
      <c r="K105" s="7"/>
    </row>
    <row r="106" ht="14.002500000000003" customHeight="1">
      <c r="K106" s="7"/>
    </row>
    <row r="107" ht="14.002500000000003" customHeight="1">
      <c r="K107" s="7"/>
    </row>
    <row r="108" ht="14.002500000000003" customHeight="1">
      <c r="K108" s="7"/>
    </row>
    <row r="109" ht="14.002500000000003" customHeight="1">
      <c r="K109" s="7"/>
    </row>
    <row r="110" ht="14.002500000000003" customHeight="1">
      <c r="K110" s="7"/>
    </row>
    <row r="111" ht="14.002500000000003" customHeight="1">
      <c r="K111" s="7"/>
    </row>
    <row r="112" ht="14.002500000000003" customHeight="1">
      <c r="K112" s="7"/>
    </row>
    <row r="113" ht="14.002500000000003" customHeight="1">
      <c r="K113" s="7"/>
    </row>
    <row r="114" ht="14.002500000000003" customHeight="1">
      <c r="K114" s="7"/>
    </row>
    <row r="115" ht="14.002500000000003" customHeight="1">
      <c r="K115" s="7"/>
    </row>
    <row r="116" ht="14.002500000000003" customHeight="1">
      <c r="K116" s="7"/>
    </row>
    <row r="117" ht="14.002500000000003" customHeight="1">
      <c r="K117" s="7"/>
    </row>
    <row r="118" ht="14.002500000000003" customHeight="1">
      <c r="K118" s="7"/>
    </row>
    <row r="119" ht="14.002500000000003" customHeight="1">
      <c r="K119" s="7"/>
    </row>
    <row r="120" ht="14.002500000000003" customHeight="1">
      <c r="K120" s="7"/>
    </row>
    <row r="121" ht="14.002500000000003" customHeight="1">
      <c r="K121" s="7"/>
    </row>
    <row r="122" ht="14.002500000000003" customHeight="1">
      <c r="K122" s="7"/>
    </row>
    <row r="123" ht="14.002500000000003" customHeight="1">
      <c r="K123" s="7"/>
    </row>
    <row r="124" ht="14.002500000000003" customHeight="1">
      <c r="K124" s="7"/>
    </row>
    <row r="125" ht="14.002500000000003" customHeight="1">
      <c r="K125" s="7"/>
    </row>
    <row r="126" ht="14.002500000000003" customHeight="1">
      <c r="K126" s="7"/>
    </row>
    <row r="127" ht="14.002500000000003" customHeight="1">
      <c r="K127" s="7"/>
    </row>
    <row r="128" ht="14.002500000000003" customHeight="1">
      <c r="K128" s="7"/>
    </row>
    <row r="129" ht="14.002500000000003" customHeight="1">
      <c r="K129" s="7"/>
    </row>
    <row r="130" ht="14.002500000000003" customHeight="1">
      <c r="K130" s="7"/>
    </row>
    <row r="131" ht="14.002500000000003" customHeight="1">
      <c r="K131" s="7"/>
    </row>
    <row r="132" ht="14.002500000000003" customHeight="1">
      <c r="K132" s="7"/>
    </row>
    <row r="133" ht="14.002500000000003" customHeight="1">
      <c r="K133" s="7"/>
    </row>
    <row r="134" ht="14.002500000000003" customHeight="1">
      <c r="K134" s="7"/>
    </row>
    <row r="135" ht="14.002500000000003" customHeight="1">
      <c r="K135" s="7"/>
    </row>
    <row r="136" ht="14.002500000000003" customHeight="1">
      <c r="K136" s="7"/>
    </row>
    <row r="137" ht="14.002500000000003" customHeight="1">
      <c r="K137" s="7"/>
    </row>
    <row r="138" ht="14.002500000000003" customHeight="1">
      <c r="K138" s="7"/>
    </row>
    <row r="139" ht="14.002500000000003" customHeight="1">
      <c r="K139" s="7"/>
    </row>
    <row r="140" ht="14.002500000000003" customHeight="1">
      <c r="K140" s="7"/>
    </row>
    <row r="141" ht="14.002500000000003" customHeight="1">
      <c r="K141" s="7"/>
    </row>
    <row r="142" ht="14.002500000000003" customHeight="1">
      <c r="K142" s="7"/>
    </row>
    <row r="143" ht="14.002500000000003" customHeight="1">
      <c r="K143" s="7"/>
    </row>
    <row r="144" ht="14.002500000000003" customHeight="1">
      <c r="K144" s="7"/>
    </row>
    <row r="145" ht="14.002500000000003" customHeight="1">
      <c r="K145" s="7"/>
    </row>
    <row r="146" ht="14.002500000000003" customHeight="1">
      <c r="K146" s="7"/>
    </row>
    <row r="147" ht="14.002500000000003" customHeight="1">
      <c r="K147" s="7"/>
    </row>
    <row r="148" ht="14.002500000000003" customHeight="1">
      <c r="K148" s="7"/>
    </row>
    <row r="149" ht="14.002500000000003" customHeight="1">
      <c r="K149" s="7"/>
    </row>
    <row r="150" ht="14.002500000000003" customHeight="1">
      <c r="K150" s="7"/>
    </row>
    <row r="151" ht="14.002500000000003" customHeight="1">
      <c r="K151" s="7"/>
    </row>
    <row r="152" ht="14.002500000000003" customHeight="1">
      <c r="K152" s="7"/>
    </row>
    <row r="153" ht="14.002500000000003" customHeight="1">
      <c r="K153" s="7"/>
    </row>
    <row r="154" ht="14.002500000000003" customHeight="1">
      <c r="K154" s="7"/>
    </row>
    <row r="155" ht="14.002500000000003" customHeight="1">
      <c r="K155" s="7"/>
    </row>
    <row r="156" ht="14.002500000000003" customHeight="1">
      <c r="K156" s="7"/>
    </row>
    <row r="157" ht="14.002500000000003" customHeight="1">
      <c r="K157" s="7"/>
    </row>
    <row r="158" ht="14.002500000000003" customHeight="1">
      <c r="K158" s="7"/>
    </row>
    <row r="159" ht="14.002500000000003" customHeight="1">
      <c r="K159" s="7"/>
    </row>
    <row r="160" ht="14.002500000000003" customHeight="1">
      <c r="K160" s="7"/>
    </row>
    <row r="161" ht="14.002500000000003" customHeight="1">
      <c r="K161" s="7"/>
    </row>
    <row r="162" ht="14.002500000000003" customHeight="1">
      <c r="K162" s="7"/>
    </row>
    <row r="163" ht="14.002500000000003" customHeight="1">
      <c r="K163" s="7"/>
    </row>
    <row r="164" ht="14.002500000000003" customHeight="1">
      <c r="K164" s="7"/>
    </row>
    <row r="165" ht="14.002500000000003" customHeight="1">
      <c r="K165" s="7"/>
    </row>
    <row r="166" ht="14.002500000000003" customHeight="1">
      <c r="K166" s="7"/>
    </row>
    <row r="167" ht="14.002500000000003" customHeight="1">
      <c r="K167" s="7"/>
    </row>
    <row r="168" ht="14.002500000000003" customHeight="1">
      <c r="K168" s="7"/>
    </row>
    <row r="169" ht="14.002500000000003" customHeight="1">
      <c r="K169" s="7"/>
    </row>
    <row r="170" ht="14.002500000000003" customHeight="1">
      <c r="K170" s="7"/>
    </row>
    <row r="171" ht="14.002500000000003" customHeight="1">
      <c r="K171" s="7"/>
    </row>
    <row r="172" ht="14.002500000000003" customHeight="1">
      <c r="K172" s="7"/>
    </row>
    <row r="173" ht="14.002500000000003" customHeight="1">
      <c r="K173" s="7"/>
    </row>
    <row r="174" ht="14.002500000000003" customHeight="1">
      <c r="K174" s="7"/>
    </row>
    <row r="175" ht="14.002500000000003" customHeight="1">
      <c r="K175" s="7"/>
    </row>
    <row r="176" ht="14.002500000000003" customHeight="1">
      <c r="K176" s="7"/>
    </row>
    <row r="177" ht="14.002500000000003" customHeight="1">
      <c r="K177" s="7"/>
    </row>
    <row r="178" ht="14.002500000000003" customHeight="1">
      <c r="K178" s="7"/>
    </row>
    <row r="179" ht="14.002500000000003" customHeight="1">
      <c r="K179" s="7"/>
    </row>
    <row r="180" ht="14.002500000000003" customHeight="1">
      <c r="K180" s="7"/>
    </row>
    <row r="181" ht="14.002500000000003" customHeight="1">
      <c r="K181" s="7"/>
    </row>
    <row r="182" ht="14.002500000000003" customHeight="1">
      <c r="K182" s="7"/>
    </row>
    <row r="183" ht="14.002500000000003" customHeight="1">
      <c r="K183" s="7"/>
    </row>
    <row r="184" ht="14.002500000000003" customHeight="1">
      <c r="K184" s="7"/>
    </row>
    <row r="185" ht="14.002500000000003" customHeight="1">
      <c r="K185" s="7"/>
    </row>
    <row r="186" ht="14.002500000000003" customHeight="1">
      <c r="K186" s="7"/>
    </row>
    <row r="187" ht="14.002500000000003" customHeight="1">
      <c r="K187" s="7"/>
    </row>
    <row r="188" ht="14.002500000000003" customHeight="1">
      <c r="K188" s="7"/>
    </row>
    <row r="189" ht="14.002500000000003" customHeight="1">
      <c r="K189" s="7"/>
    </row>
    <row r="190" ht="14.002500000000003" customHeight="1">
      <c r="K190" s="7"/>
    </row>
    <row r="191" ht="14.002500000000003" customHeight="1">
      <c r="K191" s="7"/>
    </row>
    <row r="192" ht="14.002500000000003" customHeight="1">
      <c r="K192" s="7"/>
    </row>
    <row r="193" ht="14.002500000000003" customHeight="1">
      <c r="K193" s="7"/>
    </row>
    <row r="194" ht="14.002500000000003" customHeight="1">
      <c r="K194" s="7"/>
    </row>
    <row r="195" ht="14.002500000000003" customHeight="1">
      <c r="K195" s="7"/>
    </row>
    <row r="196" ht="14.002500000000003" customHeight="1">
      <c r="K196" s="7"/>
    </row>
    <row r="197" ht="14.002500000000003" customHeight="1">
      <c r="K197" s="7"/>
    </row>
    <row r="198" ht="14.002500000000003" customHeight="1">
      <c r="K198" s="7"/>
    </row>
    <row r="199" ht="14.002500000000003" customHeight="1">
      <c r="K199" s="7"/>
    </row>
    <row r="200" ht="14.002500000000003" customHeight="1">
      <c r="K200" s="7"/>
    </row>
  </sheetData>
  <phoneticPr fontId="1" type="noConversion"/>
  <conditionalFormatting sqref="K2:K56">
    <cfRule priority="3" type="expression" dxfId="0">
      <formula>K14="Completed"</formula>
    </cfRule>
  </conditionalFormatting>
  <conditionalFormatting sqref="K2:K56">
    <cfRule priority="4" type="expression" dxfId="0">
      <formula>K14="Blocked"</formula>
    </cfRule>
  </conditionalFormatting>
  <conditionalFormatting sqref="D2:J56">
    <cfRule priority="1" type="expression" dxfId="0">
      <formula>D2="High"</formula>
    </cfRule>
  </conditionalFormatting>
  <conditionalFormatting sqref="D2:J56">
    <cfRule priority="2" type="expression" dxfId="0">
      <formula>D2="Medium"</formula>
    </cfRule>
  </conditionalFormatting>
  <dataValidations count="1">
    <dataValidation type="list" sqref="K2:K56">
      <formula1>"Open,In Progress,Blocked,Completed,Cancelled"</formula1>
    </dataValidation>
  </dataValidations>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pane topLeftCell="A3" activePane="bottomRight" state="frozen" ySplit="2"/>
    </sheetView>
  </sheetViews>
  <sheetFormatPr baseColWidth="10" defaultColWidth="9" defaultRowHeight="14.002500000000003" customHeight="1"/>
  <cols>
    <col min="1" max="1" width="24" customWidth="1" style="26"/>
    <col min="2" max="2" width="13.998046875" customWidth="1" style="26"/>
    <col min="4" max="4" width="18" customWidth="1" style="26"/>
    <col min="5" max="5" width="13.998046875" customWidth="1" style="26"/>
  </cols>
  <sheetData>
    <row r="1" ht="23.25" customHeight="1">
      <c r="A1" s="254" t="s">
        <v>255</v>
      </c>
      <c r="B1" s="255"/>
      <c r="C1" s="255"/>
      <c r="D1" s="255"/>
    </row>
    <row r="3" ht="14" customHeight="1">
      <c r="A3" s="259" t="s">
        <v>256</v>
      </c>
      <c r="B3" s="259" t="s">
        <v>257</v>
      </c>
      <c r="C3" s="259"/>
      <c r="D3" s="259" t="s">
        <v>258</v>
      </c>
      <c r="E3" s="259" t="s">
        <v>257</v>
      </c>
    </row>
    <row r="4" ht="14" customHeight="1">
      <c r="A4" s="26" t="s">
        <v>259</v>
      </c>
      <c r="B4" s="26" t="e">
        <f>ROWS(BLAActionTracker[[Category
类别]])</f>
        <v>#REF!</v>
      </c>
      <c r="D4" s="26" t="s">
        <v>260</v>
      </c>
      <c r="E4" s="26" t="e">
        <f>COUNTIF(BLAActionTracker[[Implemintaton Timing
实施时机]],"High")</f>
        <v>#REF!</v>
      </c>
    </row>
    <row r="5" ht="14" customHeight="1">
      <c r="A5" s="26" t="s">
        <v>261</v>
      </c>
      <c r="B5" s="26" t="e">
        <f>COUNTIF(BLAActionTracker[[Implemintaton Timing
实施时机]],"High")</f>
        <v>#REF!</v>
      </c>
      <c r="D5" s="26" t="s">
        <v>262</v>
      </c>
      <c r="E5" s="26" t="e">
        <f>COUNTIF(BLAActionTracker[[Implemintaton Timing
实施时机]],"Medium")</f>
        <v>#REF!</v>
      </c>
    </row>
    <row r="6" ht="14" customHeight="1">
      <c r="A6" s="26" t="s">
        <v>22</v>
      </c>
      <c r="B6" s="26" t="e">
        <f>COUNTIF(BLAActionTracker[[Status
状态]],"Open")</f>
        <v>#REF!</v>
      </c>
      <c r="D6" s="26" t="s">
        <v>263</v>
      </c>
      <c r="E6" s="26" t="e">
        <f>COUNTIF(BLAActionTracker[[Implemintaton Timing
实施时机]],"Low")</f>
        <v>#REF!</v>
      </c>
    </row>
    <row r="7" ht="14" customHeight="1">
      <c r="A7" s="26" t="s">
        <v>105</v>
      </c>
      <c r="B7" s="26" t="e">
        <f>COUNTIF(BLAActionTracker[[Status
状态]],"In Progress")</f>
        <v>#REF!</v>
      </c>
    </row>
    <row r="8" ht="14" customHeight="1">
      <c r="A8" s="26" t="s">
        <v>264</v>
      </c>
      <c r="B8" s="26" t="e">
        <f>COUNTIF(BLAActionTracker[[Status
状态]],"Blocked")</f>
        <v>#REF!</v>
      </c>
    </row>
    <row r="9" ht="14" customHeight="1">
      <c r="A9" s="26" t="s">
        <v>34</v>
      </c>
      <c r="B9" s="26" t="e">
        <f>COUNTIF(BLAActionTracker[[Status
状态]],"Completed")</f>
        <v>#REF!</v>
      </c>
    </row>
  </sheetData>
  <mergeCells count="1">
    <mergeCell ref="A1:D1"/>
  </mergeCells>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4.002500000000003" customHeight="1"/>
  <cols>
    <col min="1" max="1" width="24.9990234375" customWidth="1" style="26"/>
  </cols>
  <sheetData>
    <row r="1" ht="23.25" customHeight="1">
      <c r="A1" s="254" t="s">
        <v>265</v>
      </c>
      <c r="B1" s="255"/>
      <c r="C1" s="255"/>
      <c r="D1" s="255"/>
      <c r="E1" s="255"/>
      <c r="F1" s="255"/>
    </row>
    <row r="3" ht="32.15" customHeight="1">
      <c r="A3" s="256" t="s">
        <v>266</v>
      </c>
      <c r="B3" s="255"/>
      <c r="C3" s="255"/>
      <c r="D3" s="255"/>
      <c r="E3" s="255"/>
      <c r="F3" s="255"/>
    </row>
    <row r="4" ht="32.15" customHeight="1">
      <c r="A4" s="256" t="s">
        <v>267</v>
      </c>
      <c r="B4" s="255"/>
      <c r="C4" s="255"/>
      <c r="D4" s="255"/>
      <c r="E4" s="255"/>
      <c r="F4" s="255"/>
    </row>
    <row r="5" ht="32.15" customHeight="1">
      <c r="A5" s="256" t="s">
        <v>268</v>
      </c>
      <c r="B5" s="255"/>
      <c r="C5" s="255"/>
      <c r="D5" s="255"/>
      <c r="E5" s="255"/>
      <c r="F5" s="255"/>
    </row>
    <row r="6" ht="32.15" customHeight="1">
      <c r="A6" s="256" t="s">
        <v>269</v>
      </c>
      <c r="B6" s="255"/>
      <c r="C6" s="255"/>
      <c r="D6" s="255"/>
      <c r="E6" s="255"/>
      <c r="F6" s="255"/>
    </row>
    <row r="7" ht="32.15" customHeight="1">
      <c r="A7" s="256" t="s">
        <v>270</v>
      </c>
      <c r="B7" s="255"/>
      <c r="C7" s="255"/>
      <c r="D7" s="255"/>
      <c r="E7" s="255"/>
      <c r="F7" s="255"/>
    </row>
  </sheetData>
  <mergeCells count="6">
    <mergeCell ref="A1:F1"/>
    <mergeCell ref="A6:F6"/>
    <mergeCell ref="A7:F7"/>
    <mergeCell ref="A5:F5"/>
    <mergeCell ref="A3:F3"/>
    <mergeCell ref="A4:F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2" max="2" width="20.4990234375" customWidth="1" style="26"/>
    <col min="3" max="3" width="23.4990234375" customWidth="1" style="26"/>
    <col min="4" max="4" width="24.498046875" customWidth="1" style="26"/>
    <col min="5" max="5" width="10.6640625" customWidth="1" style="26"/>
  </cols>
  <sheetData>
    <row r="2" ht="14" customHeight="1">
      <c r="B2" s="26" t="s">
        <v>271</v>
      </c>
      <c r="C2" s="26" t="s">
        <v>272</v>
      </c>
      <c r="D2" s="26" t="s">
        <v>273</v>
      </c>
      <c r="E2" s="26" t="s">
        <v>274</v>
      </c>
    </row>
    <row r="3" ht="14" customHeight="1">
      <c r="B3" s="26" t="s">
        <v>39</v>
      </c>
      <c r="C3" s="26" t="s">
        <v>275</v>
      </c>
      <c r="D3" s="26" t="s">
        <v>276</v>
      </c>
      <c r="E3" s="26" t="s">
        <v>277</v>
      </c>
    </row>
    <row r="4" ht="14" customHeight="1">
      <c r="B4" s="26" t="s">
        <v>278</v>
      </c>
      <c r="C4" s="26" t="s">
        <v>279</v>
      </c>
      <c r="D4" s="26" t="s">
        <v>280</v>
      </c>
      <c r="E4" s="26" t="s">
        <v>104</v>
      </c>
    </row>
    <row r="5" ht="14" customHeight="1">
      <c r="B5" s="26" t="s">
        <v>281</v>
      </c>
      <c r="C5" s="26" t="s">
        <v>282</v>
      </c>
      <c r="D5" s="26" t="s">
        <v>283</v>
      </c>
      <c r="E5" s="26" t="s">
        <v>284</v>
      </c>
    </row>
    <row r="6" ht="14" customHeight="1">
      <c r="B6" s="26" t="s">
        <v>285</v>
      </c>
      <c r="E6" s="26" t="s">
        <v>286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2026-09-25T09:46:18Z</dcterms:modified>
</cp:coreProperties>
</file>