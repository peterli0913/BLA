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Action Tracker" sheetId="1" state="visible" r:id="rId1"/>
    <sheet xmlns:r="http://schemas.openxmlformats.org/officeDocument/2006/relationships" name="Summary" sheetId="2" state="visible" r:id="rId2"/>
    <sheet xmlns:r="http://schemas.openxmlformats.org/officeDocument/2006/relationships" name="Instructions" sheetId="3" state="hidden" r:id="rId3"/>
    <sheet xmlns:r="http://schemas.openxmlformats.org/officeDocument/2006/relationships" name="Sheet1" sheetId="4" state="visible" r:id="rId4"/>
  </sheets>
  <definedNames/>
  <calcPr calcId="0" fullCalcOnLoad="1"/>
</workbook>
</file>

<file path=xl/styles.xml><?xml version="1.0" encoding="utf-8"?>
<styleSheet xmlns="http://schemas.openxmlformats.org/spreadsheetml/2006/main">
  <numFmts count="0"/>
  <fonts count="303">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微软雅黑"/>
      <b val="1"/>
      <color rgb="FFFFD966"/>
      <sz val="11"/>
    </font>
    <font>
      <name val="宋体"/>
      <b val="1"/>
      <color rgb="FF000000"/>
      <sz val="11"/>
    </font>
    <font>
      <name val="微软雅黑"/>
      <color rgb="FF000000"/>
      <sz val="11"/>
    </font>
    <font>
      <name val="微软雅黑"/>
      <color rgb="FFFF0000"/>
      <sz val="11"/>
    </font>
    <font>
      <name val="微软雅黑"/>
      <color rgb="FF008000"/>
      <sz val="11"/>
    </font>
    <font>
      <name val="微软雅黑"/>
      <color rgb="FF666666"/>
      <sz val="11"/>
    </font>
    <font>
      <name val="微软雅黑"/>
      <b val="1"/>
      <color rgb="FFFFFFFF"/>
      <sz val="11"/>
    </font>
    <font>
      <name val="Calibri"/>
      <b val="1"/>
      <color rgb="FFFFFFFF"/>
      <sz val="18"/>
    </font>
    <font>
      <name val="Calibri"/>
      <b val="1"/>
      <color rgb="FFFFFFFF"/>
      <sz val="11"/>
    </font>
    <font>
      <name val="微软雅黑"/>
      <color rgb="FF0000FF"/>
      <sz val="11"/>
    </font>
    <font>
      <name val="微软雅黑"/>
      <color rgb="FF000000"/>
      <sz val="11"/>
    </font>
    <font>
      <name val="微软雅黑"/>
      <b val="1"/>
      <color rgb="FFFFFFFF"/>
      <sz val="11"/>
    </font>
    <font>
      <name val="微软雅黑"/>
      <b val="1"/>
      <color rgb="FFFFFFFF"/>
      <sz val="11"/>
    </font>
    <font>
      <name val="微软雅黑"/>
      <b val="1"/>
      <color rgb="FFFFFFFF"/>
      <sz val="11"/>
    </font>
    <font>
      <name val="微软雅黑"/>
      <b val="1"/>
      <color rgb="FFFFFFFF"/>
      <sz val="11"/>
    </font>
    <font>
      <name val="微软雅黑"/>
      <b val="1"/>
      <color rgb="FFFFFFFF"/>
      <sz val="11"/>
    </font>
    <font>
      <name val="微软雅黑"/>
      <b val="1"/>
      <color rgb="FFFFFFFF"/>
      <sz val="11"/>
    </font>
    <font>
      <name val="微软雅黑"/>
      <b val="1"/>
      <color rgb="FFFFFFFF"/>
      <sz val="11"/>
    </font>
    <font>
      <name val="微软雅黑"/>
      <color rgb="FFFF0000"/>
      <sz val="11"/>
    </font>
    <font>
      <name val="微软雅黑"/>
      <color rgb="FF008000"/>
      <sz val="11"/>
    </font>
    <font>
      <name val="微软雅黑"/>
      <color rgb="FF666666"/>
      <sz val="11"/>
    </font>
    <font>
      <name val="微软雅黑"/>
      <color rgb="FFFF0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宋体"/>
      <color rgb="FF000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宋体"/>
      <color rgb="FF000000"/>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宋体"/>
      <color rgb="FF000000"/>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FF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宋体"/>
      <color rgb="FF00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FF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FF0000"/>
      <sz val="11"/>
    </font>
    <font>
      <name val="微软雅黑"/>
      <color rgb="FF008000"/>
      <sz val="11"/>
    </font>
    <font>
      <name val="微软雅黑"/>
      <color rgb="FF666666"/>
      <sz val="11"/>
    </font>
    <font>
      <name val="微软雅黑"/>
      <color rgb="FFFF0000"/>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FF0000"/>
      <sz val="11"/>
    </font>
    <font>
      <name val="微软雅黑"/>
      <color rgb="FF666666"/>
      <sz val="11"/>
    </font>
    <font>
      <name val="宋体"/>
      <color rgb="FF00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FF0000"/>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宋体"/>
      <color rgb="FF000000"/>
      <sz val="11"/>
    </font>
    <font>
      <name val="微软雅黑"/>
      <color rgb="FFFF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FF0000"/>
      <sz val="11"/>
    </font>
    <font>
      <name val="微软雅黑"/>
      <color rgb="FF666666"/>
      <sz val="11"/>
    </font>
    <font>
      <name val="宋体"/>
      <color rgb="FF000000"/>
      <sz val="11"/>
    </font>
    <font>
      <name val="微软雅黑"/>
      <color rgb="FF008000"/>
      <sz val="11"/>
    </font>
    <font>
      <name val="微软雅黑"/>
      <color rgb="FF666666"/>
      <sz val="11"/>
    </font>
    <font>
      <name val="微软雅黑"/>
      <color rgb="FFFF0000"/>
      <sz val="11"/>
    </font>
    <font>
      <name val="微软雅黑"/>
      <color rgb="FF666666"/>
      <sz val="11"/>
    </font>
    <font>
      <name val="微软雅黑"/>
      <color rgb="FF666666"/>
      <sz val="11"/>
    </font>
    <font>
      <name val="宋体"/>
      <color rgb="FF00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FF0000"/>
      <sz val="11"/>
    </font>
    <font>
      <name val="微软雅黑"/>
      <color rgb="FF008000"/>
      <sz val="11"/>
    </font>
    <font>
      <name val="微软雅黑"/>
      <color rgb="FF666666"/>
      <sz val="11"/>
    </font>
    <font>
      <name val="微软雅黑"/>
      <color rgb="FFFF0000"/>
      <sz val="11"/>
    </font>
    <font>
      <name val="微软雅黑"/>
      <color rgb="FF666666"/>
      <sz val="11"/>
    </font>
    <font>
      <name val="微软雅黑"/>
      <color rgb="FF666666"/>
      <sz val="11"/>
    </font>
    <font>
      <name val="宋体"/>
      <color rgb="FF00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宋体"/>
      <color rgb="FF000000"/>
      <sz val="11"/>
    </font>
    <font>
      <name val="微软雅黑"/>
      <color rgb="FFFF0000"/>
      <sz val="11"/>
    </font>
    <font>
      <name val="微软雅黑"/>
      <color rgb="FF008000"/>
      <sz val="11"/>
    </font>
    <font>
      <name val="微软雅黑"/>
      <color rgb="FF666666"/>
      <sz val="11"/>
    </font>
    <font>
      <name val="微软雅黑"/>
      <color rgb="FF666666"/>
      <sz val="11"/>
    </font>
    <font>
      <name val="微软雅黑"/>
      <color rgb="FF666666"/>
      <sz val="11"/>
    </font>
    <font>
      <name val="宋体"/>
      <color rgb="FF000000"/>
      <sz val="11"/>
    </font>
    <font>
      <name val="微软雅黑"/>
      <color rgb="FFFF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FF0000"/>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宋体"/>
      <color rgb="FF000000"/>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宋体"/>
      <color rgb="FF000000"/>
      <sz val="11"/>
    </font>
    <font>
      <name val="微软雅黑"/>
      <color rgb="FFFF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FF0000"/>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
      <name val="微软雅黑"/>
      <color rgb="FF666666"/>
      <sz val="11"/>
    </font>
    <font>
      <name val="微软雅黑"/>
      <color rgb="FFFF0000"/>
      <sz val="11"/>
    </font>
    <font>
      <name val="微软雅黑"/>
      <color rgb="FF008000"/>
      <sz val="11"/>
    </font>
    <font>
      <name val="微软雅黑"/>
      <color rgb="FF666666"/>
      <sz val="11"/>
    </font>
    <font>
      <name val="微软雅黑"/>
      <color rgb="FF666666"/>
      <sz val="11"/>
    </font>
    <font>
      <name val="微软雅黑"/>
      <color rgb="FF666666"/>
      <sz val="11"/>
    </font>
    <font>
      <name val="宋体"/>
      <color rgb="FF000000"/>
      <sz val="11"/>
    </font>
    <font>
      <name val="微软雅黑"/>
      <color rgb="FF666666"/>
      <sz val="11"/>
    </font>
    <font>
      <name val="微软雅黑"/>
      <color rgb="FF008000"/>
      <sz val="11"/>
    </font>
    <font>
      <name val="微软雅黑"/>
      <color rgb="FF666666"/>
      <sz val="11"/>
    </font>
    <font>
      <name val="微软雅黑"/>
      <color rgb="FF666666"/>
      <sz val="11"/>
    </font>
    <font>
      <name val="微软雅黑"/>
      <color rgb="FF666666"/>
      <sz val="11"/>
    </font>
  </fonts>
  <fills count="8">
    <fill>
      <patternFill/>
    </fill>
    <fill>
      <patternFill patternType="gray125"/>
    </fill>
    <fill>
      <patternFill patternType="solid">
        <fgColor rgb="FF1F4E78"/>
      </patternFill>
    </fill>
    <fill>
      <patternFill patternType="solid">
        <fgColor rgb="FF4F81BD"/>
      </patternFill>
    </fill>
    <fill>
      <patternFill patternType="solid">
        <fgColor rgb="FFFFFF00"/>
      </patternFill>
    </fill>
    <fill>
      <patternFill patternType="solid">
        <fgColor rgb="FFDCE6F2"/>
      </patternFill>
    </fill>
    <fill>
      <patternFill patternType="solid">
        <fgColor rgb="FF00B050"/>
      </patternFill>
    </fill>
    <fill>
      <patternFill patternType="solid">
        <fgColor rgb="FFDAE2F6"/>
      </patternFill>
    </fill>
  </fills>
  <borders count="2">
    <border>
      <left/>
      <right/>
      <top/>
      <bottom/>
      <diagonal/>
    </border>
    <border>
      <left style="thin">
        <color rgb="FFA4A5A5"/>
      </left>
      <right style="thin">
        <color rgb="FFA4A5A5"/>
      </right>
      <top style="thin">
        <color rgb="FFA4A5A5"/>
      </top>
      <bottom style="thin">
        <color rgb="FFA4A5A5"/>
      </bottom>
      <diagonal/>
    </border>
  </borders>
  <cellStyleXfs count="2">
    <xf numFmtId="0" fontId="0" fillId="0" borderId="0" applyAlignment="1">
      <alignment vertical="center"/>
    </xf>
    <xf numFmtId="0" fontId="2" fillId="0" borderId="0" applyAlignment="1">
      <alignment vertical="center"/>
    </xf>
  </cellStyleXfs>
  <cellXfs count="563">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1" applyAlignment="1" pivotButton="0" quotePrefix="0" xfId="0">
      <alignment horizontal="general" vertical="bottom"/>
    </xf>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3" borderId="1" applyAlignment="1" pivotButton="0" quotePrefix="0" xfId="0">
      <alignment horizontal="center" vertical="center"/>
    </xf>
    <xf numFmtId="0" fontId="7" fillId="4" borderId="1" applyAlignment="1" pivotButton="0" quotePrefix="0" xfId="0">
      <alignment horizontal="general" vertical="top" wrapText="1"/>
    </xf>
    <xf numFmtId="0" fontId="8" fillId="4"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5" borderId="1" applyAlignment="1" pivotButton="0" quotePrefix="0" xfId="0">
      <alignment horizontal="general" vertical="top" wrapText="1"/>
    </xf>
    <xf numFmtId="0" fontId="4" fillId="5" borderId="1" applyAlignment="1" pivotButton="0" quotePrefix="0" xfId="0">
      <alignment horizontal="center" vertical="center" wrapText="1"/>
    </xf>
    <xf numFmtId="0" fontId="4" fillId="5" borderId="1" applyAlignment="1" pivotButton="0" quotePrefix="0" xfId="0">
      <alignment horizontal="center" vertical="center"/>
    </xf>
    <xf numFmtId="0" fontId="7"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8" fillId="0" borderId="1" applyAlignment="1" pivotButton="0" quotePrefix="0" xfId="0">
      <alignment horizontal="general" vertical="top" wrapText="1"/>
    </xf>
    <xf numFmtId="0" fontId="7" fillId="6"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0" borderId="1" applyAlignment="1" pivotButton="0" quotePrefix="0" xfId="0">
      <alignment horizontal="left" vertical="center" wrapText="1"/>
    </xf>
    <xf numFmtId="0" fontId="10" fillId="5" borderId="1" applyAlignment="1" pivotButton="0" quotePrefix="0" xfId="0">
      <alignment horizontal="left" vertical="center" wrapText="1"/>
    </xf>
    <xf numFmtId="0" fontId="4" fillId="0" borderId="0" applyAlignment="1" pivotButton="0" quotePrefix="0" xfId="0">
      <alignment horizontal="general" vertical="bottom"/>
    </xf>
    <xf numFmtId="14" fontId="10"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11" fillId="2" borderId="1" applyAlignment="1" pivotButton="0" quotePrefix="0" xfId="0">
      <alignment horizontal="center" vertical="center" wrapText="1"/>
    </xf>
    <xf numFmtId="0" fontId="11" fillId="2" borderId="1" applyAlignment="1" pivotButton="0" quotePrefix="0" xfId="0">
      <alignment horizontal="center" vertical="center" wrapText="1"/>
    </xf>
    <xf numFmtId="0" fontId="11" fillId="2" borderId="1" applyAlignment="1" pivotButton="0" quotePrefix="0" xfId="0">
      <alignment horizontal="center" vertical="center" wrapText="1"/>
    </xf>
    <xf numFmtId="0" fontId="11" fillId="2" borderId="1" applyAlignment="1" pivotButton="0" quotePrefix="0" xfId="0">
      <alignment horizontal="center" vertical="center" wrapText="1"/>
    </xf>
    <xf numFmtId="0" fontId="11" fillId="2" borderId="1" applyAlignment="1" pivotButton="0" quotePrefix="0" xfId="0">
      <alignment horizontal="center" vertical="center" wrapText="1"/>
    </xf>
    <xf numFmtId="0" fontId="11" fillId="2" borderId="1" applyAlignment="1" pivotButton="0" quotePrefix="0" xfId="0">
      <alignment horizontal="center" vertical="center" wrapText="1"/>
    </xf>
    <xf numFmtId="0" fontId="8" fillId="4"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4" fillId="0" borderId="1" applyAlignment="1" pivotButton="0" quotePrefix="0" xfId="0">
      <alignment horizontal="center" vertical="center"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4" fillId="0" borderId="1" applyAlignment="1" pivotButton="0" quotePrefix="0" xfId="0">
      <alignment horizontal="center" vertical="center"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4" fillId="5" borderId="1" applyAlignment="1" pivotButton="0" quotePrefix="0" xfId="0">
      <alignment horizontal="center" vertical="center"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8"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4"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8" fillId="0"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8" fillId="0" borderId="1" applyAlignment="1" pivotButton="0" quotePrefix="0" xfId="0">
      <alignment horizontal="general" vertical="top" wrapText="1"/>
    </xf>
    <xf numFmtId="0" fontId="4" fillId="0" borderId="1" applyAlignment="1" pivotButton="0" quotePrefix="0" xfId="0">
      <alignment horizontal="center" vertical="center"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4" fillId="0" borderId="1" applyAlignment="1" pivotButton="0" quotePrefix="0" xfId="0">
      <alignment horizontal="center" vertical="center" wrapText="1"/>
    </xf>
    <xf numFmtId="0" fontId="8" fillId="4"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5" borderId="1" applyAlignment="1" pivotButton="0" quotePrefix="0" xfId="0">
      <alignment horizontal="general" vertical="top" wrapText="1"/>
    </xf>
    <xf numFmtId="0" fontId="4" fillId="5" borderId="1" applyAlignment="1" pivotButton="0" quotePrefix="0" xfId="0">
      <alignment horizontal="center" vertical="center"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8" fillId="0" borderId="1" applyAlignment="1" pivotButton="0" quotePrefix="0" xfId="0">
      <alignment horizontal="general" vertical="top" wrapText="1"/>
    </xf>
    <xf numFmtId="0" fontId="4" fillId="0" borderId="1" applyAlignment="1" pivotButton="0" quotePrefix="0" xfId="0">
      <alignment horizontal="center" vertical="center"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4"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8" fillId="0" borderId="1" applyAlignment="1" pivotButton="0" quotePrefix="0" xfId="0">
      <alignment horizontal="general" vertical="top" wrapText="1"/>
    </xf>
    <xf numFmtId="0" fontId="4" fillId="0" borderId="1" applyAlignment="1" pivotButton="0" quotePrefix="0" xfId="0">
      <alignment horizontal="center" vertical="center"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8" fillId="4"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8"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4" fillId="0" borderId="1" applyAlignment="1" pivotButton="0" quotePrefix="0" xfId="0">
      <alignment horizontal="center" vertical="center"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4" fillId="5" borderId="1" applyAlignment="1" pivotButton="0" quotePrefix="0" xfId="0">
      <alignment horizontal="center" vertical="center"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8"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8" fillId="0" borderId="1" applyAlignment="1" pivotButton="0" quotePrefix="0" xfId="0">
      <alignment horizontal="general" vertical="top" wrapText="1"/>
    </xf>
    <xf numFmtId="0" fontId="9"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4" fillId="0" borderId="1" applyAlignment="1" pivotButton="0" quotePrefix="0" xfId="0">
      <alignment horizontal="center" vertical="center" wrapText="1"/>
    </xf>
    <xf numFmtId="0" fontId="10" fillId="5" borderId="1" applyAlignment="1" pivotButton="0" quotePrefix="0" xfId="0">
      <alignment horizontal="general" vertical="top" wrapText="1"/>
    </xf>
    <xf numFmtId="0" fontId="9"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0" fillId="5" borderId="1" applyAlignment="1" pivotButton="0" quotePrefix="0" xfId="0">
      <alignment horizontal="general" vertical="top" wrapText="1"/>
    </xf>
    <xf numFmtId="0" fontId="12" fillId="2" borderId="0" applyAlignment="1" pivotButton="0" quotePrefix="0" xfId="0">
      <alignment horizontal="general" vertical="bottom"/>
    </xf>
    <xf numFmtId="0" fontId="4" fillId="0" borderId="0" applyAlignment="1" pivotButton="0" quotePrefix="0" xfId="0">
      <alignment horizontal="general" vertical="bottom"/>
    </xf>
    <xf numFmtId="0" fontId="4" fillId="0" borderId="0" applyAlignment="1" pivotButton="0" quotePrefix="0" xfId="0">
      <alignment horizontal="general" vertical="top" wrapText="1"/>
    </xf>
    <xf numFmtId="58" fontId="10" fillId="5" borderId="1" applyAlignment="1" pivotButton="0" quotePrefix="0" xfId="0">
      <alignment horizontal="left" vertical="center" wrapText="1"/>
    </xf>
    <xf numFmtId="0" fontId="10" fillId="4" borderId="1" applyAlignment="1" pivotButton="0" quotePrefix="0" xfId="0">
      <alignment horizontal="left" vertical="center" wrapText="1"/>
    </xf>
    <xf numFmtId="0" fontId="13" fillId="2" borderId="0" applyAlignment="1" pivotButton="0" quotePrefix="0" xfId="0">
      <alignment horizontal="general" vertical="bottom"/>
    </xf>
    <xf numFmtId="0" fontId="10" fillId="0" borderId="1" applyAlignment="1" pivotButton="0" quotePrefix="0" xfId="0">
      <alignment horizontal="center" vertical="center" wrapText="1"/>
    </xf>
    <xf numFmtId="0" fontId="10" fillId="5" borderId="1" applyAlignment="1" pivotButton="0" quotePrefix="0" xfId="0">
      <alignment horizontal="center" vertical="center" wrapText="1"/>
    </xf>
    <xf numFmtId="14" fontId="10" fillId="5" borderId="1" applyAlignment="1" pivotButton="0" quotePrefix="0" xfId="0">
      <alignment horizontal="left" vertical="center" wrapText="1"/>
    </xf>
    <xf numFmtId="0" fontId="4" fillId="0" borderId="1" applyAlignment="1" pivotButton="0" quotePrefix="0" xfId="0">
      <alignment horizontal="general" vertical="center"/>
    </xf>
    <xf numFmtId="0" fontId="10" fillId="5" borderId="1" applyAlignment="1" pivotButton="0" quotePrefix="0" xfId="0">
      <alignment horizontal="general" vertical="center" wrapText="1"/>
    </xf>
    <xf numFmtId="0" fontId="10" fillId="0" borderId="1" applyAlignment="1" pivotButton="0" quotePrefix="0" xfId="0">
      <alignment horizontal="general" vertical="center" wrapText="1"/>
    </xf>
    <xf numFmtId="0" fontId="14" fillId="5" borderId="1" applyAlignment="1" pivotButton="0" quotePrefix="0" xfId="0">
      <alignment horizontal="center" vertical="center" wrapText="1"/>
    </xf>
    <xf numFmtId="0" fontId="14" fillId="0" borderId="1" applyAlignment="1" pivotButton="0" quotePrefix="0" xfId="0">
      <alignment horizontal="center" vertical="center" wrapText="1"/>
    </xf>
    <xf numFmtId="0" fontId="14" fillId="7" borderId="1" applyAlignment="1" pivotButton="0" quotePrefix="0" xfId="0">
      <alignment horizontal="center" vertical="center" wrapText="1"/>
    </xf>
    <xf numFmtId="0" fontId="15" fillId="0" borderId="1" applyAlignment="1" pivotButton="0" quotePrefix="0" xfId="0">
      <alignment horizontal="center" vertical="center" wrapText="1"/>
    </xf>
    <xf numFmtId="0" fontId="16" fillId="2" borderId="1" applyAlignment="1" pivotButton="0" quotePrefix="0" xfId="0">
      <alignment horizontal="center" vertical="center" wrapText="1"/>
    </xf>
    <xf numFmtId="0" fontId="17" fillId="2" borderId="1" applyAlignment="1" pivotButton="0" quotePrefix="0" xfId="0">
      <alignment horizontal="center" vertical="center" wrapText="1"/>
    </xf>
    <xf numFmtId="0" fontId="18" fillId="2" borderId="1" applyAlignment="1" pivotButton="0" quotePrefix="0" xfId="0">
      <alignment horizontal="center" vertical="center" wrapText="1"/>
    </xf>
    <xf numFmtId="0" fontId="19" fillId="2" borderId="1" applyAlignment="1" pivotButton="0" quotePrefix="0" xfId="0">
      <alignment horizontal="center" vertical="center" wrapText="1"/>
    </xf>
    <xf numFmtId="0" fontId="20" fillId="2" borderId="1" applyAlignment="1" pivotButton="0" quotePrefix="0" xfId="0">
      <alignment horizontal="center" vertical="center" wrapText="1"/>
    </xf>
    <xf numFmtId="0" fontId="21" fillId="2" borderId="1" applyAlignment="1" pivotButton="0" quotePrefix="0" xfId="0">
      <alignment horizontal="center" vertical="center" wrapText="1"/>
    </xf>
    <xf numFmtId="0" fontId="22" fillId="2" borderId="1" applyAlignment="1" pivotButton="0" quotePrefix="0" xfId="0">
      <alignment horizontal="center" vertical="center" wrapText="1"/>
    </xf>
    <xf numFmtId="0" fontId="23" fillId="4" borderId="1" applyAlignment="1" pivotButton="0" quotePrefix="0" xfId="0">
      <alignment horizontal="general" vertical="top" wrapText="1"/>
    </xf>
    <xf numFmtId="0" fontId="24" fillId="5" borderId="1" applyAlignment="1" pivotButton="0" quotePrefix="0" xfId="0">
      <alignment horizontal="general" vertical="top" wrapText="1"/>
    </xf>
    <xf numFmtId="0" fontId="25" fillId="5" borderId="1" applyAlignment="1" pivotButton="0" quotePrefix="0" xfId="0">
      <alignment horizontal="general" vertical="top" wrapText="1"/>
    </xf>
    <xf numFmtId="0" fontId="26" fillId="5" borderId="1" applyAlignment="1" pivotButton="0" quotePrefix="0" xfId="0">
      <alignment horizontal="general" vertical="top" wrapText="1"/>
    </xf>
    <xf numFmtId="0" fontId="27" fillId="5" borderId="1" applyAlignment="1" pivotButton="0" quotePrefix="0" xfId="0">
      <alignment horizontal="general" vertical="center" wrapText="1"/>
    </xf>
    <xf numFmtId="0" fontId="28" fillId="5" borderId="1" applyAlignment="1" pivotButton="0" quotePrefix="0" xfId="0">
      <alignment horizontal="general" vertical="center" wrapText="1"/>
    </xf>
    <xf numFmtId="0" fontId="29" fillId="5" borderId="1" applyAlignment="1" pivotButton="0" quotePrefix="0" xfId="0">
      <alignment horizontal="general" vertical="top" wrapText="1"/>
    </xf>
    <xf numFmtId="0" fontId="30" fillId="0" borderId="1" applyAlignment="1" pivotButton="0" quotePrefix="0" xfId="0">
      <alignment horizontal="general" vertical="top" wrapText="1"/>
    </xf>
    <xf numFmtId="0" fontId="31" fillId="0" borderId="1" applyAlignment="1" pivotButton="0" quotePrefix="0" xfId="0">
      <alignment horizontal="general" vertical="top" wrapText="1"/>
    </xf>
    <xf numFmtId="0" fontId="32" fillId="0" borderId="1" applyAlignment="1" pivotButton="0" quotePrefix="0" xfId="0">
      <alignment horizontal="general" vertical="top" wrapText="1"/>
    </xf>
    <xf numFmtId="0" fontId="33" fillId="0" borderId="1" applyAlignment="1" pivotButton="0" quotePrefix="0" xfId="0">
      <alignment horizontal="general" vertical="top" wrapText="1"/>
    </xf>
    <xf numFmtId="0" fontId="34" fillId="0" borderId="1" applyAlignment="1" pivotButton="0" quotePrefix="0" xfId="0">
      <alignment horizontal="general" vertical="center" wrapText="1"/>
    </xf>
    <xf numFmtId="0" fontId="35" fillId="5" borderId="1" applyAlignment="1" pivotButton="0" quotePrefix="0" xfId="0">
      <alignment horizontal="general" vertical="top" wrapText="1"/>
    </xf>
    <xf numFmtId="0" fontId="36" fillId="5" borderId="1" applyAlignment="1" pivotButton="0" quotePrefix="0" xfId="0">
      <alignment horizontal="general" vertical="top" wrapText="1"/>
    </xf>
    <xf numFmtId="0" fontId="37" fillId="5" borderId="1" applyAlignment="1" pivotButton="0" quotePrefix="0" xfId="0">
      <alignment horizontal="general" vertical="top" wrapText="1"/>
    </xf>
    <xf numFmtId="0" fontId="38" fillId="5" borderId="1" applyAlignment="1" pivotButton="0" quotePrefix="0" xfId="0">
      <alignment horizontal="general" vertical="top" wrapText="1"/>
    </xf>
    <xf numFmtId="0" fontId="39" fillId="5" borderId="1" applyAlignment="1" pivotButton="0" quotePrefix="0" xfId="0">
      <alignment horizontal="general" vertical="center" wrapText="1"/>
    </xf>
    <xf numFmtId="0" fontId="40" fillId="0" borderId="1" applyAlignment="1" pivotButton="0" quotePrefix="0" xfId="0">
      <alignment horizontal="general" vertical="top" wrapText="1"/>
    </xf>
    <xf numFmtId="0" fontId="41" fillId="0" borderId="1" applyAlignment="1" pivotButton="0" quotePrefix="0" xfId="0">
      <alignment horizontal="general" vertical="top" wrapText="1"/>
    </xf>
    <xf numFmtId="0" fontId="42" fillId="0" borderId="1" applyAlignment="1" pivotButton="0" quotePrefix="0" xfId="0">
      <alignment horizontal="general" vertical="top" wrapText="1"/>
    </xf>
    <xf numFmtId="0" fontId="43" fillId="0" borderId="1" applyAlignment="1" pivotButton="0" quotePrefix="0" xfId="0">
      <alignment horizontal="left" vertical="center" wrapText="1"/>
    </xf>
    <xf numFmtId="0" fontId="44" fillId="0" borderId="1" applyAlignment="1" pivotButton="0" quotePrefix="0" xfId="0">
      <alignment horizontal="general" vertical="center" wrapText="1"/>
    </xf>
    <xf numFmtId="0" fontId="45" fillId="0" borderId="1" applyAlignment="1" pivotButton="0" quotePrefix="0" xfId="0">
      <alignment horizontal="center" vertical="center" wrapText="1"/>
    </xf>
    <xf numFmtId="0" fontId="46" fillId="5" borderId="1" applyAlignment="1" pivotButton="0" quotePrefix="0" xfId="0">
      <alignment horizontal="general" vertical="top" wrapText="1"/>
    </xf>
    <xf numFmtId="0" fontId="47" fillId="5" borderId="1" applyAlignment="1" pivotButton="0" quotePrefix="0" xfId="0">
      <alignment horizontal="general" vertical="top" wrapText="1"/>
    </xf>
    <xf numFmtId="0" fontId="48" fillId="5" borderId="1" applyAlignment="1" pivotButton="0" quotePrefix="0" xfId="0">
      <alignment horizontal="general" vertical="top" wrapText="1"/>
    </xf>
    <xf numFmtId="0" fontId="49" fillId="5" borderId="1" applyAlignment="1" pivotButton="0" quotePrefix="0" xfId="0">
      <alignment horizontal="general" vertical="center" wrapText="1"/>
    </xf>
    <xf numFmtId="0" fontId="50" fillId="5" borderId="1" applyAlignment="1" pivotButton="0" quotePrefix="0" xfId="0">
      <alignment horizontal="general" vertical="top" wrapText="1"/>
    </xf>
    <xf numFmtId="0" fontId="51" fillId="0" borderId="1" applyAlignment="1" pivotButton="0" quotePrefix="0" xfId="0">
      <alignment horizontal="general" vertical="top" wrapText="1"/>
    </xf>
    <xf numFmtId="0" fontId="52" fillId="0" borderId="1" applyAlignment="1" pivotButton="0" quotePrefix="0" xfId="0">
      <alignment horizontal="general" vertical="top" wrapText="1"/>
    </xf>
    <xf numFmtId="0" fontId="53" fillId="0" borderId="1" applyAlignment="1" pivotButton="0" quotePrefix="0" xfId="0">
      <alignment horizontal="general" vertical="top" wrapText="1"/>
    </xf>
    <xf numFmtId="0" fontId="54" fillId="0" borderId="1" applyAlignment="1" pivotButton="0" quotePrefix="0" xfId="0">
      <alignment horizontal="general" vertical="top" wrapText="1"/>
    </xf>
    <xf numFmtId="0" fontId="55" fillId="0" borderId="1" applyAlignment="1" pivotButton="0" quotePrefix="0" xfId="0">
      <alignment horizontal="general" vertical="center" wrapText="1"/>
    </xf>
    <xf numFmtId="0" fontId="56" fillId="0" borderId="1" applyAlignment="1" pivotButton="0" quotePrefix="0" xfId="0">
      <alignment horizontal="general" vertical="top" wrapText="1"/>
    </xf>
    <xf numFmtId="0" fontId="57" fillId="0" borderId="1" applyAlignment="1" pivotButton="0" quotePrefix="0" xfId="0">
      <alignment horizontal="center" vertical="center" wrapText="1"/>
    </xf>
    <xf numFmtId="0" fontId="58" fillId="5" borderId="1" applyAlignment="1" pivotButton="0" quotePrefix="0" xfId="0">
      <alignment horizontal="general" vertical="top" wrapText="1"/>
    </xf>
    <xf numFmtId="0" fontId="59" fillId="5" borderId="1" applyAlignment="1" pivotButton="0" quotePrefix="0" xfId="0">
      <alignment horizontal="general" vertical="top" wrapText="1"/>
    </xf>
    <xf numFmtId="0" fontId="60" fillId="5" borderId="1" applyAlignment="1" pivotButton="0" quotePrefix="0" xfId="0">
      <alignment horizontal="general" vertical="top" wrapText="1"/>
    </xf>
    <xf numFmtId="0" fontId="61" fillId="5" borderId="1" applyAlignment="1" pivotButton="0" quotePrefix="0" xfId="0">
      <alignment horizontal="general" vertical="top" wrapText="1"/>
    </xf>
    <xf numFmtId="0" fontId="62" fillId="5" borderId="1" applyAlignment="1" pivotButton="0" quotePrefix="0" xfId="0">
      <alignment horizontal="general" vertical="center" wrapText="1"/>
    </xf>
    <xf numFmtId="0" fontId="63" fillId="5" borderId="1" applyAlignment="1" pivotButton="0" quotePrefix="0" xfId="0">
      <alignment horizontal="general" vertical="top" wrapText="1"/>
    </xf>
    <xf numFmtId="0" fontId="64" fillId="0" borderId="1" applyAlignment="1" pivotButton="0" quotePrefix="0" xfId="0">
      <alignment horizontal="general" vertical="top" wrapText="1"/>
    </xf>
    <xf numFmtId="0" fontId="65" fillId="0" borderId="1" applyAlignment="1" pivotButton="0" quotePrefix="0" xfId="0">
      <alignment horizontal="general" vertical="top" wrapText="1"/>
    </xf>
    <xf numFmtId="0" fontId="66" fillId="0" borderId="1" applyAlignment="1" pivotButton="0" quotePrefix="0" xfId="0">
      <alignment horizontal="general" vertical="top" wrapText="1"/>
    </xf>
    <xf numFmtId="0" fontId="67" fillId="0" borderId="1" applyAlignment="1" pivotButton="0" quotePrefix="0" xfId="0">
      <alignment horizontal="general" vertical="top" wrapText="1"/>
    </xf>
    <xf numFmtId="0" fontId="68" fillId="0" borderId="1" applyAlignment="1" pivotButton="0" quotePrefix="0" xfId="0">
      <alignment horizontal="general" vertical="center" wrapText="1"/>
    </xf>
    <xf numFmtId="0" fontId="69" fillId="5" borderId="1" applyAlignment="1" pivotButton="0" quotePrefix="0" xfId="0">
      <alignment horizontal="general" vertical="top" wrapText="1"/>
    </xf>
    <xf numFmtId="0" fontId="70" fillId="5" borderId="1" applyAlignment="1" pivotButton="0" quotePrefix="0" xfId="0">
      <alignment horizontal="general" vertical="top" wrapText="1"/>
    </xf>
    <xf numFmtId="0" fontId="71" fillId="5" borderId="1" applyAlignment="1" pivotButton="0" quotePrefix="0" xfId="0">
      <alignment horizontal="general" vertical="top" wrapText="1"/>
    </xf>
    <xf numFmtId="0" fontId="72" fillId="5" borderId="1" applyAlignment="1" pivotButton="0" quotePrefix="0" xfId="0">
      <alignment horizontal="general" vertical="center" wrapText="1"/>
    </xf>
    <xf numFmtId="0" fontId="73" fillId="5" borderId="1" applyAlignment="1" pivotButton="0" quotePrefix="0" xfId="0">
      <alignment horizontal="center" vertical="center" wrapText="1"/>
    </xf>
    <xf numFmtId="0" fontId="74" fillId="0" borderId="1" applyAlignment="1" pivotButton="0" quotePrefix="0" xfId="0">
      <alignment horizontal="general" vertical="top" wrapText="1"/>
    </xf>
    <xf numFmtId="0" fontId="75" fillId="0" borderId="1" applyAlignment="1" pivotButton="0" quotePrefix="0" xfId="0">
      <alignment horizontal="general" vertical="top" wrapText="1"/>
    </xf>
    <xf numFmtId="0" fontId="76" fillId="0" borderId="1" applyAlignment="1" pivotButton="0" quotePrefix="0" xfId="0">
      <alignment horizontal="general" vertical="top" wrapText="1"/>
    </xf>
    <xf numFmtId="0" fontId="77" fillId="0" borderId="1" applyAlignment="1" pivotButton="0" quotePrefix="0" xfId="0">
      <alignment horizontal="general" vertical="top" wrapText="1"/>
    </xf>
    <xf numFmtId="0" fontId="78" fillId="0" borderId="1" applyAlignment="1" pivotButton="0" quotePrefix="0" xfId="0">
      <alignment horizontal="general" vertical="center" wrapText="1"/>
    </xf>
    <xf numFmtId="0" fontId="79" fillId="0" borderId="1" applyAlignment="1" pivotButton="0" quotePrefix="0" xfId="0">
      <alignment horizontal="general" vertical="top" wrapText="1"/>
    </xf>
    <xf numFmtId="0" fontId="80" fillId="5" borderId="1" applyAlignment="1" pivotButton="0" quotePrefix="0" xfId="0">
      <alignment horizontal="general" vertical="top" wrapText="1"/>
    </xf>
    <xf numFmtId="0" fontId="81" fillId="5" borderId="1" applyAlignment="1" pivotButton="0" quotePrefix="0" xfId="0">
      <alignment horizontal="general" vertical="top" wrapText="1"/>
    </xf>
    <xf numFmtId="0" fontId="82" fillId="5" borderId="1" applyAlignment="1" pivotButton="0" quotePrefix="0" xfId="0">
      <alignment horizontal="general" vertical="top" wrapText="1"/>
    </xf>
    <xf numFmtId="0" fontId="83" fillId="5" borderId="1" applyAlignment="1" pivotButton="0" quotePrefix="0" xfId="0">
      <alignment horizontal="general" vertical="top" wrapText="1"/>
    </xf>
    <xf numFmtId="0" fontId="84" fillId="5" borderId="1" applyAlignment="1" pivotButton="0" quotePrefix="0" xfId="0">
      <alignment horizontal="general" vertical="center" wrapText="1"/>
    </xf>
    <xf numFmtId="0" fontId="85" fillId="0" borderId="1" applyAlignment="1" pivotButton="0" quotePrefix="0" xfId="0">
      <alignment horizontal="general" vertical="top" wrapText="1"/>
    </xf>
    <xf numFmtId="0" fontId="86" fillId="0" borderId="1" applyAlignment="1" pivotButton="0" quotePrefix="0" xfId="0">
      <alignment horizontal="general" vertical="top" wrapText="1"/>
    </xf>
    <xf numFmtId="0" fontId="87" fillId="0" borderId="1" applyAlignment="1" pivotButton="0" quotePrefix="0" xfId="0">
      <alignment horizontal="general" vertical="top" wrapText="1"/>
    </xf>
    <xf numFmtId="0" fontId="88" fillId="0" borderId="1" applyAlignment="1" pivotButton="0" quotePrefix="0" xfId="0">
      <alignment horizontal="general" vertical="top" wrapText="1"/>
    </xf>
    <xf numFmtId="0" fontId="89" fillId="0" borderId="1" applyAlignment="1" pivotButton="0" quotePrefix="0" xfId="0">
      <alignment horizontal="general" vertical="center" wrapText="1"/>
    </xf>
    <xf numFmtId="0" fontId="90" fillId="0" borderId="1" applyAlignment="1" pivotButton="0" quotePrefix="0" xfId="0">
      <alignment horizontal="general" vertical="top" wrapText="1"/>
    </xf>
    <xf numFmtId="0" fontId="91" fillId="0" borderId="1" applyAlignment="1" pivotButton="0" quotePrefix="0" xfId="0">
      <alignment horizontal="center" vertical="center" wrapText="1"/>
    </xf>
    <xf numFmtId="0" fontId="92" fillId="5" borderId="1" applyAlignment="1" pivotButton="0" quotePrefix="0" xfId="0">
      <alignment horizontal="general" vertical="top" wrapText="1"/>
    </xf>
    <xf numFmtId="0" fontId="93" fillId="5" borderId="1" applyAlignment="1" pivotButton="0" quotePrefix="0" xfId="0">
      <alignment horizontal="general" vertical="top" wrapText="1"/>
    </xf>
    <xf numFmtId="0" fontId="94" fillId="5" borderId="1" applyAlignment="1" pivotButton="0" quotePrefix="0" xfId="0">
      <alignment horizontal="general" vertical="top" wrapText="1"/>
    </xf>
    <xf numFmtId="0" fontId="95" fillId="5" borderId="1" applyAlignment="1" pivotButton="0" quotePrefix="0" xfId="0">
      <alignment horizontal="left" vertical="center" wrapText="1"/>
    </xf>
    <xf numFmtId="0" fontId="96" fillId="5" borderId="1" applyAlignment="1" pivotButton="0" quotePrefix="0" xfId="0">
      <alignment horizontal="general" vertical="center" wrapText="1"/>
    </xf>
    <xf numFmtId="0" fontId="97" fillId="5" borderId="1" applyAlignment="1" pivotButton="0" quotePrefix="0" xfId="0">
      <alignment horizontal="general" vertical="top" wrapText="1"/>
    </xf>
    <xf numFmtId="0" fontId="98" fillId="0" borderId="1" applyAlignment="1" pivotButton="0" quotePrefix="0" xfId="0">
      <alignment horizontal="general" vertical="top" wrapText="1"/>
    </xf>
    <xf numFmtId="0" fontId="99" fillId="0" borderId="1" applyAlignment="1" pivotButton="0" quotePrefix="0" xfId="0">
      <alignment horizontal="general" vertical="top" wrapText="1"/>
    </xf>
    <xf numFmtId="0" fontId="100" fillId="0" borderId="1" applyAlignment="1" pivotButton="0" quotePrefix="0" xfId="0">
      <alignment horizontal="general" vertical="top" wrapText="1"/>
    </xf>
    <xf numFmtId="0" fontId="101" fillId="0" borderId="1" applyAlignment="1" pivotButton="0" quotePrefix="0" xfId="0">
      <alignment horizontal="general" vertical="top" wrapText="1"/>
    </xf>
    <xf numFmtId="0" fontId="102" fillId="5" borderId="1" applyAlignment="1" pivotButton="0" quotePrefix="0" xfId="0">
      <alignment horizontal="general" vertical="top" wrapText="1"/>
    </xf>
    <xf numFmtId="0" fontId="103" fillId="5" borderId="1" applyAlignment="1" pivotButton="0" quotePrefix="0" xfId="0">
      <alignment horizontal="general" vertical="top" wrapText="1"/>
    </xf>
    <xf numFmtId="0" fontId="104" fillId="5" borderId="1" applyAlignment="1" pivotButton="0" quotePrefix="0" xfId="0">
      <alignment horizontal="general" vertical="top" wrapText="1"/>
    </xf>
    <xf numFmtId="0" fontId="105" fillId="5" borderId="1" applyAlignment="1" pivotButton="0" quotePrefix="0" xfId="0">
      <alignment horizontal="general" vertical="top" wrapText="1"/>
    </xf>
    <xf numFmtId="0" fontId="106" fillId="0" borderId="1" applyAlignment="1" pivotButton="0" quotePrefix="0" xfId="0">
      <alignment horizontal="general" vertical="top" wrapText="1"/>
    </xf>
    <xf numFmtId="0" fontId="107" fillId="0" borderId="1" applyAlignment="1" pivotButton="0" quotePrefix="0" xfId="0">
      <alignment horizontal="general" vertical="top" wrapText="1"/>
    </xf>
    <xf numFmtId="0" fontId="108" fillId="0" borderId="1" applyAlignment="1" pivotButton="0" quotePrefix="0" xfId="0">
      <alignment horizontal="general" vertical="top" wrapText="1"/>
    </xf>
    <xf numFmtId="0" fontId="109" fillId="0" borderId="1" applyAlignment="1" pivotButton="0" quotePrefix="0" xfId="0">
      <alignment horizontal="general" vertical="top" wrapText="1"/>
    </xf>
    <xf numFmtId="0" fontId="110" fillId="5" borderId="1" applyAlignment="1" pivotButton="0" quotePrefix="0" xfId="0">
      <alignment horizontal="general" vertical="top" wrapText="1"/>
    </xf>
    <xf numFmtId="0" fontId="111" fillId="5" borderId="1" applyAlignment="1" pivotButton="0" quotePrefix="0" xfId="0">
      <alignment horizontal="general" vertical="top" wrapText="1"/>
    </xf>
    <xf numFmtId="0" fontId="112" fillId="5" borderId="1" applyAlignment="1" pivotButton="0" quotePrefix="0" xfId="0">
      <alignment horizontal="general" vertical="top" wrapText="1"/>
    </xf>
    <xf numFmtId="0" fontId="113" fillId="5" borderId="1" applyAlignment="1" pivotButton="0" quotePrefix="0" xfId="0">
      <alignment horizontal="general" vertical="top" wrapText="1"/>
    </xf>
    <xf numFmtId="0" fontId="114" fillId="5" borderId="1" applyAlignment="1" pivotButton="0" quotePrefix="0" xfId="0">
      <alignment horizontal="general" vertical="top" wrapText="1"/>
    </xf>
    <xf numFmtId="0" fontId="115" fillId="0" borderId="1" applyAlignment="1" pivotButton="0" quotePrefix="0" xfId="0">
      <alignment horizontal="general" vertical="top" wrapText="1"/>
    </xf>
    <xf numFmtId="0" fontId="116" fillId="0" borderId="1" applyAlignment="1" pivotButton="0" quotePrefix="0" xfId="0">
      <alignment horizontal="general" vertical="top" wrapText="1"/>
    </xf>
    <xf numFmtId="0" fontId="117" fillId="0" borderId="1" applyAlignment="1" pivotButton="0" quotePrefix="0" xfId="0">
      <alignment horizontal="general" vertical="top" wrapText="1"/>
    </xf>
    <xf numFmtId="0" fontId="118" fillId="0" borderId="1" applyAlignment="1" pivotButton="0" quotePrefix="0" xfId="0">
      <alignment horizontal="general" vertical="top" wrapText="1"/>
    </xf>
    <xf numFmtId="0" fontId="119" fillId="5" borderId="1" applyAlignment="1" pivotButton="0" quotePrefix="0" xfId="0">
      <alignment horizontal="general" vertical="top" wrapText="1"/>
    </xf>
    <xf numFmtId="0" fontId="120" fillId="5" borderId="1" applyAlignment="1" pivotButton="0" quotePrefix="0" xfId="0">
      <alignment horizontal="general" vertical="top" wrapText="1"/>
    </xf>
    <xf numFmtId="0" fontId="121" fillId="5" borderId="1" applyAlignment="1" pivotButton="0" quotePrefix="0" xfId="0">
      <alignment horizontal="general" vertical="top" wrapText="1"/>
    </xf>
    <xf numFmtId="0" fontId="122" fillId="5" borderId="1" applyAlignment="1" pivotButton="0" quotePrefix="0" xfId="0">
      <alignment horizontal="general" vertical="top" wrapText="1"/>
    </xf>
    <xf numFmtId="0" fontId="123" fillId="5" borderId="1" applyAlignment="1" pivotButton="0" quotePrefix="0" xfId="0">
      <alignment horizontal="general" vertical="center" wrapText="1"/>
    </xf>
    <xf numFmtId="0" fontId="124" fillId="5" borderId="1" applyAlignment="1" pivotButton="0" quotePrefix="0" xfId="0">
      <alignment horizontal="general" vertical="top" wrapText="1"/>
    </xf>
    <xf numFmtId="0" fontId="125" fillId="4" borderId="1" applyAlignment="1" pivotButton="0" quotePrefix="0" xfId="0">
      <alignment horizontal="general" vertical="top" wrapText="1"/>
    </xf>
    <xf numFmtId="0" fontId="126" fillId="0" borderId="1" applyAlignment="1" pivotButton="0" quotePrefix="0" xfId="0">
      <alignment horizontal="general" vertical="top" wrapText="1"/>
    </xf>
    <xf numFmtId="0" fontId="127" fillId="0" borderId="1" applyAlignment="1" pivotButton="0" quotePrefix="0" xfId="0">
      <alignment horizontal="general" vertical="top" wrapText="1"/>
    </xf>
    <xf numFmtId="0" fontId="128" fillId="0" borderId="1" applyAlignment="1" pivotButton="0" quotePrefix="0" xfId="0">
      <alignment horizontal="general" vertical="top" wrapText="1"/>
    </xf>
    <xf numFmtId="0" fontId="129" fillId="0" borderId="1" applyAlignment="1" pivotButton="0" quotePrefix="0" xfId="0">
      <alignment horizontal="general" vertical="center" wrapText="1"/>
    </xf>
    <xf numFmtId="0" fontId="130" fillId="5" borderId="1" applyAlignment="1" pivotButton="0" quotePrefix="0" xfId="0">
      <alignment horizontal="general" vertical="top" wrapText="1"/>
    </xf>
    <xf numFmtId="0" fontId="131" fillId="5" borderId="1" applyAlignment="1" pivotButton="0" quotePrefix="0" xfId="0">
      <alignment horizontal="general" vertical="top" wrapText="1"/>
    </xf>
    <xf numFmtId="0" fontId="132" fillId="5" borderId="1" applyAlignment="1" pivotButton="0" quotePrefix="0" xfId="0">
      <alignment horizontal="general" vertical="top" wrapText="1"/>
    </xf>
    <xf numFmtId="0" fontId="133" fillId="5" borderId="1" applyAlignment="1" pivotButton="0" quotePrefix="0" xfId="0">
      <alignment horizontal="general" vertical="top" wrapText="1"/>
    </xf>
    <xf numFmtId="0" fontId="134" fillId="5" borderId="1" applyAlignment="1" pivotButton="0" quotePrefix="0" xfId="0">
      <alignment horizontal="general" vertical="center" wrapText="1"/>
    </xf>
    <xf numFmtId="0" fontId="135" fillId="0" borderId="1" applyAlignment="1" pivotButton="0" quotePrefix="0" xfId="0">
      <alignment horizontal="general" vertical="top" wrapText="1"/>
    </xf>
    <xf numFmtId="0" fontId="136" fillId="0" borderId="1" applyAlignment="1" pivotButton="0" quotePrefix="0" xfId="0">
      <alignment horizontal="general" vertical="top" wrapText="1"/>
    </xf>
    <xf numFmtId="0" fontId="137" fillId="0" borderId="1" applyAlignment="1" pivotButton="0" quotePrefix="0" xfId="0">
      <alignment horizontal="general" vertical="top" wrapText="1"/>
    </xf>
    <xf numFmtId="0" fontId="138" fillId="0" borderId="1" applyAlignment="1" pivotButton="0" quotePrefix="0" xfId="0">
      <alignment horizontal="general" vertical="center" wrapText="1"/>
    </xf>
    <xf numFmtId="0" fontId="139" fillId="0" borderId="1" applyAlignment="1" pivotButton="0" quotePrefix="0" xfId="0">
      <alignment horizontal="center" vertical="center" wrapText="1"/>
    </xf>
    <xf numFmtId="0" fontId="140" fillId="5" borderId="1" applyAlignment="1" pivotButton="0" quotePrefix="0" xfId="0">
      <alignment horizontal="general" vertical="top" wrapText="1"/>
    </xf>
    <xf numFmtId="0" fontId="141" fillId="5" borderId="1" applyAlignment="1" pivotButton="0" quotePrefix="0" xfId="0">
      <alignment horizontal="general" vertical="top" wrapText="1"/>
    </xf>
    <xf numFmtId="0" fontId="142" fillId="5" borderId="1" applyAlignment="1" pivotButton="0" quotePrefix="0" xfId="0">
      <alignment horizontal="general" vertical="top" wrapText="1"/>
    </xf>
    <xf numFmtId="0" fontId="143" fillId="5" borderId="1" applyAlignment="1" pivotButton="0" quotePrefix="0" xfId="0">
      <alignment horizontal="general" vertical="center" wrapText="1"/>
    </xf>
    <xf numFmtId="0" fontId="144" fillId="0" borderId="1" applyAlignment="1" pivotButton="0" quotePrefix="0" xfId="0">
      <alignment horizontal="general" vertical="top" wrapText="1"/>
    </xf>
    <xf numFmtId="0" fontId="145" fillId="0" borderId="1" applyAlignment="1" pivotButton="0" quotePrefix="0" xfId="0">
      <alignment horizontal="general" vertical="top" wrapText="1"/>
    </xf>
    <xf numFmtId="0" fontId="146" fillId="0" borderId="1" applyAlignment="1" pivotButton="0" quotePrefix="0" xfId="0">
      <alignment horizontal="general" vertical="top" wrapText="1"/>
    </xf>
    <xf numFmtId="0" fontId="147" fillId="0" borderId="1" applyAlignment="1" pivotButton="0" quotePrefix="0" xfId="0">
      <alignment horizontal="general" vertical="top" wrapText="1"/>
    </xf>
    <xf numFmtId="0" fontId="148" fillId="0" borderId="1" applyAlignment="1" pivotButton="0" quotePrefix="0" xfId="0">
      <alignment horizontal="general" vertical="center" wrapText="1"/>
    </xf>
    <xf numFmtId="0" fontId="149" fillId="0" borderId="1" applyAlignment="1" pivotButton="0" quotePrefix="0" xfId="0">
      <alignment horizontal="general" vertical="top" wrapText="1"/>
    </xf>
    <xf numFmtId="0" fontId="150" fillId="5" borderId="1" applyAlignment="1" pivotButton="0" quotePrefix="0" xfId="0">
      <alignment horizontal="general" vertical="top" wrapText="1"/>
    </xf>
    <xf numFmtId="0" fontId="151" fillId="5" borderId="1" applyAlignment="1" pivotButton="0" quotePrefix="0" xfId="0">
      <alignment horizontal="general" vertical="top" wrapText="1"/>
    </xf>
    <xf numFmtId="0" fontId="152" fillId="5" borderId="1" applyAlignment="1" pivotButton="0" quotePrefix="0" xfId="0">
      <alignment horizontal="general" vertical="top" wrapText="1"/>
    </xf>
    <xf numFmtId="0" fontId="153" fillId="5" borderId="1" applyAlignment="1" pivotButton="0" quotePrefix="0" xfId="0">
      <alignment horizontal="general" vertical="center" wrapText="1"/>
    </xf>
    <xf numFmtId="0" fontId="154" fillId="5" borderId="1" applyAlignment="1" pivotButton="0" quotePrefix="0" xfId="0">
      <alignment horizontal="general" vertical="top" wrapText="1"/>
    </xf>
    <xf numFmtId="0" fontId="155" fillId="0" borderId="1" applyAlignment="1" pivotButton="0" quotePrefix="0" xfId="0">
      <alignment horizontal="general" vertical="top" wrapText="1"/>
    </xf>
    <xf numFmtId="0" fontId="156" fillId="0" borderId="1" applyAlignment="1" pivotButton="0" quotePrefix="0" xfId="0">
      <alignment horizontal="general" vertical="top" wrapText="1"/>
    </xf>
    <xf numFmtId="0" fontId="157" fillId="0" borderId="1" applyAlignment="1" pivotButton="0" quotePrefix="0" xfId="0">
      <alignment horizontal="general" vertical="top" wrapText="1"/>
    </xf>
    <xf numFmtId="0" fontId="158" fillId="0" borderId="1" applyAlignment="1" pivotButton="0" quotePrefix="0" xfId="0">
      <alignment horizontal="general" vertical="center" wrapText="1"/>
    </xf>
    <xf numFmtId="0" fontId="159" fillId="5" borderId="1" applyAlignment="1" pivotButton="0" quotePrefix="0" xfId="0">
      <alignment horizontal="general" vertical="top" wrapText="1"/>
    </xf>
    <xf numFmtId="0" fontId="160" fillId="5" borderId="1" applyAlignment="1" pivotButton="0" quotePrefix="0" xfId="0">
      <alignment horizontal="general" vertical="top" wrapText="1"/>
    </xf>
    <xf numFmtId="0" fontId="161" fillId="5" borderId="1" applyAlignment="1" pivotButton="0" quotePrefix="0" xfId="0">
      <alignment horizontal="general" vertical="top" wrapText="1"/>
    </xf>
    <xf numFmtId="0" fontId="162" fillId="5" borderId="1" applyAlignment="1" pivotButton="0" quotePrefix="0" xfId="0">
      <alignment horizontal="general" vertical="center" wrapText="1"/>
    </xf>
    <xf numFmtId="0" fontId="163" fillId="5" borderId="1" applyAlignment="1" pivotButton="0" quotePrefix="0" xfId="0">
      <alignment horizontal="general" vertical="top" wrapText="1"/>
    </xf>
    <xf numFmtId="0" fontId="164" fillId="0" borderId="1" applyAlignment="1" pivotButton="0" quotePrefix="0" xfId="0">
      <alignment horizontal="general" vertical="top" wrapText="1"/>
    </xf>
    <xf numFmtId="0" fontId="165" fillId="0" borderId="1" applyAlignment="1" pivotButton="0" quotePrefix="0" xfId="0">
      <alignment horizontal="general" vertical="top" wrapText="1"/>
    </xf>
    <xf numFmtId="0" fontId="166" fillId="0" borderId="1" applyAlignment="1" pivotButton="0" quotePrefix="0" xfId="0">
      <alignment horizontal="general" vertical="center" wrapText="1"/>
    </xf>
    <xf numFmtId="0" fontId="167" fillId="5" borderId="1" applyAlignment="1" pivotButton="0" quotePrefix="0" xfId="0">
      <alignment horizontal="general" vertical="top" wrapText="1"/>
    </xf>
    <xf numFmtId="0" fontId="168" fillId="5" borderId="1" applyAlignment="1" pivotButton="0" quotePrefix="0" xfId="0">
      <alignment horizontal="general" vertical="top" wrapText="1"/>
    </xf>
    <xf numFmtId="0" fontId="169" fillId="5" borderId="1" applyAlignment="1" pivotButton="0" quotePrefix="0" xfId="0">
      <alignment horizontal="general" vertical="top" wrapText="1"/>
    </xf>
    <xf numFmtId="0" fontId="170" fillId="5" borderId="1" applyAlignment="1" pivotButton="0" quotePrefix="0" xfId="0">
      <alignment horizontal="general" vertical="center" wrapText="1"/>
    </xf>
    <xf numFmtId="0" fontId="171" fillId="5" borderId="1" applyAlignment="1" pivotButton="0" quotePrefix="0" xfId="0">
      <alignment horizontal="general" vertical="top" wrapText="1"/>
    </xf>
    <xf numFmtId="0" fontId="172" fillId="0" borderId="1" applyAlignment="1" pivotButton="0" quotePrefix="0" xfId="0">
      <alignment horizontal="general" vertical="top" wrapText="1"/>
    </xf>
    <xf numFmtId="0" fontId="173" fillId="0" borderId="1" applyAlignment="1" pivotButton="0" quotePrefix="0" xfId="0">
      <alignment horizontal="general" vertical="top" wrapText="1"/>
    </xf>
    <xf numFmtId="0" fontId="174" fillId="0" borderId="1" applyAlignment="1" pivotButton="0" quotePrefix="0" xfId="0">
      <alignment horizontal="general" vertical="top" wrapText="1"/>
    </xf>
    <xf numFmtId="0" fontId="175" fillId="0" borderId="1" applyAlignment="1" pivotButton="0" quotePrefix="0" xfId="0">
      <alignment horizontal="general" vertical="center" wrapText="1"/>
    </xf>
    <xf numFmtId="0" fontId="176" fillId="0" borderId="1" applyAlignment="1" pivotButton="0" quotePrefix="0" xfId="0">
      <alignment horizontal="center" vertical="center" wrapText="1"/>
    </xf>
    <xf numFmtId="0" fontId="177" fillId="4" borderId="1" applyAlignment="1" pivotButton="0" quotePrefix="0" xfId="0">
      <alignment horizontal="general" vertical="top" wrapText="1"/>
    </xf>
    <xf numFmtId="0" fontId="178" fillId="5" borderId="1" applyAlignment="1" pivotButton="0" quotePrefix="0" xfId="0">
      <alignment horizontal="general" vertical="top" wrapText="1"/>
    </xf>
    <xf numFmtId="0" fontId="179" fillId="5" borderId="1" applyAlignment="1" pivotButton="0" quotePrefix="0" xfId="0">
      <alignment horizontal="general" vertical="top" wrapText="1"/>
    </xf>
    <xf numFmtId="0" fontId="180" fillId="5" borderId="1" applyAlignment="1" pivotButton="0" quotePrefix="0" xfId="0">
      <alignment horizontal="general" vertical="top" wrapText="1"/>
    </xf>
    <xf numFmtId="0" fontId="181" fillId="5" borderId="1" applyAlignment="1" pivotButton="0" quotePrefix="0" xfId="0">
      <alignment horizontal="general" vertical="center" wrapText="1"/>
    </xf>
    <xf numFmtId="0" fontId="182" fillId="0" borderId="1" applyAlignment="1" pivotButton="0" quotePrefix="0" xfId="0">
      <alignment horizontal="general" vertical="top" wrapText="1"/>
    </xf>
    <xf numFmtId="0" fontId="183" fillId="0" borderId="1" applyAlignment="1" pivotButton="0" quotePrefix="0" xfId="0">
      <alignment horizontal="general" vertical="top" wrapText="1"/>
    </xf>
    <xf numFmtId="0" fontId="184" fillId="0" borderId="1" applyAlignment="1" pivotButton="0" quotePrefix="0" xfId="0">
      <alignment horizontal="general" vertical="top" wrapText="1"/>
    </xf>
    <xf numFmtId="0" fontId="185" fillId="0" borderId="1" applyAlignment="1" pivotButton="0" quotePrefix="0" xfId="0">
      <alignment horizontal="general" vertical="center" wrapText="1"/>
    </xf>
    <xf numFmtId="0" fontId="186" fillId="0" borderId="1" applyAlignment="1" pivotButton="0" quotePrefix="0" xfId="0">
      <alignment horizontal="general" vertical="top" wrapText="1"/>
    </xf>
    <xf numFmtId="0" fontId="187" fillId="5" borderId="1" applyAlignment="1" pivotButton="0" quotePrefix="0" xfId="0">
      <alignment horizontal="general" vertical="top" wrapText="1"/>
    </xf>
    <xf numFmtId="0" fontId="188" fillId="5" borderId="1" applyAlignment="1" pivotButton="0" quotePrefix="0" xfId="0">
      <alignment horizontal="general" vertical="top" wrapText="1"/>
    </xf>
    <xf numFmtId="0" fontId="189" fillId="5" borderId="1" applyAlignment="1" pivotButton="0" quotePrefix="0" xfId="0">
      <alignment horizontal="general" vertical="top" wrapText="1"/>
    </xf>
    <xf numFmtId="0" fontId="190" fillId="5" borderId="1" applyAlignment="1" pivotButton="0" quotePrefix="0" xfId="0">
      <alignment horizontal="general" vertical="center" wrapText="1"/>
    </xf>
    <xf numFmtId="0" fontId="191" fillId="0" borderId="1" applyAlignment="1" pivotButton="0" quotePrefix="0" xfId="0">
      <alignment horizontal="general" vertical="top" wrapText="1"/>
    </xf>
    <xf numFmtId="0" fontId="192" fillId="0" borderId="1" applyAlignment="1" pivotButton="0" quotePrefix="0" xfId="0">
      <alignment horizontal="general" vertical="top" wrapText="1"/>
    </xf>
    <xf numFmtId="0" fontId="193" fillId="0" borderId="1" applyAlignment="1" pivotButton="0" quotePrefix="0" xfId="0">
      <alignment horizontal="general" vertical="top" wrapText="1"/>
    </xf>
    <xf numFmtId="0" fontId="194" fillId="0" borderId="1" applyAlignment="1" pivotButton="0" quotePrefix="0" xfId="0">
      <alignment horizontal="general" vertical="center" wrapText="1"/>
    </xf>
    <xf numFmtId="0" fontId="195" fillId="5" borderId="1" applyAlignment="1" pivotButton="0" quotePrefix="0" xfId="0">
      <alignment horizontal="general" vertical="top" wrapText="1"/>
    </xf>
    <xf numFmtId="0" fontId="196" fillId="5" borderId="1" applyAlignment="1" pivotButton="0" quotePrefix="0" xfId="0">
      <alignment horizontal="general" vertical="top" wrapText="1"/>
    </xf>
    <xf numFmtId="0" fontId="197" fillId="5" borderId="1" applyAlignment="1" pivotButton="0" quotePrefix="0" xfId="0">
      <alignment horizontal="general" vertical="top" wrapText="1"/>
    </xf>
    <xf numFmtId="0" fontId="198" fillId="5" borderId="1" applyAlignment="1" pivotButton="0" quotePrefix="0" xfId="0">
      <alignment horizontal="general" vertical="center" wrapText="1"/>
    </xf>
    <xf numFmtId="0" fontId="199" fillId="5" borderId="1" applyAlignment="1" pivotButton="0" quotePrefix="0" xfId="0">
      <alignment horizontal="center" vertical="center" wrapText="1"/>
    </xf>
    <xf numFmtId="0" fontId="200" fillId="0" borderId="1" applyAlignment="1" pivotButton="0" quotePrefix="0" xfId="0">
      <alignment horizontal="general" vertical="top" wrapText="1"/>
    </xf>
    <xf numFmtId="0" fontId="201" fillId="0" borderId="1" applyAlignment="1" pivotButton="0" quotePrefix="0" xfId="0">
      <alignment horizontal="general" vertical="top" wrapText="1"/>
    </xf>
    <xf numFmtId="0" fontId="202" fillId="0" borderId="1" applyAlignment="1" pivotButton="0" quotePrefix="0" xfId="0">
      <alignment horizontal="general" vertical="top" wrapText="1"/>
    </xf>
    <xf numFmtId="0" fontId="203" fillId="0" borderId="1" applyAlignment="1" pivotButton="0" quotePrefix="0" xfId="0">
      <alignment horizontal="left" vertical="center" wrapText="1"/>
    </xf>
    <xf numFmtId="0" fontId="204" fillId="0" borderId="1" applyAlignment="1" pivotButton="0" quotePrefix="0" xfId="0">
      <alignment horizontal="general" vertical="center" wrapText="1"/>
    </xf>
    <xf numFmtId="0" fontId="205" fillId="0" borderId="1" applyAlignment="1" pivotButton="0" quotePrefix="0" xfId="0">
      <alignment horizontal="center" vertical="center" wrapText="1"/>
    </xf>
    <xf numFmtId="0" fontId="206" fillId="5" borderId="1" applyAlignment="1" pivotButton="0" quotePrefix="0" xfId="0">
      <alignment horizontal="general" vertical="top" wrapText="1"/>
    </xf>
    <xf numFmtId="0" fontId="207" fillId="5" borderId="1" applyAlignment="1" pivotButton="0" quotePrefix="0" xfId="0">
      <alignment horizontal="general" vertical="top" wrapText="1"/>
    </xf>
    <xf numFmtId="0" fontId="208" fillId="5" borderId="1" applyAlignment="1" pivotButton="0" quotePrefix="0" xfId="0">
      <alignment horizontal="general" vertical="top" wrapText="1"/>
    </xf>
    <xf numFmtId="0" fontId="209" fillId="5" borderId="1" applyAlignment="1" pivotButton="0" quotePrefix="0" xfId="0">
      <alignment horizontal="general" vertical="center" wrapText="1"/>
    </xf>
    <xf numFmtId="0" fontId="210" fillId="4" borderId="1" applyAlignment="1" pivotButton="0" quotePrefix="0" xfId="0">
      <alignment horizontal="general" vertical="top" wrapText="1"/>
    </xf>
    <xf numFmtId="0" fontId="211" fillId="0" borderId="1" applyAlignment="1" pivotButton="0" quotePrefix="0" xfId="0">
      <alignment horizontal="general" vertical="top" wrapText="1"/>
    </xf>
    <xf numFmtId="0" fontId="212" fillId="0" borderId="1" applyAlignment="1" pivotButton="0" quotePrefix="0" xfId="0">
      <alignment horizontal="general" vertical="top" wrapText="1"/>
    </xf>
    <xf numFmtId="0" fontId="213" fillId="0" borderId="1" applyAlignment="1" pivotButton="0" quotePrefix="0" xfId="0">
      <alignment horizontal="general" vertical="top" wrapText="1"/>
    </xf>
    <xf numFmtId="0" fontId="214" fillId="0" borderId="1" applyAlignment="1" pivotButton="0" quotePrefix="0" xfId="0">
      <alignment horizontal="left" vertical="center" wrapText="1"/>
    </xf>
    <xf numFmtId="0" fontId="215" fillId="0" borderId="1" applyAlignment="1" pivotButton="0" quotePrefix="0" xfId="0">
      <alignment horizontal="general" vertical="center" wrapText="1"/>
    </xf>
    <xf numFmtId="0" fontId="216" fillId="0" borderId="1" applyAlignment="1" pivotButton="0" quotePrefix="0" xfId="0">
      <alignment horizontal="center" vertical="center" wrapText="1"/>
    </xf>
    <xf numFmtId="0" fontId="217" fillId="5" borderId="1" applyAlignment="1" pivotButton="0" quotePrefix="0" xfId="0">
      <alignment horizontal="general" vertical="top" wrapText="1"/>
    </xf>
    <xf numFmtId="0" fontId="218" fillId="5" borderId="1" applyAlignment="1" pivotButton="0" quotePrefix="0" xfId="0">
      <alignment horizontal="general" vertical="top" wrapText="1"/>
    </xf>
    <xf numFmtId="0" fontId="219" fillId="5" borderId="1" applyAlignment="1" pivotButton="0" quotePrefix="0" xfId="0">
      <alignment horizontal="general" vertical="top" wrapText="1"/>
    </xf>
    <xf numFmtId="0" fontId="220" fillId="5" borderId="1" applyAlignment="1" pivotButton="0" quotePrefix="0" xfId="0">
      <alignment horizontal="general" vertical="center" wrapText="1"/>
    </xf>
    <xf numFmtId="0" fontId="221" fillId="0" borderId="1" applyAlignment="1" pivotButton="0" quotePrefix="0" xfId="0">
      <alignment horizontal="general" vertical="top" wrapText="1"/>
    </xf>
    <xf numFmtId="0" fontId="222" fillId="0" borderId="1" applyAlignment="1" pivotButton="0" quotePrefix="0" xfId="0">
      <alignment horizontal="general" vertical="top" wrapText="1"/>
    </xf>
    <xf numFmtId="0" fontId="223" fillId="0" borderId="1" applyAlignment="1" pivotButton="0" quotePrefix="0" xfId="0">
      <alignment horizontal="general" vertical="top" wrapText="1"/>
    </xf>
    <xf numFmtId="0" fontId="224" fillId="0" borderId="1" applyAlignment="1" pivotButton="0" quotePrefix="0" xfId="0">
      <alignment horizontal="general" vertical="center" wrapText="1"/>
    </xf>
    <xf numFmtId="0" fontId="225" fillId="5" borderId="1" applyAlignment="1" pivotButton="0" quotePrefix="0" xfId="0">
      <alignment horizontal="general" vertical="top" wrapText="1"/>
    </xf>
    <xf numFmtId="0" fontId="226" fillId="5" borderId="1" applyAlignment="1" pivotButton="0" quotePrefix="0" xfId="0">
      <alignment horizontal="general" vertical="top" wrapText="1"/>
    </xf>
    <xf numFmtId="0" fontId="227" fillId="5" borderId="1" applyAlignment="1" pivotButton="0" quotePrefix="0" xfId="0">
      <alignment horizontal="general" vertical="top" wrapText="1"/>
    </xf>
    <xf numFmtId="0" fontId="228" fillId="5" borderId="1" applyAlignment="1" pivotButton="0" quotePrefix="0" xfId="0">
      <alignment horizontal="general" vertical="center" wrapText="1"/>
    </xf>
    <xf numFmtId="0" fontId="229" fillId="5" borderId="1" applyAlignment="1" pivotButton="0" quotePrefix="0" xfId="0">
      <alignment horizontal="center" vertical="center" wrapText="1"/>
    </xf>
    <xf numFmtId="0" fontId="230" fillId="0" borderId="1" applyAlignment="1" pivotButton="0" quotePrefix="0" xfId="0">
      <alignment horizontal="general" vertical="top" wrapText="1"/>
    </xf>
    <xf numFmtId="0" fontId="231" fillId="0" borderId="1" applyAlignment="1" pivotButton="0" quotePrefix="0" xfId="0">
      <alignment horizontal="general" vertical="top" wrapText="1"/>
    </xf>
    <xf numFmtId="0" fontId="232" fillId="0" borderId="1" applyAlignment="1" pivotButton="0" quotePrefix="0" xfId="0">
      <alignment horizontal="general" vertical="top" wrapText="1"/>
    </xf>
    <xf numFmtId="0" fontId="233" fillId="0" borderId="1" applyAlignment="1" pivotButton="0" quotePrefix="0" xfId="0">
      <alignment horizontal="general" vertical="top" wrapText="1"/>
    </xf>
    <xf numFmtId="0" fontId="234" fillId="0" borderId="1" applyAlignment="1" pivotButton="0" quotePrefix="0" xfId="0">
      <alignment horizontal="general" vertical="center" wrapText="1"/>
    </xf>
    <xf numFmtId="0" fontId="235" fillId="0" borderId="1" applyAlignment="1" pivotButton="0" quotePrefix="0" xfId="0">
      <alignment horizontal="center" vertical="center" wrapText="1"/>
    </xf>
    <xf numFmtId="0" fontId="236" fillId="4" borderId="1" applyAlignment="1" pivotButton="0" quotePrefix="0" xfId="0">
      <alignment horizontal="general" vertical="top" wrapText="1"/>
    </xf>
    <xf numFmtId="0" fontId="237" fillId="5" borderId="1" applyAlignment="1" pivotButton="0" quotePrefix="0" xfId="0">
      <alignment horizontal="general" vertical="top" wrapText="1"/>
    </xf>
    <xf numFmtId="0" fontId="238" fillId="5" borderId="1" applyAlignment="1" pivotButton="0" quotePrefix="0" xfId="0">
      <alignment horizontal="general" vertical="top" wrapText="1"/>
    </xf>
    <xf numFmtId="0" fontId="239" fillId="5" borderId="1" applyAlignment="1" pivotButton="0" quotePrefix="0" xfId="0">
      <alignment horizontal="general" vertical="top" wrapText="1"/>
    </xf>
    <xf numFmtId="0" fontId="240" fillId="5" borderId="1" applyAlignment="1" pivotButton="0" quotePrefix="0" xfId="0">
      <alignment horizontal="general" vertical="center" wrapText="1"/>
    </xf>
    <xf numFmtId="0" fontId="241" fillId="0" borderId="1" applyAlignment="1" pivotButton="0" quotePrefix="0" xfId="0">
      <alignment horizontal="general" vertical="top" wrapText="1"/>
    </xf>
    <xf numFmtId="0" fontId="242" fillId="0" borderId="1" applyAlignment="1" pivotButton="0" quotePrefix="0" xfId="0">
      <alignment horizontal="general" vertical="top" wrapText="1"/>
    </xf>
    <xf numFmtId="0" fontId="243" fillId="0" borderId="1" applyAlignment="1" pivotButton="0" quotePrefix="0" xfId="0">
      <alignment horizontal="general" vertical="top" wrapText="1"/>
    </xf>
    <xf numFmtId="0" fontId="244" fillId="0" borderId="1" applyAlignment="1" pivotButton="0" quotePrefix="0" xfId="0">
      <alignment horizontal="general" vertical="center" wrapText="1"/>
    </xf>
    <xf numFmtId="0" fontId="245" fillId="0" borderId="1" applyAlignment="1" pivotButton="0" quotePrefix="0" xfId="0">
      <alignment horizontal="general" vertical="top" wrapText="1"/>
    </xf>
    <xf numFmtId="0" fontId="246" fillId="5" borderId="1" applyAlignment="1" pivotButton="0" quotePrefix="0" xfId="0">
      <alignment horizontal="general" vertical="top" wrapText="1"/>
    </xf>
    <xf numFmtId="0" fontId="247" fillId="5" borderId="1" applyAlignment="1" pivotButton="0" quotePrefix="0" xfId="0">
      <alignment horizontal="general" vertical="top" wrapText="1"/>
    </xf>
    <xf numFmtId="0" fontId="248" fillId="5" borderId="1" applyAlignment="1" pivotButton="0" quotePrefix="0" xfId="0">
      <alignment horizontal="general" vertical="top" wrapText="1"/>
    </xf>
    <xf numFmtId="0" fontId="249" fillId="5" borderId="1" applyAlignment="1" pivotButton="0" quotePrefix="0" xfId="0">
      <alignment horizontal="general" vertical="center" wrapText="1"/>
    </xf>
    <xf numFmtId="0" fontId="250" fillId="0" borderId="1" applyAlignment="1" pivotButton="0" quotePrefix="0" xfId="0">
      <alignment horizontal="general" vertical="top" wrapText="1"/>
    </xf>
    <xf numFmtId="0" fontId="251" fillId="0" borderId="1" applyAlignment="1" pivotButton="0" quotePrefix="0" xfId="0">
      <alignment horizontal="general" vertical="top" wrapText="1"/>
    </xf>
    <xf numFmtId="0" fontId="252" fillId="0" borderId="1" applyAlignment="1" pivotButton="0" quotePrefix="0" xfId="0">
      <alignment horizontal="general" vertical="top" wrapText="1"/>
    </xf>
    <xf numFmtId="0" fontId="253" fillId="0" borderId="1" applyAlignment="1" pivotButton="0" quotePrefix="0" xfId="0">
      <alignment horizontal="general" vertical="center" wrapText="1"/>
    </xf>
    <xf numFmtId="0" fontId="254" fillId="0" borderId="1" applyAlignment="1" pivotButton="0" quotePrefix="0" xfId="0">
      <alignment horizontal="general" vertical="top" wrapText="1"/>
    </xf>
    <xf numFmtId="0" fontId="255" fillId="0" borderId="1" applyAlignment="1" pivotButton="0" quotePrefix="0" xfId="0">
      <alignment horizontal="center" vertical="center" wrapText="1"/>
    </xf>
    <xf numFmtId="0" fontId="256" fillId="5" borderId="1" applyAlignment="1" pivotButton="0" quotePrefix="0" xfId="0">
      <alignment horizontal="general" vertical="top" wrapText="1"/>
    </xf>
    <xf numFmtId="0" fontId="257" fillId="5" borderId="1" applyAlignment="1" pivotButton="0" quotePrefix="0" xfId="0">
      <alignment horizontal="general" vertical="top" wrapText="1"/>
    </xf>
    <xf numFmtId="0" fontId="258" fillId="5" borderId="1" applyAlignment="1" pivotButton="0" quotePrefix="0" xfId="0">
      <alignment horizontal="general" vertical="top" wrapText="1"/>
    </xf>
    <xf numFmtId="0" fontId="259" fillId="5" borderId="1" applyAlignment="1" pivotButton="0" quotePrefix="0" xfId="0">
      <alignment horizontal="general" vertical="top" wrapText="1"/>
    </xf>
    <xf numFmtId="0" fontId="260" fillId="5" borderId="1" applyAlignment="1" pivotButton="0" quotePrefix="0" xfId="0">
      <alignment horizontal="general" vertical="center" wrapText="1"/>
    </xf>
    <xf numFmtId="0" fontId="261" fillId="5" borderId="1" applyAlignment="1" pivotButton="0" quotePrefix="0" xfId="0">
      <alignment horizontal="center" vertical="center" wrapText="1"/>
    </xf>
    <xf numFmtId="0" fontId="262" fillId="0" borderId="1" applyAlignment="1" pivotButton="0" quotePrefix="0" xfId="0">
      <alignment horizontal="general" vertical="top" wrapText="1"/>
    </xf>
    <xf numFmtId="0" fontId="263" fillId="0" borderId="1" applyAlignment="1" pivotButton="0" quotePrefix="0" xfId="0">
      <alignment horizontal="general" vertical="top" wrapText="1"/>
    </xf>
    <xf numFmtId="0" fontId="264" fillId="0" borderId="1" applyAlignment="1" pivotButton="0" quotePrefix="0" xfId="0">
      <alignment horizontal="general" vertical="top" wrapText="1"/>
    </xf>
    <xf numFmtId="0" fontId="265" fillId="0" borderId="1" applyAlignment="1" pivotButton="0" quotePrefix="0" xfId="0">
      <alignment horizontal="general" vertical="top" wrapText="1"/>
    </xf>
    <xf numFmtId="0" fontId="266" fillId="0" borderId="1" applyAlignment="1" pivotButton="0" quotePrefix="0" xfId="0">
      <alignment horizontal="general" vertical="center" wrapText="1"/>
    </xf>
    <xf numFmtId="0" fontId="267" fillId="5" borderId="1" applyAlignment="1" pivotButton="0" quotePrefix="0" xfId="0">
      <alignment horizontal="general" vertical="top" wrapText="1"/>
    </xf>
    <xf numFmtId="0" fontId="268" fillId="5" borderId="1" applyAlignment="1" pivotButton="0" quotePrefix="0" xfId="0">
      <alignment horizontal="general" vertical="top" wrapText="1"/>
    </xf>
    <xf numFmtId="0" fontId="269" fillId="5" borderId="1" applyAlignment="1" pivotButton="0" quotePrefix="0" xfId="0">
      <alignment horizontal="general" vertical="top" wrapText="1"/>
    </xf>
    <xf numFmtId="0" fontId="270" fillId="5" borderId="1" applyAlignment="1" pivotButton="0" quotePrefix="0" xfId="0">
      <alignment horizontal="general" vertical="top" wrapText="1"/>
    </xf>
    <xf numFmtId="0" fontId="271" fillId="5" borderId="1" applyAlignment="1" pivotButton="0" quotePrefix="0" xfId="0">
      <alignment horizontal="general" vertical="center" wrapText="1"/>
    </xf>
    <xf numFmtId="0" fontId="272" fillId="0" borderId="1" applyAlignment="1" pivotButton="0" quotePrefix="0" xfId="0">
      <alignment horizontal="general" vertical="top" wrapText="1"/>
    </xf>
    <xf numFmtId="0" fontId="273" fillId="0" borderId="1" applyAlignment="1" pivotButton="0" quotePrefix="0" xfId="0">
      <alignment horizontal="general" vertical="top" wrapText="1"/>
    </xf>
    <xf numFmtId="0" fontId="274" fillId="0" borderId="1" applyAlignment="1" pivotButton="0" quotePrefix="0" xfId="0">
      <alignment horizontal="general" vertical="top" wrapText="1"/>
    </xf>
    <xf numFmtId="0" fontId="275" fillId="0" borderId="1" applyAlignment="1" pivotButton="0" quotePrefix="0" xfId="0">
      <alignment horizontal="general" vertical="top" wrapText="1"/>
    </xf>
    <xf numFmtId="0" fontId="276" fillId="0" borderId="1" applyAlignment="1" pivotButton="0" quotePrefix="0" xfId="0">
      <alignment horizontal="general" vertical="center" wrapText="1"/>
    </xf>
    <xf numFmtId="0" fontId="277" fillId="5" borderId="1" applyAlignment="1" pivotButton="0" quotePrefix="0" xfId="0">
      <alignment horizontal="general" vertical="top" wrapText="1"/>
    </xf>
    <xf numFmtId="0" fontId="278" fillId="5" borderId="1" applyAlignment="1" pivotButton="0" quotePrefix="0" xfId="0">
      <alignment horizontal="general" vertical="top" wrapText="1"/>
    </xf>
    <xf numFmtId="0" fontId="279" fillId="5" borderId="1" applyAlignment="1" pivotButton="0" quotePrefix="0" xfId="0">
      <alignment horizontal="general" vertical="top" wrapText="1"/>
    </xf>
    <xf numFmtId="0" fontId="280" fillId="5" borderId="1" applyAlignment="1" pivotButton="0" quotePrefix="0" xfId="0">
      <alignment horizontal="general" vertical="top" wrapText="1"/>
    </xf>
    <xf numFmtId="0" fontId="281" fillId="5" borderId="1" applyAlignment="1" pivotButton="0" quotePrefix="0" xfId="0">
      <alignment horizontal="general" vertical="center" wrapText="1"/>
    </xf>
    <xf numFmtId="0" fontId="282" fillId="0" borderId="1" applyAlignment="1" pivotButton="0" quotePrefix="0" xfId="0">
      <alignment horizontal="general" vertical="top" wrapText="1"/>
    </xf>
    <xf numFmtId="0" fontId="283" fillId="0" borderId="1" applyAlignment="1" pivotButton="0" quotePrefix="0" xfId="0">
      <alignment horizontal="general" vertical="top" wrapText="1"/>
    </xf>
    <xf numFmtId="0" fontId="284" fillId="0" borderId="1" applyAlignment="1" pivotButton="0" quotePrefix="0" xfId="0">
      <alignment horizontal="general" vertical="top" wrapText="1"/>
    </xf>
    <xf numFmtId="0" fontId="285" fillId="0" borderId="1" applyAlignment="1" pivotButton="0" quotePrefix="0" xfId="0">
      <alignment horizontal="general" vertical="top" wrapText="1"/>
    </xf>
    <xf numFmtId="0" fontId="286" fillId="0" borderId="1" applyAlignment="1" pivotButton="0" quotePrefix="0" xfId="0">
      <alignment horizontal="general" vertical="center" wrapText="1"/>
    </xf>
    <xf numFmtId="0" fontId="287" fillId="5" borderId="1" applyAlignment="1" pivotButton="0" quotePrefix="0" xfId="0">
      <alignment horizontal="general" vertical="top" wrapText="1"/>
    </xf>
    <xf numFmtId="0" fontId="288" fillId="5" borderId="1" applyAlignment="1" pivotButton="0" quotePrefix="0" xfId="0">
      <alignment horizontal="general" vertical="top" wrapText="1"/>
    </xf>
    <xf numFmtId="0" fontId="289" fillId="5" borderId="1" applyAlignment="1" pivotButton="0" quotePrefix="0" xfId="0">
      <alignment horizontal="general" vertical="top" wrapText="1"/>
    </xf>
    <xf numFmtId="0" fontId="290" fillId="5" borderId="1" applyAlignment="1" pivotButton="0" quotePrefix="0" xfId="0">
      <alignment horizontal="left" vertical="center" wrapText="1"/>
    </xf>
    <xf numFmtId="0" fontId="291" fillId="5" borderId="1" applyAlignment="1" pivotButton="0" quotePrefix="0" xfId="0">
      <alignment horizontal="general" vertical="center" wrapText="1"/>
    </xf>
    <xf numFmtId="0" fontId="292" fillId="0" borderId="1" applyAlignment="1" pivotButton="0" quotePrefix="0" xfId="0">
      <alignment horizontal="general" vertical="top" wrapText="1"/>
    </xf>
    <xf numFmtId="0" fontId="293" fillId="0" borderId="1" applyAlignment="1" pivotButton="0" quotePrefix="0" xfId="0">
      <alignment horizontal="general" vertical="top" wrapText="1"/>
    </xf>
    <xf numFmtId="0" fontId="294" fillId="0" borderId="1" applyAlignment="1" pivotButton="0" quotePrefix="0" xfId="0">
      <alignment horizontal="general" vertical="top" wrapText="1"/>
    </xf>
    <xf numFmtId="0" fontId="295" fillId="0" borderId="1" applyAlignment="1" pivotButton="0" quotePrefix="0" xfId="0">
      <alignment horizontal="general" vertical="top" wrapText="1"/>
    </xf>
    <xf numFmtId="0" fontId="296" fillId="0" borderId="1" applyAlignment="1" pivotButton="0" quotePrefix="0" xfId="0">
      <alignment horizontal="general" vertical="center" wrapText="1"/>
    </xf>
    <xf numFmtId="0" fontId="297" fillId="0" borderId="1" applyAlignment="1" pivotButton="0" quotePrefix="0" xfId="0">
      <alignment horizontal="center" vertical="center" wrapText="1"/>
    </xf>
    <xf numFmtId="0" fontId="298" fillId="5" borderId="1" applyAlignment="1" pivotButton="0" quotePrefix="0" xfId="0">
      <alignment horizontal="general" vertical="top" wrapText="1"/>
    </xf>
    <xf numFmtId="0" fontId="299" fillId="5" borderId="1" applyAlignment="1" pivotButton="0" quotePrefix="0" xfId="0">
      <alignment horizontal="general" vertical="top" wrapText="1"/>
    </xf>
    <xf numFmtId="0" fontId="300" fillId="5" borderId="1" applyAlignment="1" pivotButton="0" quotePrefix="0" xfId="0">
      <alignment horizontal="general" vertical="top" wrapText="1"/>
    </xf>
    <xf numFmtId="0" fontId="301" fillId="5" borderId="1" applyAlignment="1" pivotButton="0" quotePrefix="0" xfId="0">
      <alignment horizontal="general" vertical="top" wrapText="1"/>
    </xf>
    <xf numFmtId="0" fontId="302" fillId="5" borderId="1" applyAlignment="1" pivotButton="0" quotePrefix="0" xfId="0">
      <alignment horizontal="general" vertical="center" wrapText="1"/>
    </xf>
    <xf numFmtId="0" fontId="0" fillId="0" borderId="0" pivotButton="0" quotePrefix="0" xfId="0"/>
    <xf numFmtId="0" fontId="302" fillId="5" borderId="1" applyAlignment="1" pivotButton="0" quotePrefix="0" xfId="0">
      <alignment horizontal="center" vertical="center" wrapText="1"/>
    </xf>
    <xf numFmtId="0" fontId="302" fillId="0" borderId="1" applyAlignment="1" pivotButton="0" quotePrefix="0" xfId="0">
      <alignment horizontal="center" vertical="center" wrapText="1"/>
    </xf>
    <xf numFmtId="0" fontId="12" fillId="2" borderId="0" applyAlignment="1" pivotButton="0" quotePrefix="0" xfId="0">
      <alignment horizontal="general" vertical="bottom" wrapText="1"/>
    </xf>
    <xf numFmtId="0" fontId="13" fillId="2" borderId="0" applyAlignment="1" pivotButton="0" quotePrefix="0" xfId="0">
      <alignment horizontal="general" vertical="bottom" wrapText="1"/>
    </xf>
    <xf numFmtId="0" fontId="4" fillId="0" borderId="0" applyAlignment="1" pivotButton="0" quotePrefix="0" xfId="0">
      <alignment horizontal="general" vertical="bottom" wrapText="1"/>
    </xf>
  </cellXfs>
  <cellStyles count="2">
    <cellStyle name="常规" xfId="0" builtinId="0"/>
    <cellStyle name="超链接" xfId="1" builtinId="8"/>
  </cellStyles>
  <dxfs count="1">
    <dxf>
      <fill>
        <patternFill>
          <bgColor rgb="FFFFFFFF"/>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BLAActionTracker" displayName="BLAActionTracker" ref="B1:P56" headerRowCount="1" totalsRowShown="0">
  <autoFilter ref="B1:P56"/>
  <tableColumns count="15">
    <tableColumn id="1" name="Category_x000a_类别" totalsRowFunction="custom"/>
    <tableColumn id="2" name="Action Item_x000a_行动项" totalsRowFunction="custom"/>
    <tableColumn id="3" name="Implementation Timing_x000a_实施时机" totalsRowFunction="custom"/>
    <tableColumn id="4" name="Implementation Effort_x000a_实施工作量" totalsRowFunction="custom"/>
    <tableColumn id="5" name="Proposed target completion date_x000a_建议目标完成日期" totalsRowFunction="custom"/>
    <tableColumn id="6" name="Existing approach_x000a_现行做法" totalsRowFunction="custom"/>
    <tableColumn id="7" name="Action Plan_x000a_行动计划" totalsRowFunction="custom"/>
    <tableColumn id="8" name="Questions_x000a_问题" totalsRowFunction="custom"/>
    <tableColumn id="9" name="Scope_x000a_范围" totalsRowFunction="custom"/>
    <tableColumn id="10" name="Status_x000a_状态" totalsRowFunction="custom"/>
    <tableColumn id="11" name="Notes_x000a_备注" totalsRowFunction="custom"/>
    <tableColumn id="12" name="Lead Owner_x000a_牵头负责人" totalsRowFunction="custom"/>
    <tableColumn id="13" name="QA Contact_x000a_QA对接人" totalsRowFunction="custom"/>
    <tableColumn id="14" name="Completion Date_x000a_完成时间" totalsRowFunction="custom"/>
    <tableColumn id="15" name="Asymchem Internal Category_x000a_Asymchem内部分类" totalsRowFunction="custo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P200"/>
  <sheetViews>
    <sheetView showGridLines="0" tabSelected="1" zoomScale="55" zoomScaleNormal="55" workbookViewId="0">
      <pane ySplit="1" topLeftCell="A2" activePane="bottomRight" state="frozen"/>
      <selection activeCell="A1" sqref="A1"/>
    </sheetView>
  </sheetViews>
  <sheetFormatPr baseColWidth="10" defaultColWidth="9" defaultRowHeight="14.0025" customHeight="1"/>
  <cols>
    <col hidden="1" width="12.9990234375" customWidth="1" style="5" min="1" max="1"/>
    <col width="10.5" customWidth="1" style="5" min="2" max="2"/>
    <col width="85.998046875" customWidth="1" style="5" min="3" max="3"/>
    <col width="13.6640625" customWidth="1" style="5" min="4" max="4"/>
    <col width="16.5" customWidth="1" style="5" min="5" max="5"/>
    <col width="19.8310546875" customWidth="1" style="263" min="6" max="6"/>
    <col width="31.6640625" customWidth="1" style="263" min="7" max="7"/>
    <col width="33" customWidth="1" style="263" min="8" max="8"/>
    <col width="25.6640625" customWidth="1" style="263" min="9" max="9"/>
    <col width="12.2900390625" customWidth="1" style="263" min="10" max="10"/>
    <col width="13.623046875" customWidth="1" style="5" min="11" max="11"/>
    <col width="41.4990234375" customWidth="1" style="5" min="12" max="12"/>
    <col width="20.8330078125" customWidth="1" style="249" min="13" max="13"/>
    <col width="15.3310546875" customWidth="1" style="249" min="14" max="14"/>
    <col width="16.8310546875" customWidth="1" style="7" min="15" max="15"/>
    <col width="13.6640625" customWidth="1" style="7" min="16" max="16"/>
  </cols>
  <sheetData>
    <row r="1" ht="92.5" customHeight="1" s="557">
      <c r="A1" s="269" t="inlineStr">
        <is>
          <t>Number
编号</t>
        </is>
      </c>
      <c r="B1" s="270" t="inlineStr">
        <is>
          <t>Category
类别</t>
        </is>
      </c>
      <c r="C1" s="271" t="inlineStr">
        <is>
          <t>Action Item
行动项</t>
        </is>
      </c>
      <c r="D1" s="272" t="inlineStr">
        <is>
          <t>Implementation Timing
实施时机</t>
        </is>
      </c>
      <c r="E1" s="273" t="inlineStr">
        <is>
          <t>Implementation Effort
实施工作量</t>
        </is>
      </c>
      <c r="F1" s="8" t="inlineStr">
        <is>
          <t>Proposed target completion date
建议目标完成日期</t>
        </is>
      </c>
      <c r="G1" s="8" t="inlineStr">
        <is>
          <t>Existing approach
现行做法</t>
        </is>
      </c>
      <c r="H1" s="8" t="inlineStr">
        <is>
          <t>Action Plan
行动计划</t>
        </is>
      </c>
      <c r="I1" s="8" t="inlineStr">
        <is>
          <t>Questions
问题</t>
        </is>
      </c>
      <c r="J1" s="274" t="inlineStr">
        <is>
          <t>Scope
范围</t>
        </is>
      </c>
      <c r="K1" s="275" t="inlineStr">
        <is>
          <t>Status
状态</t>
        </is>
      </c>
      <c r="L1" s="276" t="inlineStr">
        <is>
          <t>Notes
备注</t>
        </is>
      </c>
      <c r="M1" s="9" t="inlineStr">
        <is>
          <t>Lead Owner
牵头负责人</t>
        </is>
      </c>
      <c r="N1" s="9" t="inlineStr">
        <is>
          <t>QA Contact
QA对接人</t>
        </is>
      </c>
      <c r="O1" s="9" t="inlineStr">
        <is>
          <t>Completion Date
完成时间</t>
        </is>
      </c>
      <c r="P1" s="9" t="inlineStr">
        <is>
          <t>Asymchem Internal Category
Asymchem内部分类</t>
        </is>
      </c>
    </row>
    <row r="2" ht="175" customHeight="1" s="557">
      <c r="A2" s="11" t="n">
        <v>1</v>
      </c>
      <c r="B2" s="277" t="inlineStr">
        <is>
          <t>BLA/technical
BLA/技术</t>
        </is>
      </c>
      <c r="C2" s="278" t="inlineStr">
        <is>
          <t>Cleaning validation and verification strategy needs presented. Including: strategy for determining appropriate cleaning solution and conditions (time, temp etc), how these are tranlasted to the operational record to ensure proper execution in a repeatable manner. Additionaly need to share how small parts and manual cleaned components are managed and integrated into cleaning records. Additionally, how are rinse and swab limits, sampling instructions, and results recorded.
需提交清洗验证与确认策略，包括：确定适宜清洗溶液及条件（时间、温度等）的策略；如何将该策略转化至操作记录以确保可重复执行；另需说明小件及手动清洗部件如何管理并纳入清洗记录；以及冲洗与擦拭限度、取样说明和结果如何记录。</t>
        </is>
      </c>
      <c r="D2" s="279" t="inlineStr">
        <is>
          <t>Prior to Pre-PPQ
Pre-PPQ前</t>
        </is>
      </c>
      <c r="E2" s="280" t="inlineStr">
        <is>
          <t>High &gt; 1 month
高 &gt; 1 month</t>
        </is>
      </c>
      <c r="F2" s="281" t="inlineStr">
        <is>
          <t>step1: 10/03/2026
step2: 10/20/2026
step3A: 11/09/2026
step3B: 11/28/2026</t>
        </is>
      </c>
      <c r="G2" s="264" t="n"/>
      <c r="H2" s="264" t="n"/>
      <c r="I2" s="264" t="n"/>
      <c r="J2" s="282" t="inlineStr">
        <is>
          <t>All Steps
全部步骤</t>
        </is>
      </c>
      <c r="K2" s="266" t="inlineStr">
        <is>
          <t>Open</t>
        </is>
      </c>
      <c r="L2" s="283" t="inlineStr">
        <is>
          <t>The team feels we need to have confidence that Asymchem can adequately clean equipment prior making saleable GMP material
Lilly团队认为需确认 Asymchem 能在制备可销售 GMP 物料前充分清洗设备。</t>
        </is>
      </c>
      <c r="M2" s="558" t="inlineStr">
        <is>
          <t>Production / Yanlong Li
生产/李延龙</t>
        </is>
      </c>
      <c r="N2" s="558" t="inlineStr">
        <is>
          <t>QA / Weijiang Liu
QA/刘维江</t>
        </is>
      </c>
      <c r="O2" s="17" t="n"/>
      <c r="P2" s="558" t="inlineStr">
        <is>
          <t>Cleaning
清洁相关</t>
        </is>
      </c>
    </row>
    <row r="3" ht="59.5" customHeight="1" s="557">
      <c r="A3" s="18" t="n">
        <v>2</v>
      </c>
      <c r="B3" s="284" t="inlineStr">
        <is>
          <t>Technical
技术</t>
        </is>
      </c>
      <c r="C3" s="285" t="inlineStr">
        <is>
          <t>Install or verify nameplate on rupture disk
安装或核实爆破片铭牌。</t>
        </is>
      </c>
      <c r="D3" s="286" t="inlineStr">
        <is>
          <t>Prior to Demo
Demo前</t>
        </is>
      </c>
      <c r="E3" s="287" t="inlineStr">
        <is>
          <t>Low &lt; 1 week
低 &lt; 1 week</t>
        </is>
      </c>
      <c r="F3" s="265" t="inlineStr">
        <is>
          <t>Has been completed.
已完成。</t>
        </is>
      </c>
      <c r="G3" s="265" t="inlineStr">
        <is>
          <t>N/A</t>
        </is>
      </c>
      <c r="H3" s="265" t="inlineStr">
        <is>
          <t>N/A</t>
        </is>
      </c>
      <c r="I3" s="265" t="inlineStr">
        <is>
          <t>N/A</t>
        </is>
      </c>
      <c r="J3" s="288" t="inlineStr">
        <is>
          <t>Purification
纯化</t>
        </is>
      </c>
      <c r="K3" s="267" t="inlineStr">
        <is>
          <t>Completed</t>
        </is>
      </c>
      <c r="L3" s="248" t="n"/>
      <c r="M3" s="559" t="inlineStr">
        <is>
          <t>Production / Yanlong Li
生产/李延龙</t>
        </is>
      </c>
      <c r="N3" s="559" t="inlineStr">
        <is>
          <t>N/A</t>
        </is>
      </c>
      <c r="P3" s="559" t="inlineStr">
        <is>
          <t>Other
其他</t>
        </is>
      </c>
    </row>
    <row r="4" ht="59.5" customHeight="1" s="557">
      <c r="A4" s="18" t="n">
        <v>3</v>
      </c>
      <c r="B4" s="289" t="inlineStr">
        <is>
          <t>Technical
技术</t>
        </is>
      </c>
      <c r="C4" s="290" t="inlineStr">
        <is>
          <t>Confirm inlet line sizing meets the 200 L/h process requirement
确认入口管路管径满足 200 L/h 工艺要求。</t>
        </is>
      </c>
      <c r="D4" s="291" t="inlineStr">
        <is>
          <t>Prior to Demo
Demo前</t>
        </is>
      </c>
      <c r="E4" s="292" t="inlineStr">
        <is>
          <t>Low &lt; 1 week
低 &lt; 1 week</t>
        </is>
      </c>
      <c r="F4" s="262" t="n">
        <v>46295</v>
      </c>
      <c r="G4" s="264" t="inlineStr">
        <is>
          <t>N/A</t>
        </is>
      </c>
      <c r="H4" s="264" t="inlineStr">
        <is>
          <t>Theoretical calculation by IEPE; on-site testing.
IEPE理论计算；现场测试</t>
        </is>
      </c>
      <c r="I4" s="264" t="inlineStr">
        <is>
          <t>N/A</t>
        </is>
      </c>
      <c r="J4" s="293" t="inlineStr">
        <is>
          <t>Purification
纯化</t>
        </is>
      </c>
      <c r="K4" s="266" t="inlineStr">
        <is>
          <t>Open</t>
        </is>
      </c>
      <c r="L4" s="253" t="n"/>
      <c r="M4" s="558" t="inlineStr">
        <is>
          <t>Production / Linchong Liu
生产/刘林冲</t>
        </is>
      </c>
      <c r="N4" s="558" t="inlineStr">
        <is>
          <t>N/A</t>
        </is>
      </c>
      <c r="O4" s="17" t="n"/>
      <c r="P4" s="558" t="inlineStr">
        <is>
          <t>Other
其他</t>
        </is>
      </c>
    </row>
    <row r="5" ht="274" customHeight="1" s="557">
      <c r="A5" s="18" t="n">
        <v>4</v>
      </c>
      <c r="B5" s="202" t="inlineStr">
        <is>
          <t>BLA</t>
        </is>
      </c>
      <c r="C5" s="294" t="inlineStr">
        <is>
          <t>During field walkthroughs several lines visual appeard slopped in undesired location. Confirm all lines are sloped (including flexible hoses) to appropriate low points with proper drain point.
现场巡视中发现若干管路目视坡度位于不期望位置。确认所有管路（含软管）坡向适宜低点，并设有正确排尽点。</t>
        </is>
      </c>
      <c r="D5" s="295" t="inlineStr">
        <is>
          <t>Prior to Pre-PPQ
Pre-PPQ前</t>
        </is>
      </c>
      <c r="E5" s="296" t="inlineStr">
        <is>
          <t>Med &gt; 1 week &lt; 1 Month
中 &gt; 1 week &lt; 1 Month</t>
        </is>
      </c>
      <c r="F5" s="297" t="inlineStr">
        <is>
          <t>step1:
step2:
step3A:
step3B:</t>
        </is>
      </c>
      <c r="G5" s="24" t="inlineStr">
        <is>
          <t>Modification and installation of the C3 and C4 lines are complete, and slope verification is in progress. The C1 and C2 lines were previously assessed as having no slope requirement, and only drain points were provided; the slope requirement needs to be re-discussed and confirmed.
C3、C4管路进行改造安装完毕，正在进行坡度的确认中；C1、 C2管路之前评估没有坡度的要求，仅设置了排净点，坡度需要重新沟通确认。</t>
        </is>
      </c>
      <c r="H5" s="24" t="inlineStr">
        <is>
          <t>Assess and inspect each process step and each line individually.
逐个步骤及逐条管路进行评估并进行排查；</t>
        </is>
      </c>
      <c r="I5" s="24" t="inlineStr">
        <is>
          <t>The requirement for the C1 and C2 lines is drainability, with no specific slope requirement. How should the slope be confirmed?
C1、C2管路可排尽的要求，没有坡度的具体要求，这个坡度如何进行确认？</t>
        </is>
      </c>
      <c r="J5" s="298" t="inlineStr">
        <is>
          <t>All Steps
全部步骤</t>
        </is>
      </c>
      <c r="K5" s="267" t="inlineStr">
        <is>
          <t>Open</t>
        </is>
      </c>
      <c r="L5" s="248" t="n"/>
      <c r="M5" s="559" t="inlineStr">
        <is>
          <t>Engineering / Hongjie Guo
Production / Junfeng Zhang
工程/郭宏杰
生产/张俊峰</t>
        </is>
      </c>
      <c r="N5" s="559" t="inlineStr">
        <is>
          <t>QA / Meijia Liu
QA/刘美佳</t>
        </is>
      </c>
      <c r="P5" s="559" t="inlineStr">
        <is>
          <t>Equipment modification
设备改造</t>
        </is>
      </c>
    </row>
    <row r="6" ht="109" customHeight="1" s="557">
      <c r="A6" s="18" t="n">
        <v>5</v>
      </c>
      <c r="B6" s="300" t="inlineStr">
        <is>
          <t>Technical
技术</t>
        </is>
      </c>
      <c r="C6" s="251" t="inlineStr">
        <is>
          <t>Missing sight-glass lights
缺少视灯</t>
        </is>
      </c>
      <c r="D6" s="301" t="inlineStr">
        <is>
          <t>Post PPQ
PPQ后</t>
        </is>
      </c>
      <c r="E6" s="302" t="inlineStr">
        <is>
          <t>Med &gt; 1 week &lt; 1 Month
中 &gt; 1 week &lt; 1 Month</t>
        </is>
      </c>
      <c r="F6" s="25" t="inlineStr">
        <is>
          <t>11/30/2026</t>
        </is>
      </c>
      <c r="G6" s="25" t="inlineStr">
        <is>
          <t>The entire equipment train is being reviewed; any missing sight-glass lights will be procured.
整体设备链进行确认，缺少的进行采购</t>
        </is>
      </c>
      <c r="H6" s="25" t="inlineStr">
        <is>
          <t>An inspection checklist is being established.
正在建立排查清单</t>
        </is>
      </c>
      <c r="I6" s="25" t="inlineStr">
        <is>
          <t>N/A</t>
        </is>
      </c>
      <c r="J6" s="303" t="inlineStr">
        <is>
          <t>All Steps
全部步骤</t>
        </is>
      </c>
      <c r="K6" s="268" t="inlineStr">
        <is>
          <t>Open</t>
        </is>
      </c>
      <c r="L6" s="304" t="inlineStr">
        <is>
          <t>Interim measure recommended to use flashlights through sight glasses to perform visual inspections
建议的临时措施：通过视镜使用手电筒进行目视检查。</t>
        </is>
      </c>
      <c r="M6" s="558" t="inlineStr">
        <is>
          <t>Engineering / Hongjie Guo
工程/郭宏杰</t>
        </is>
      </c>
      <c r="N6" s="558" t="inlineStr">
        <is>
          <t>N/A</t>
        </is>
      </c>
      <c r="O6" s="17" t="n"/>
      <c r="P6" s="558" t="inlineStr">
        <is>
          <t>Equipment modification
设备改造</t>
        </is>
      </c>
    </row>
    <row r="7" ht="109" customHeight="1" s="557">
      <c r="A7" s="18" t="n">
        <v>6</v>
      </c>
      <c r="B7" s="305" t="inlineStr">
        <is>
          <t>Technical
技术</t>
        </is>
      </c>
      <c r="C7" s="306" t="inlineStr">
        <is>
          <t>Review HCl charging dip-tube arrangement and confirm material of construction
复核 HCl 加料浸管布置并确认材质。</t>
        </is>
      </c>
      <c r="D7" s="307" t="inlineStr">
        <is>
          <t>Prior to Demo
Demo前</t>
        </is>
      </c>
      <c r="E7" s="308" t="inlineStr">
        <is>
          <t>Low &lt; 1 week
低 &lt; 1 week</t>
        </is>
      </c>
      <c r="F7" s="24" t="inlineStr">
        <is>
          <t>10/01/2026</t>
        </is>
      </c>
      <c r="G7" s="24" t="inlineStr">
        <is>
          <t>N/A</t>
        </is>
      </c>
      <c r="H7" s="24" t="inlineStr">
        <is>
          <t>Provide the material-of-construction certificate and adjust the current dip-tube length.
提供材质证明，现有长度进行调整。</t>
        </is>
      </c>
      <c r="I7" s="24" t="inlineStr">
        <is>
          <t>N/A</t>
        </is>
      </c>
      <c r="J7" s="309" t="inlineStr">
        <is>
          <t>Purification
纯化</t>
        </is>
      </c>
      <c r="K7" s="267" t="inlineStr">
        <is>
          <t>Open</t>
        </is>
      </c>
      <c r="L7" s="310" t="inlineStr">
        <is>
          <t>Source note suggests HC; confirm exact alloy/specification
源备注提示 HC；需确认确切合金/规格。</t>
        </is>
      </c>
      <c r="M7" s="559" t="inlineStr">
        <is>
          <t>IEPE / Mingzhi Zheng
Production / Xingtao Fan
IEPE/郑明智
生产/范兴涛</t>
        </is>
      </c>
      <c r="N7" s="559" t="inlineStr">
        <is>
          <t>QA / Qi Wang
QA/王琪</t>
        </is>
      </c>
      <c r="P7" s="559" t="inlineStr">
        <is>
          <t>Equipment modification
设备改造</t>
        </is>
      </c>
    </row>
    <row r="8" ht="59.5" customHeight="1" s="557">
      <c r="A8" s="18" t="n">
        <v>7</v>
      </c>
      <c r="B8" s="312" t="inlineStr">
        <is>
          <t>Technical
技术</t>
        </is>
      </c>
      <c r="C8" s="313" t="inlineStr">
        <is>
          <t>Update MOR or SOP to require mobile-scale reading after the peristaltic pump empties the flexible connection
更新 MOR 或 SOP，要求蠕动泵排空柔性连接后进行移动秤读数。</t>
        </is>
      </c>
      <c r="D8" s="314" t="inlineStr">
        <is>
          <t>Prior to Demo
Demo前</t>
        </is>
      </c>
      <c r="E8" s="315" t="inlineStr">
        <is>
          <t>Low &lt; 1 week
低 &lt; 1 week</t>
        </is>
      </c>
      <c r="F8" s="25" t="inlineStr">
        <is>
          <t>10/03/2026</t>
        </is>
      </c>
      <c r="G8" s="25" t="inlineStr">
        <is>
          <t>No detailed requirement in the MOR or SOP.
MOR 或 SOP 中无详细要求。</t>
        </is>
      </c>
      <c r="H8" s="25" t="inlineStr">
        <is>
          <t>Update the MOR to include the detailed requirement.
更新 MOR，纳入详细要求。</t>
        </is>
      </c>
      <c r="I8" s="25" t="n"/>
      <c r="J8" s="316" t="inlineStr">
        <is>
          <t>Purification
纯化</t>
        </is>
      </c>
      <c r="K8" s="266" t="inlineStr">
        <is>
          <t>Open</t>
        </is>
      </c>
      <c r="L8" s="317" t="inlineStr">
        <is>
          <t>Follow up with Peter to clarify this item
跟进 Peter 以澄清本项。</t>
        </is>
      </c>
      <c r="M8" s="558" t="inlineStr">
        <is>
          <t>Production / Yanlong Li
生产/李延龙</t>
        </is>
      </c>
      <c r="N8" s="558" t="inlineStr">
        <is>
          <t>QA / Qi Wang
QA/王琪</t>
        </is>
      </c>
      <c r="O8" s="17" t="n"/>
      <c r="P8" s="558" t="inlineStr">
        <is>
          <t>Other
其他</t>
        </is>
      </c>
    </row>
    <row r="9" ht="76" customHeight="1" s="557">
      <c r="A9" s="18" t="n">
        <v>8</v>
      </c>
      <c r="B9" s="318" t="inlineStr">
        <is>
          <t>Technical
技术</t>
        </is>
      </c>
      <c r="C9" s="319" t="inlineStr">
        <is>
          <t>Observed waste header from process without check valves. Assess process piping connections for back flow risk and install check valves as necessary
观察到工艺废液总管未设止回阀。评估工艺管路连接的倒流风险，并视需要安装止回阀。</t>
        </is>
      </c>
      <c r="D9" s="320" t="inlineStr">
        <is>
          <t>Prior to Pre-PPQ
Pre-PPQ前</t>
        </is>
      </c>
      <c r="E9" s="321" t="inlineStr">
        <is>
          <t>Med &gt; 1 week &lt; 1 Month
中 &gt; 1 week &lt; 1 Month</t>
        </is>
      </c>
      <c r="F9" s="24" t="inlineStr">
        <is>
          <t>11/03/2026</t>
        </is>
      </c>
      <c r="G9" s="24" t="n"/>
      <c r="H9" s="24" t="inlineStr">
        <is>
          <t>To be carried out together with the overall piping construction.
同增体管路施工同步进行</t>
        </is>
      </c>
      <c r="I9" s="24" t="n"/>
      <c r="J9" s="322" t="inlineStr">
        <is>
          <t>All Steps
全部步骤</t>
        </is>
      </c>
      <c r="K9" s="267" t="inlineStr">
        <is>
          <t>Open</t>
        </is>
      </c>
      <c r="L9" s="248" t="n"/>
      <c r="M9" s="559" t="inlineStr">
        <is>
          <t>Production / Yanlong Li
生产/李延龙</t>
        </is>
      </c>
      <c r="N9" s="559" t="inlineStr">
        <is>
          <t>N/A</t>
        </is>
      </c>
      <c r="P9" s="559" t="inlineStr">
        <is>
          <t>Other
其他</t>
        </is>
      </c>
    </row>
    <row r="10" ht="158.5" customHeight="1" s="557">
      <c r="A10" s="11" t="n">
        <v>9</v>
      </c>
      <c r="B10" s="253" t="inlineStr">
        <is>
          <t>BLA</t>
        </is>
      </c>
      <c r="C10" s="323" t="inlineStr">
        <is>
          <t>CNC raw material staging area lacks appropriate controls. Evaluate options and implement  short term safeguards to reduce risk associated with the lack of a CNC material-flow buffer zone and differential-pressure interlock in Workshop 12
CNC 原料暂存区缺乏适当控制。评估可选方案并实施短期保障措施，以降低因缺少 CNC 物料流缓冲区域及 Workshop 12 压差联锁所带来的风险。</t>
        </is>
      </c>
      <c r="D10" s="324" t="inlineStr">
        <is>
          <t>Prior to Pre-PPQ
Pre-PPQ前</t>
        </is>
      </c>
      <c r="E10" s="325" t="inlineStr">
        <is>
          <t>Med &gt; 1 week &lt; 1 Month
中 &gt; 1 week &lt; 1 Month</t>
        </is>
      </c>
      <c r="F10" s="257" t="inlineStr">
        <is>
          <t>10/20/2026</t>
        </is>
      </c>
      <c r="G10" s="25" t="n"/>
      <c r="H10" s="25" t="inlineStr">
        <is>
          <t>Submit the change document to carry out renovation on the factory logistics passage. An airlock will be added before raw materials are transferred into the CNC area.
提交变更文件，对厂区物流通道进行改造；原料转入 CNC 区域前增设气闸。</t>
        </is>
      </c>
      <c r="I10" s="25" t="inlineStr">
        <is>
          <t>Prior to Pre-PPQ for which specific step? Step 1 starts on 10/05/2026, so this timing cannot be met.
具体步骤的pre-PPQ前？Step1于10/05/2026启动，时间上无法满足</t>
        </is>
      </c>
      <c r="J10" s="326" t="inlineStr">
        <is>
          <t>All Steps
全部步骤</t>
        </is>
      </c>
      <c r="K10" s="266" t="inlineStr">
        <is>
          <t>Open</t>
        </is>
      </c>
      <c r="L10" s="253" t="n"/>
      <c r="M10" s="558" t="inlineStr">
        <is>
          <t>Engineering / Hongjie Guo
Production / Hui Ma
工程/郭宏杰
生产/马辉</t>
        </is>
      </c>
      <c r="N10" s="558" t="inlineStr">
        <is>
          <t>QA / Meijia Liu
QA/刘美佳</t>
        </is>
      </c>
      <c r="O10" s="17" t="n"/>
      <c r="P10" s="558" t="inlineStr">
        <is>
          <t>Material logistics corridor
物流通道</t>
        </is>
      </c>
    </row>
    <row r="11" ht="109" customHeight="1" s="557">
      <c r="A11" s="18" t="n">
        <v>10</v>
      </c>
      <c r="B11" s="328" t="inlineStr">
        <is>
          <t>Technical
技术</t>
        </is>
      </c>
      <c r="C11" s="329" t="inlineStr">
        <is>
          <t>Justify the one-month service life for dedicated PW hoses
论证专用纯化水（PW）软管一个月使用寿命的依据。</t>
        </is>
      </c>
      <c r="D11" s="330" t="inlineStr">
        <is>
          <t>Post PPQ
PPQ后</t>
        </is>
      </c>
      <c r="E11" s="331" t="inlineStr">
        <is>
          <t>Low &lt; 1 week
低 &lt; 1 week</t>
        </is>
      </c>
      <c r="F11" s="24" t="inlineStr">
        <is>
          <t>11/30/2026</t>
        </is>
      </c>
      <c r="G11" s="24" t="inlineStr">
        <is>
          <t>One-month service life for dedicated PW hoses.
专用 PW 软管使用寿命为一个月。</t>
        </is>
      </c>
      <c r="H11" s="24" t="inlineStr">
        <is>
          <t>Perform a use/disinfection-period study on dedicated PW hoses and redefine their lifecycle.
开展专用 PW 软管使用/消毒周期研究，并重新定义其生命周期。</t>
        </is>
      </c>
      <c r="I11" s="24" t="inlineStr">
        <is>
          <t>N/A</t>
        </is>
      </c>
      <c r="J11" s="332" t="inlineStr">
        <is>
          <t>All Steps
全部步骤</t>
        </is>
      </c>
      <c r="K11" s="267" t="inlineStr">
        <is>
          <t>Open</t>
        </is>
      </c>
      <c r="L11" s="333" t="inlineStr">
        <is>
          <t>Is 1 month replacement too conservative? Could lifetime be extended? What was basis for 1 month replacement frequency?
1 month 更换是否过于保守？寿命能否延长？1 month 更换频次的依据是什么？</t>
        </is>
      </c>
      <c r="M11" s="559" t="inlineStr">
        <is>
          <t>Production / Chunpeng Hu
生产/胡春鹏</t>
        </is>
      </c>
      <c r="N11" s="559" t="inlineStr">
        <is>
          <t>QA / Xiong Xiong
QA/熊熊</t>
        </is>
      </c>
      <c r="P11" s="559" t="inlineStr">
        <is>
          <t>Purified water (PW)
纯化水相关</t>
        </is>
      </c>
    </row>
    <row r="12" ht="92.5" customHeight="1" s="557">
      <c r="A12" s="18" t="n">
        <v>11</v>
      </c>
      <c r="B12" s="334" t="inlineStr">
        <is>
          <t>BLA/technical
BLA/技术</t>
        </is>
      </c>
      <c r="C12" s="335" t="inlineStr">
        <is>
          <t>Review lifecycle management for dedicated product contact and solvent hoses. Recommend visual inspection of hoses with some frequency regardless of campaign length.
复核专用产品接触软管及溶剂软管的生命周期管理。建议无论批次数长短，均按一定频次对软管进行目视检查。</t>
        </is>
      </c>
      <c r="D12" s="336" t="inlineStr">
        <is>
          <t>Prior to Pre-PPQ
Pre-PPQ前</t>
        </is>
      </c>
      <c r="E12" s="337" t="inlineStr">
        <is>
          <t>Low &lt; 1 week
低 &lt; 1 week</t>
        </is>
      </c>
      <c r="F12" s="25" t="inlineStr">
        <is>
          <t>11/30/2026</t>
        </is>
      </c>
      <c r="G12" s="25" t="inlineStr">
        <is>
          <t>N/A</t>
        </is>
      </c>
      <c r="H12" s="25" t="inlineStr">
        <is>
          <t>Revise the SOP to define the corresponding requirements.
更改SOP，明确对应要求</t>
        </is>
      </c>
      <c r="I12" s="25" t="inlineStr">
        <is>
          <t>N/A</t>
        </is>
      </c>
      <c r="J12" s="338" t="inlineStr">
        <is>
          <t>All Steps
全部步骤</t>
        </is>
      </c>
      <c r="K12" s="266" t="inlineStr">
        <is>
          <t>Open</t>
        </is>
      </c>
      <c r="L12" s="253" t="n"/>
      <c r="M12" s="558" t="inlineStr">
        <is>
          <t>Production / Kai Liu
生产/刘凯</t>
        </is>
      </c>
      <c r="N12" s="558" t="inlineStr">
        <is>
          <t>QA / Xiong Xiong
QA/熊熊</t>
        </is>
      </c>
      <c r="O12" s="17" t="n"/>
      <c r="P12" s="558" t="inlineStr">
        <is>
          <t>Cleaning
清洁相关</t>
        </is>
      </c>
    </row>
    <row r="13" ht="125.5" customHeight="1" s="557">
      <c r="A13" s="18" t="n">
        <v>12</v>
      </c>
      <c r="B13" s="339" t="inlineStr">
        <is>
          <t>BLA/technical
BLA/技术</t>
        </is>
      </c>
      <c r="C13" s="340" t="inlineStr">
        <is>
          <t>Review pre-use cleaning for solvent transfer and process-solution transfer hoses. Current practice to rinse new product contact hoses with methanol followed by water and dry with nitrogen after 1st installation. Recommend using process solvent in place of water and methanol.
复核溶剂转运及工艺溶液转运软管的使用前清洗。现行做法为新的产品接触软管首次安装后用甲醇继以水冲洗并用氮气干燥。建议以工艺溶剂替代水与甲醇。</t>
        </is>
      </c>
      <c r="D13" s="341" t="inlineStr">
        <is>
          <t>Prior to Demo
Demo前</t>
        </is>
      </c>
      <c r="E13" s="342" t="inlineStr">
        <is>
          <t>Med &gt; 1 week &lt; 1 Month
中 &gt; 1 week &lt; 1 Month</t>
        </is>
      </c>
      <c r="F13" s="258" t="inlineStr">
        <is>
          <t>To be confirmed by Linchong Liu
刘林冲确认</t>
        </is>
      </c>
      <c r="G13" s="24" t="n"/>
      <c r="H13" s="24" t="inlineStr">
        <is>
          <t>Before Step 3 Demo production, perform one rinse with process solvent and document it in the corresponding record.
计划在step3 Demo生产前，使用工艺溶剂做一次工艺溶剂淋洗，并有对应记录。</t>
        </is>
      </c>
      <c r="I13" s="24" t="inlineStr">
        <is>
          <t>N/A</t>
        </is>
      </c>
      <c r="J13" s="343" t="inlineStr">
        <is>
          <t>All Steps
全部步骤</t>
        </is>
      </c>
      <c r="K13" s="267" t="inlineStr">
        <is>
          <t>Open</t>
        </is>
      </c>
      <c r="L13" s="344" t="inlineStr">
        <is>
          <t>Prevent contamination of demo batch that could impact representativeness.
防止 Demo 批污染而影响代表性。</t>
        </is>
      </c>
      <c r="M13" s="559" t="inlineStr">
        <is>
          <t>Production / Yanlong Li
Linchong Liu
生产/李延龙
刘林冲</t>
        </is>
      </c>
      <c r="N13" s="559" t="inlineStr">
        <is>
          <t>QA / Weijiang Liu
QA/刘维江</t>
        </is>
      </c>
      <c r="P13" s="559" t="inlineStr">
        <is>
          <t>Cleaning
清洁相关</t>
        </is>
      </c>
    </row>
    <row r="14" ht="109" customHeight="1" s="557">
      <c r="A14" s="18" t="n">
        <v>13</v>
      </c>
      <c r="B14" s="253" t="inlineStr">
        <is>
          <t>BLA</t>
        </is>
      </c>
      <c r="C14" s="346" t="inlineStr">
        <is>
          <t>Curently site uses corrugated hoses for process and solvent transers. Upgrade to smooth-bore internal design, considering Pharmaline N hoses.
现场目前工艺及溶剂转运使用波纹软管。升级为内壁光滑设计，可考虑 Pharmaline N 软管。</t>
        </is>
      </c>
      <c r="D14" s="347" t="inlineStr">
        <is>
          <t>Prior to Pre-PPQ
Pre-PPQ前</t>
        </is>
      </c>
      <c r="E14" s="348" t="inlineStr">
        <is>
          <t>Med &gt; 1 week &lt; 1 Month
中 &gt; 1 week &lt; 1 Month</t>
        </is>
      </c>
      <c r="F14" s="349" t="inlineStr">
        <is>
          <t>Domestic: 3 weeks
Imported: 2 months
国产：3周
进口：2月</t>
        </is>
      </c>
      <c r="G14" s="25" t="inlineStr">
        <is>
          <t>Platinum-cured silicone hoses are used.
使用铂金硫化硅胶软管</t>
        </is>
      </c>
      <c r="H14" s="25" t="inlineStr">
        <is>
          <t>Replacement is planned.
计划替换</t>
        </is>
      </c>
      <c r="I14" s="25" t="inlineStr">
        <is>
          <t>Confirm whether domestic hoses meet the requirements.
确认国产是否满足要求</t>
        </is>
      </c>
      <c r="J14" s="350" t="inlineStr">
        <is>
          <t>All Steps
全部步骤</t>
        </is>
      </c>
      <c r="K14" s="266" t="inlineStr">
        <is>
          <t>Open</t>
        </is>
      </c>
      <c r="L14" s="351" t="inlineStr">
        <is>
          <t>Effort is dependent on lead time for new hoses
工作量取决于新软管交货期。</t>
        </is>
      </c>
      <c r="M14" s="558" t="inlineStr">
        <is>
          <t>Production / Yanlong Li
生产/李延龙</t>
        </is>
      </c>
      <c r="N14" s="558" t="inlineStr">
        <is>
          <t>QA / Zhiqiang Sun
QA/孙志强</t>
        </is>
      </c>
      <c r="O14" s="17" t="n"/>
      <c r="P14" s="558" t="inlineStr">
        <is>
          <t>Other
其他</t>
        </is>
      </c>
    </row>
    <row r="15" ht="142" customHeight="1" s="557">
      <c r="A15" s="18" t="n">
        <v>14</v>
      </c>
      <c r="B15" s="352" t="inlineStr">
        <is>
          <t>Impurity Investigation
杂质调查</t>
        </is>
      </c>
      <c r="C15" s="353" t="inlineStr">
        <is>
          <t>Review supplier options for reliable sourcing of DIPEA containing less than 50 ppm acetaldehyde
复核供应商选项，可靠采购乙醛含量低于 50 ppm 的 DIPEA。</t>
        </is>
      </c>
      <c r="D15" s="354" t="inlineStr">
        <is>
          <t>Prior to Pre-PPQ
Pre-PPQ前</t>
        </is>
      </c>
      <c r="E15" s="355" t="inlineStr">
        <is>
          <t>Med &gt; 1 week &lt; 1 Month
中 &gt; 1 week &lt; 1 Month</t>
        </is>
      </c>
      <c r="F15" s="260" t="inlineStr">
        <is>
          <t>09/30/2026 (after confirmation of analytical methods)
09/30/2026（分析方法确认后）</t>
        </is>
      </c>
      <c r="G15" s="260" t="inlineStr">
        <is>
          <t>Supplier samples received. Preliminary testing passed (&lt; 50 ppm). Waiting for analytical method alignment for final release.
已收到供应商样品，初步检测合格（&lt; 50 ppm）。待分析方法对齐后最终放行。</t>
        </is>
      </c>
      <c r="H15" s="260" t="inlineStr">
        <is>
          <t>Purchase (completed), then analyze.
采购（已完成），随后检测。</t>
        </is>
      </c>
      <c r="I15" s="260" t="inlineStr">
        <is>
          <t>Analytical method TBD.
分析方法待定。</t>
        </is>
      </c>
      <c r="J15" s="265" t="inlineStr">
        <is>
          <t>SPPS</t>
        </is>
      </c>
      <c r="K15" s="267" t="inlineStr">
        <is>
          <t>In Progress</t>
        </is>
      </c>
      <c r="L15" s="248" t="n"/>
      <c r="M15" s="559" t="inlineStr">
        <is>
          <t>Project Team / Xinyi Zhu
项目组/朱新义</t>
        </is>
      </c>
      <c r="N15" s="559" t="inlineStr">
        <is>
          <t>N/A</t>
        </is>
      </c>
      <c r="P15" s="559" t="inlineStr">
        <is>
          <t>DIPEA
DIPEA相关</t>
        </is>
      </c>
    </row>
    <row r="16" ht="125.5" customHeight="1" s="557">
      <c r="A16" s="18" t="n">
        <v>15</v>
      </c>
      <c r="B16" s="356" t="inlineStr">
        <is>
          <t>Impurity Investigation
杂质调查</t>
        </is>
      </c>
      <c r="C16" s="357" t="inlineStr">
        <is>
          <t>Complete evaluation of internal DIPEA processing options to further reduce acetaldehyde content
完成内部 DIPEA 处理选项评估，以进一步降低乙醛含量。</t>
        </is>
      </c>
      <c r="D16" s="358" t="inlineStr">
        <is>
          <t>Prior to Pre-PPQ
Pre-PPQ前</t>
        </is>
      </c>
      <c r="E16" s="359" t="inlineStr">
        <is>
          <t>Med &gt; 1 week &lt; 1 Month
中 &gt; 1 week &lt; 1 Month</t>
        </is>
      </c>
      <c r="F16" s="261" t="inlineStr">
        <is>
          <t>N/A</t>
        </is>
      </c>
      <c r="G16" s="261" t="inlineStr">
        <is>
          <t>Lab-scale trials showed some effectiveness in reducing acetaldehyde.
实验室规模试验显示对降低乙醛有一定效果。</t>
        </is>
      </c>
      <c r="H16" s="261" t="inlineStr">
        <is>
          <t>We will directly purchase the low-acetaldehyde DIPEA from the supplier; no further purification will be performed at Asymchem.
将直接从供应商采购低乙醛 DIPEA，Asymchem 不再进行额外纯化。</t>
        </is>
      </c>
      <c r="I16" s="261" t="inlineStr">
        <is>
          <t>N/A</t>
        </is>
      </c>
      <c r="J16" s="264" t="inlineStr">
        <is>
          <t>SPPS</t>
        </is>
      </c>
      <c r="K16" s="266" t="inlineStr">
        <is>
          <t>Completed</t>
        </is>
      </c>
      <c r="L16" s="253" t="n"/>
      <c r="M16" s="558" t="inlineStr">
        <is>
          <t>Project Team / Xinyi Zhu
项目组/朱新义</t>
        </is>
      </c>
      <c r="N16" s="558" t="inlineStr">
        <is>
          <t>N/A</t>
        </is>
      </c>
      <c r="O16" s="17" t="n"/>
      <c r="P16" s="558" t="inlineStr">
        <is>
          <t>DIPEA
DIPEA相关</t>
        </is>
      </c>
    </row>
    <row r="17" ht="340" customHeight="1" s="557">
      <c r="A17" s="18" t="n">
        <v>16</v>
      </c>
      <c r="B17" s="360" t="inlineStr">
        <is>
          <t>Impurity Investigation
杂质调查</t>
        </is>
      </c>
      <c r="C17" s="361" t="inlineStr">
        <is>
          <t>Evaluate options to reduce DIPEA exposure time during washing steps (such as larger DIPEA containers and/or addition of a larger dedicated makeup tank)
评估洗涤步骤中缩短 DIPEA 暴露时间的选项（例如更大的 DIPEA 容器和/或增设更大的专用配制罐）。</t>
        </is>
      </c>
      <c r="D17" s="362" t="inlineStr">
        <is>
          <t>Prior to Pre-PPQ
Pre-PPQ前</t>
        </is>
      </c>
      <c r="E17" s="363" t="inlineStr">
        <is>
          <t>Low &lt; 1 week
低 &lt; 1 week</t>
        </is>
      </c>
      <c r="F17" s="260" t="inlineStr">
        <is>
          <t>N/A</t>
        </is>
      </c>
      <c r="G17" s="260" t="inlineStr">
        <is>
          <t>i) Experimental results show that a long washing time does not cause DIPEA decomposition. ii) Compared with the RS batch, the main difference in exposure time came from the smaller DIPEA packages used in the RS batch; frequent container changes extended the operation time. Larger DIPEA containers (200 L) will be used to reduce DIPEA exposure time.
i) 实验结果表明，较长的洗涤时间不会导致 DIPEA 分解。ii) 与 RS 批相比，暴露时间的主要差异来自 RS 批使用的 DIPEA 包装较小，频繁更换容器延长了操作时间。将改用更大的 DIPEA 容器（200 L）以缩短 DIPEA 暴露时间。</t>
        </is>
      </c>
      <c r="H17" s="260" t="inlineStr">
        <is>
          <t>The DIPEA package will be changed to larger drums.
DIPEA 包装将改为更大规格的桶。</t>
        </is>
      </c>
      <c r="I17" s="260" t="inlineStr">
        <is>
          <t>N/A</t>
        </is>
      </c>
      <c r="J17" s="265" t="inlineStr">
        <is>
          <t>SPPS</t>
        </is>
      </c>
      <c r="K17" s="267" t="inlineStr">
        <is>
          <t>Completed</t>
        </is>
      </c>
      <c r="L17" s="248" t="n"/>
      <c r="M17" s="559" t="inlineStr">
        <is>
          <t>Project Team / Xinyi Zhu
项目组/朱新义</t>
        </is>
      </c>
      <c r="N17" s="559" t="inlineStr">
        <is>
          <t>N/A</t>
        </is>
      </c>
      <c r="P17" s="559" t="inlineStr">
        <is>
          <t>DIPEA
DIPEA相关</t>
        </is>
      </c>
    </row>
    <row r="18" ht="142" customHeight="1" s="557">
      <c r="A18" s="18" t="n">
        <v>17</v>
      </c>
      <c r="B18" s="364" t="inlineStr">
        <is>
          <t>Impurity Investigation
杂质调查</t>
        </is>
      </c>
      <c r="C18" s="365" t="inlineStr">
        <is>
          <t>Evaluate feasability to increase nitrogen sparge rates for SC coupling to reduce HCN concentration. Confirm equipment limitations and establish the qualified operating envelope for higher nitrogen sparging rates
评估提高 SC 偶联氮气鼓泡速率以降低 HCN 浓度的可行性。确认设备限制，并建立更高氮气鼓泡速率的合格操作包络。</t>
        </is>
      </c>
      <c r="D18" s="366" t="inlineStr">
        <is>
          <t>Prior to Pre-PPQ
Pre-PPQ前</t>
        </is>
      </c>
      <c r="E18" s="367" t="inlineStr">
        <is>
          <t>Low &lt; 1 week
低 &lt; 1 week</t>
        </is>
      </c>
      <c r="F18" s="261" t="inlineStr">
        <is>
          <t>N/A</t>
        </is>
      </c>
      <c r="G18" s="261" t="inlineStr">
        <is>
          <t>17 m³/h has been proven effective for HCN removal at the 22 kg batch scale, and the flow rate can be adjusted up to 30 m³/h.
已证明 17 m³/h 可有效去除 22 kg 规模批次的 HCN，流量最高可调至 30 m³/h。</t>
        </is>
      </c>
      <c r="H18" s="261" t="inlineStr">
        <is>
          <t>Relevant documents will be updated accordingly.
相关文件将相应更新。</t>
        </is>
      </c>
      <c r="I18" s="261" t="inlineStr">
        <is>
          <t>N/A</t>
        </is>
      </c>
      <c r="J18" s="264" t="inlineStr">
        <is>
          <t>SPPS</t>
        </is>
      </c>
      <c r="K18" s="266" t="inlineStr">
        <is>
          <t>Completed</t>
        </is>
      </c>
      <c r="L18" s="368" t="inlineStr">
        <is>
          <t>Current equipment reportedly supports up to ~40 m³/h; current operating limit ~20 m³/h
据称当前设备最高可支持约 ~40 m³/h；当前操作限约 ~20 m³/h。</t>
        </is>
      </c>
      <c r="M18" s="558" t="inlineStr">
        <is>
          <t>Project Team / Xinyi Zhu
项目组/朱新义</t>
        </is>
      </c>
      <c r="N18" s="558" t="inlineStr">
        <is>
          <t>N/A</t>
        </is>
      </c>
      <c r="O18" s="17" t="n"/>
      <c r="P18" s="558" t="inlineStr">
        <is>
          <t>DIPEA
DIPEA相关</t>
        </is>
      </c>
    </row>
    <row r="19" ht="92.5" customHeight="1" s="557">
      <c r="A19" s="18" t="n">
        <v>18</v>
      </c>
      <c r="B19" s="369" t="inlineStr">
        <is>
          <t>Impurity Investigation
杂质调查</t>
        </is>
      </c>
      <c r="C19" s="370" t="inlineStr">
        <is>
          <t>Assess feasibility and effectiveness of nitrogen sweep operation during SC coupling to reduce HCN concentration.
评估 SC 偶联期间氮气吹扫操作降低 HCN 浓度的可行性与有效性。</t>
        </is>
      </c>
      <c r="D19" s="371" t="inlineStr">
        <is>
          <t>Prior to Pre-PPQ
Pre-PPQ前</t>
        </is>
      </c>
      <c r="E19" s="372" t="inlineStr">
        <is>
          <t>Low &lt; 1 week
低 &lt; 1 week</t>
        </is>
      </c>
      <c r="F19" s="260" t="inlineStr">
        <is>
          <t>N/A</t>
        </is>
      </c>
      <c r="G19" s="260" t="inlineStr">
        <is>
          <t>Agreement has been reached that sweeping/vacuum is not recommended.
双方已达成一致：不建议采用吹扫/抽真空。</t>
        </is>
      </c>
      <c r="H19" s="260" t="inlineStr">
        <is>
          <t>N/A</t>
        </is>
      </c>
      <c r="I19" s="260" t="inlineStr">
        <is>
          <t>N/A</t>
        </is>
      </c>
      <c r="J19" s="265" t="inlineStr">
        <is>
          <t>SPPS</t>
        </is>
      </c>
      <c r="K19" s="267" t="inlineStr">
        <is>
          <t>Completed</t>
        </is>
      </c>
      <c r="L19" s="248" t="n"/>
      <c r="M19" s="559" t="inlineStr">
        <is>
          <t>Project Team / Xinyi Zhu
项目组/朱新义</t>
        </is>
      </c>
      <c r="N19" s="559" t="inlineStr">
        <is>
          <t>N/A</t>
        </is>
      </c>
      <c r="P19" s="559" t="inlineStr">
        <is>
          <t>DIPEA
DIPEA相关</t>
        </is>
      </c>
    </row>
    <row r="20" ht="241" customHeight="1" s="557">
      <c r="A20" s="18" t="n">
        <v>19</v>
      </c>
      <c r="B20" s="373" t="inlineStr">
        <is>
          <t>Impurity Investigation
杂质调查</t>
        </is>
      </c>
      <c r="C20" s="374" t="inlineStr">
        <is>
          <t>Complete planned passivation of GG917 and LAARA process lines. Confirm there are not similar gaps on cleavage and purification process lines for GG917 steps.
完成计划的 GG917 与 LAARA 工艺管路钝化。确认 GG917 步骤的裂解及纯化工艺管路不存在类似缺口。</t>
        </is>
      </c>
      <c r="D20" s="375" t="inlineStr">
        <is>
          <t>Prior to Pre-PPQ
Pre-PPQ前</t>
        </is>
      </c>
      <c r="E20" s="376" t="inlineStr">
        <is>
          <t>Low &lt; 1 week
低 &lt; 1 week</t>
        </is>
      </c>
      <c r="F20" s="25" t="inlineStr">
        <is>
          <t>For details, refer to the Notes for each project.
详见各项目备注。</t>
        </is>
      </c>
      <c r="G20" s="25" t="inlineStr">
        <is>
          <t>No passivation on the inner surface of process lines.
工艺管路内表面未进行钝化。</t>
        </is>
      </c>
      <c r="H20" s="25" t="inlineStr">
        <is>
          <t>Perform passivation of GG917 and LAARA process lines.
对 GG917 与 LAARA 工艺管路进行钝化。</t>
        </is>
      </c>
      <c r="I20" s="25" t="n"/>
      <c r="J20" s="377" t="inlineStr">
        <is>
          <t>All Steps
全部步骤</t>
        </is>
      </c>
      <c r="K20" s="266" t="inlineStr">
        <is>
          <t>Open</t>
        </is>
      </c>
      <c r="L20" s="378" t="inlineStr">
        <is>
          <t>L1 Step 1 Completed; Step 2: 09/29/2026
L2 Step 1 Completed; Step 2: 09/29/2026
L3 Step 1 Completed; Step 2: 09/29/2026; Step 3: 10/07/2026
GG917 Step 1 Completed; Step 2: 10/02/2026; Step 3: Completed
L1：Step 1 已完成；Step 2：09/29/2026
L2：Step 1 已完成；Step 2：09/29/2026
L3：Step 1 已完成；Step 2：09/29/2026；Step 3：10/07/2026
GG917：Step 1 已完成；Step 2：10/02/2026；Step 3 已完成</t>
        </is>
      </c>
      <c r="M20" s="558" t="inlineStr">
        <is>
          <t>Production / Zhongyao Zhang, Fan Wang
生产/张忠尧、王帆</t>
        </is>
      </c>
      <c r="N20" s="558" t="inlineStr">
        <is>
          <t>QA / Mingyang Yang
QA/杨明旸</t>
        </is>
      </c>
      <c r="O20" s="17" t="n"/>
      <c r="P20" s="558" t="inlineStr">
        <is>
          <t>Passivation
钝化</t>
        </is>
      </c>
    </row>
    <row r="21" ht="158.5" customHeight="1" s="557">
      <c r="A21" s="18" t="n">
        <v>20</v>
      </c>
      <c r="B21" s="379" t="inlineStr">
        <is>
          <t>Impurity Investigation
杂质调查</t>
        </is>
      </c>
      <c r="C21" s="380" t="inlineStr">
        <is>
          <t>Provide a remediation plan and timeline for passivation of all bulk solvent tanks and headers
提供全部大宗溶剂罐及总管钝化的整改计划与时间表。</t>
        </is>
      </c>
      <c r="D21" s="381" t="inlineStr">
        <is>
          <t>Prior to Pre-PPQ
Pre-PPQ前</t>
        </is>
      </c>
      <c r="E21" s="382" t="inlineStr">
        <is>
          <t>High &gt; 1 month
高 &gt; 1 month</t>
        </is>
      </c>
      <c r="F21" s="27" t="n">
        <v>46435</v>
      </c>
      <c r="G21" s="260" t="inlineStr">
        <is>
          <t>The Phase I tank farm will not be passivated for now; metal-ion testing is performed instead.
一期罐区暂时不钝化,执行金属离子检测；</t>
        </is>
      </c>
      <c r="H21" s="260" t="inlineStr">
        <is>
          <t>After the Phase II tank farm is handed over, its lines and tanks will be passivated, and all subsequent projects will use solvents from the Phase II tank farm.
待二期罐区交付后，进行管路和储罐钝化，后续项目全部使用二期罐区溶剂；</t>
        </is>
      </c>
      <c r="I21" s="260" t="inlineStr">
        <is>
          <t>None
无</t>
        </is>
      </c>
      <c r="J21" s="383" t="inlineStr">
        <is>
          <t>All Steps
全部步骤</t>
        </is>
      </c>
      <c r="K21" s="267" t="inlineStr">
        <is>
          <t>Open</t>
        </is>
      </c>
      <c r="L21" s="248" t="n"/>
      <c r="M21" s="559" t="inlineStr">
        <is>
          <t>Tank Farm / Wenyi Zhang
罐区/张文艺</t>
        </is>
      </c>
      <c r="N21" s="559" t="inlineStr">
        <is>
          <t>QA / Meijia Liu
QA/刘美佳</t>
        </is>
      </c>
      <c r="P21" s="559" t="inlineStr">
        <is>
          <t>Passivation
钝化</t>
        </is>
      </c>
    </row>
    <row r="22" ht="142" customHeight="1" s="557">
      <c r="A22" s="18" t="n">
        <v>21</v>
      </c>
      <c r="B22" s="384" t="inlineStr">
        <is>
          <t>Impurity Investigation
杂质调查</t>
        </is>
      </c>
      <c r="C22" s="385" t="inlineStr">
        <is>
          <t>Implement administrative controls for raw material receipt and transfer into CNC areas to minimize potential exposure to outdoor conditions.
对原料接收及转入 CNC 区域实施管理控制，最大限度降低室外条件暴露风险。</t>
        </is>
      </c>
      <c r="D22" s="386" t="inlineStr">
        <is>
          <t>Prior to Pre-PPQ
Pre-PPQ前</t>
        </is>
      </c>
      <c r="E22" s="387" t="inlineStr">
        <is>
          <t>Med &gt; 1 week &lt; 1 Month
中 &gt; 1 week &lt; 1 Month</t>
        </is>
      </c>
      <c r="F22" s="25" t="inlineStr">
        <is>
          <t>10/20/2026</t>
        </is>
      </c>
      <c r="G22" s="25" t="inlineStr">
        <is>
          <t>There is an administrative requirement that, once material arrives at the production workshop, a dedicated operator must transfer it to the CNC area.
现有管理要求：物料到达生产车间后，须由专人转运至 CNC 区域。</t>
        </is>
      </c>
      <c r="H22" s="25" t="inlineStr">
        <is>
          <t>Update the SOP to include detailed material lifecycle management to avoid gaps during material transfer.
更新 SOP，纳入详细的物料生命周期管理，避免物料转移环节出现缺口。</t>
        </is>
      </c>
      <c r="I22" s="25" t="n"/>
      <c r="J22" s="388" t="inlineStr">
        <is>
          <t>All Steps
全部步骤</t>
        </is>
      </c>
      <c r="K22" s="266" t="inlineStr">
        <is>
          <t>Open</t>
        </is>
      </c>
      <c r="L22" s="253" t="n"/>
      <c r="M22" s="558" t="inlineStr">
        <is>
          <t>Production / Hui Ma
生产/马辉</t>
        </is>
      </c>
      <c r="N22" s="558" t="inlineStr">
        <is>
          <t>QA / Zhiqiang Sun
QA/孙志强</t>
        </is>
      </c>
      <c r="O22" s="17" t="n"/>
      <c r="P22" s="558" t="inlineStr">
        <is>
          <t>Material logistics corridor
物流通道</t>
        </is>
      </c>
    </row>
    <row r="23" ht="92.5" customHeight="1" s="557">
      <c r="A23" s="22" t="n">
        <v>22</v>
      </c>
      <c r="B23" s="248" t="inlineStr">
        <is>
          <t>BLA</t>
        </is>
      </c>
      <c r="C23" s="389" t="inlineStr">
        <is>
          <t>Define long-term facility modifications to provide an airlock or physical segregation for transer of raw materials into CNC area for stagging.
明确长期厂房改造方案，为原料转入 CNC 暂存区提供气闸或物理隔离。</t>
        </is>
      </c>
      <c r="D23" s="390" t="inlineStr">
        <is>
          <t>Post PPQ
PPQ后</t>
        </is>
      </c>
      <c r="E23" s="391" t="inlineStr">
        <is>
          <t>High &gt; 1 month
高 &gt; 1 month</t>
        </is>
      </c>
      <c r="F23" s="27" t="n">
        <v>46315</v>
      </c>
      <c r="G23" s="24" t="n"/>
      <c r="H23" s="24" t="inlineStr">
        <is>
          <t>Submit a change control to add a buffer room.
提交变更，增加缓冲间</t>
        </is>
      </c>
      <c r="I23" s="24" t="n"/>
      <c r="J23" s="392" t="inlineStr">
        <is>
          <t>All Steps
全部步骤</t>
        </is>
      </c>
      <c r="K23" s="267" t="inlineStr">
        <is>
          <t>Open</t>
        </is>
      </c>
      <c r="L23" s="248" t="n"/>
      <c r="M23" s="559" t="inlineStr">
        <is>
          <t>Engineering / Hongjie Guo
Production / TBD
工程/郭宏杰
生产/</t>
        </is>
      </c>
      <c r="N23" s="559" t="inlineStr">
        <is>
          <t>QA / Meijia Liu
QA/刘美佳</t>
        </is>
      </c>
      <c r="P23" s="559" t="inlineStr">
        <is>
          <t>Material logistics corridor
物流通道</t>
        </is>
      </c>
    </row>
    <row r="24" ht="92.5" customHeight="1" s="557">
      <c r="A24" s="18" t="n">
        <v>23</v>
      </c>
      <c r="B24" s="253" t="inlineStr">
        <is>
          <t>BLA</t>
        </is>
      </c>
      <c r="C24" s="394" t="inlineStr">
        <is>
          <t>Complete review of the site multiproduct cross-contamination risk assessment and incorporate high level summary of risk and mitigations into the process specific CCS docments for each process steps
完成现场多产品交叉污染风险评估复核，并将风险与缓解措施的高层摘要纳入各工艺步骤专用 CCS 文件。</t>
        </is>
      </c>
      <c r="D24" s="395" t="inlineStr">
        <is>
          <t>Prior to Pre-PPQ
Pre-PPQ前</t>
        </is>
      </c>
      <c r="E24" s="396" t="inlineStr">
        <is>
          <t>Med &gt; 1 week &lt; 1 Month
中 &gt; 1 week &lt; 1 Month</t>
        </is>
      </c>
      <c r="F24" s="25" t="inlineStr">
        <is>
          <t>10/20/2026</t>
        </is>
      </c>
      <c r="G24" s="25" t="inlineStr">
        <is>
          <t>The CCS document lacks a detailed description.
CCS 文件缺少详细描述。</t>
        </is>
      </c>
      <c r="H24" s="25" t="inlineStr">
        <is>
          <t>Add a detailed description to the CCS document.
在 CCS 文件中补充详细描述。</t>
        </is>
      </c>
      <c r="I24" s="25" t="n"/>
      <c r="J24" s="397" t="inlineStr">
        <is>
          <t>All Steps
全部步骤</t>
        </is>
      </c>
      <c r="K24" s="266" t="inlineStr">
        <is>
          <t>Open</t>
        </is>
      </c>
      <c r="L24" s="253" t="n"/>
      <c r="M24" s="558" t="inlineStr">
        <is>
          <t>QA / Qi Wang
QA/王琪</t>
        </is>
      </c>
      <c r="N24" s="221" t="n"/>
      <c r="O24" s="17" t="n"/>
      <c r="P24" s="558" t="inlineStr">
        <is>
          <t>CCS</t>
        </is>
      </c>
    </row>
    <row r="25" ht="92.5" customHeight="1" s="557">
      <c r="A25" s="18" t="n">
        <v>24</v>
      </c>
      <c r="B25" s="398" t="inlineStr">
        <is>
          <t>Technical
技术</t>
        </is>
      </c>
      <c r="C25" s="399" t="inlineStr">
        <is>
          <t>Replace silicone water hoses with PTFE hoses or provide a documented technical justification
将硅胶水管更换为 PTFE 软管，或提供成文技术论证。</t>
        </is>
      </c>
      <c r="D25" s="400" t="inlineStr">
        <is>
          <t>Post PPQ
PPQ后</t>
        </is>
      </c>
      <c r="E25" s="401" t="inlineStr">
        <is>
          <t>Med &gt; 1 week &lt; 1 Month
中 &gt; 1 week &lt; 1 Month</t>
        </is>
      </c>
      <c r="F25" s="24" t="inlineStr">
        <is>
          <t>10/20/2026</t>
        </is>
      </c>
      <c r="G25" s="24" t="inlineStr">
        <is>
          <t>Silicone water hoses are currently used.
目前使用硅胶水管。</t>
        </is>
      </c>
      <c r="H25" s="24" t="inlineStr">
        <is>
          <t>Replace silicone hoses with PTFE hoses.
将硅胶软管更换为 PTFE 软管。</t>
        </is>
      </c>
      <c r="I25" s="24" t="n"/>
      <c r="J25" s="402" t="inlineStr">
        <is>
          <t>Purification
纯化</t>
        </is>
      </c>
      <c r="K25" s="267" t="inlineStr">
        <is>
          <t>Open</t>
        </is>
      </c>
      <c r="L25" s="403" t="inlineStr">
        <is>
          <t>Silicone could pose risk to process if shedding occurs as PTFE is inherient and more inert
若发生脱落，硅胶可能对工艺构成风险；PTFE 更惰性。</t>
        </is>
      </c>
      <c r="M25" s="559" t="inlineStr">
        <is>
          <t>Production / Chunpeng Hu
生产/胡春鹏</t>
        </is>
      </c>
      <c r="N25" s="559" t="inlineStr">
        <is>
          <t>QA / Xiong Xiong
QA/熊熊</t>
        </is>
      </c>
      <c r="P25" s="559" t="inlineStr">
        <is>
          <t>Purified water (PW)
纯化水相关</t>
        </is>
      </c>
    </row>
    <row r="26" ht="109" customHeight="1" s="557">
      <c r="A26" s="18" t="n">
        <v>25</v>
      </c>
      <c r="B26" s="253" t="inlineStr">
        <is>
          <t>BLA</t>
        </is>
      </c>
      <c r="C26" s="404" t="inlineStr">
        <is>
          <t>Update procedure to ensure immediate water hose disconnection and controlled storage after use
更新程序，确保用水软管用后立即断开并受控存放。</t>
        </is>
      </c>
      <c r="D26" s="405" t="inlineStr">
        <is>
          <t>Prior to Demo
Demo前</t>
        </is>
      </c>
      <c r="E26" s="406" t="inlineStr">
        <is>
          <t>Med &gt; 1 week &lt; 1 Month
中 &gt; 1 week &lt; 1 Month</t>
        </is>
      </c>
      <c r="F26" s="25" t="inlineStr">
        <is>
          <t>10/04/2026</t>
        </is>
      </c>
      <c r="G26" s="25" t="inlineStr">
        <is>
          <t>No clear time requirement in the SOP for disconnecting water hoses after use.
SOP 对用水软管用后断开无明确时间要求。</t>
        </is>
      </c>
      <c r="H26" s="25" t="inlineStr">
        <is>
          <t>Update the SOP to require that water hoses be disconnected immediately once water charging is finished.
更新 SOP，要求加水完成后立即断开用水软管。</t>
        </is>
      </c>
      <c r="I26" s="25" t="n"/>
      <c r="J26" s="407" t="inlineStr">
        <is>
          <t>Purification
纯化</t>
        </is>
      </c>
      <c r="K26" s="266" t="inlineStr">
        <is>
          <t>Open</t>
        </is>
      </c>
      <c r="L26" s="408" t="inlineStr">
        <is>
          <t>Prevent biofilm formation during Demo processing that could impact PPQ.
防止 Demo 加工期间形成生物膜而影响 PPQ。</t>
        </is>
      </c>
      <c r="M26" s="558" t="inlineStr">
        <is>
          <t>Production / Chunpeng Hu
生产/胡春鹏</t>
        </is>
      </c>
      <c r="N26" s="558" t="inlineStr">
        <is>
          <t>QA / Xiong Xiong
QA/熊熊</t>
        </is>
      </c>
      <c r="O26" s="17" t="n"/>
      <c r="P26" s="558" t="inlineStr">
        <is>
          <t>Purified water (PW)
纯化水相关</t>
        </is>
      </c>
    </row>
    <row r="27" ht="109" customHeight="1" s="557">
      <c r="A27" s="11" t="n">
        <v>26</v>
      </c>
      <c r="B27" s="248" t="inlineStr">
        <is>
          <t>BLA</t>
        </is>
      </c>
      <c r="C27" s="409" t="inlineStr">
        <is>
          <t>Update CCS for each process step to clearly define the filtration strategy in alignment with the corporate filtration gudiance. Include filtration location, type, replacement criteria, justification and diagrams or tables to CCS documentation for each process step
更新各工艺步骤 CCS，按公司过滤指导明确过滤策略。在各步骤 CCS 文件中纳入过滤位置、类型、更换标准、论证以及图示或表格。</t>
        </is>
      </c>
      <c r="D27" s="410" t="inlineStr">
        <is>
          <t>Prior to Pre-PPQ
Pre-PPQ前</t>
        </is>
      </c>
      <c r="E27" s="411" t="inlineStr">
        <is>
          <t>Med &gt; 1 week &lt; 1 Month
中 &gt; 1 week &lt; 1 Month</t>
        </is>
      </c>
      <c r="F27" s="24" t="inlineStr">
        <is>
          <t>10/04/2026</t>
        </is>
      </c>
      <c r="G27" s="24" t="inlineStr">
        <is>
          <t>The detailed filtration principle is not included in the SOP or CCS document.
SOP 与 CCS 文件中未包含详细的过滤原则。</t>
        </is>
      </c>
      <c r="H27" s="24" t="inlineStr">
        <is>
          <t>Update the SOP and CCS document to include the detailed filtration principle.
更新 SOP 与 CCS 文件，纳入详细的过滤原则。</t>
        </is>
      </c>
      <c r="I27" s="24" t="n"/>
      <c r="J27" s="412" t="inlineStr">
        <is>
          <t>All Steps
全部步骤</t>
        </is>
      </c>
      <c r="K27" s="267" t="inlineStr">
        <is>
          <t>Open</t>
        </is>
      </c>
      <c r="L27" s="248" t="n"/>
      <c r="M27" s="559" t="inlineStr">
        <is>
          <t>Project Team / Xinyi Zhu
项目组/朱新义</t>
        </is>
      </c>
      <c r="N27" s="559" t="inlineStr">
        <is>
          <t>QA / Shenghui Yu
QA/于生辉</t>
        </is>
      </c>
      <c r="P27" s="559" t="inlineStr">
        <is>
          <t>Filtration strategy
过滤策略相关</t>
        </is>
      </c>
    </row>
    <row r="28" ht="109" customHeight="1" s="557">
      <c r="A28" s="18" t="n">
        <v>27</v>
      </c>
      <c r="B28" s="253" t="inlineStr">
        <is>
          <t>BLA</t>
        </is>
      </c>
      <c r="C28" s="413" t="inlineStr">
        <is>
          <t>Filtration of liquid raw materials is required for all process steps. Reassess and document justification for 75-micron filtration of SPPS raw material drum charging.
所有工艺步骤均要求液体原料过滤。重新评估并成文论证 SPPS 原料桶投料的 75-micron 过滤。</t>
        </is>
      </c>
      <c r="D28" s="414" t="inlineStr">
        <is>
          <t>Prior to Demo
Demo前</t>
        </is>
      </c>
      <c r="E28" s="415" t="inlineStr">
        <is>
          <t>Med &gt; 1 week &lt; 1 Month
中 &gt; 1 week &lt; 1 Month</t>
        </is>
      </c>
      <c r="F28" s="25" t="inlineStr">
        <is>
          <t>10/04/2026</t>
        </is>
      </c>
      <c r="G28" s="25" t="inlineStr">
        <is>
          <t>No detailed requirement or assessment for liquid material filtration.
对液体物料过滤无详细要求和评估。</t>
        </is>
      </c>
      <c r="H28" s="25" t="inlineStr">
        <is>
          <t>Add a detailed description of liquid material filtration to the SOP and CCS.
在 SOP 与 CCS 中补充液体物料过滤的详细描述。</t>
        </is>
      </c>
      <c r="I28" s="25" t="n"/>
      <c r="J28" s="416" t="inlineStr">
        <is>
          <t>All Steps
全部步骤</t>
        </is>
      </c>
      <c r="K28" s="266" t="inlineStr">
        <is>
          <t>Open</t>
        </is>
      </c>
      <c r="L28" s="417" t="inlineStr">
        <is>
          <t>Prevent particulate contamination of equipment which may impact PPQ (particualte can be challenging to remove once introduced).
防止设备微粒污染而影响 PPQ（微粒一旦引入往往难以清除）。</t>
        </is>
      </c>
      <c r="M28" s="558" t="inlineStr">
        <is>
          <t>Production / Fan Wang
生产/王帆</t>
        </is>
      </c>
      <c r="N28" s="558" t="inlineStr">
        <is>
          <t>QA / Shenghui Yu
QA/于生辉</t>
        </is>
      </c>
      <c r="O28" s="17" t="n"/>
      <c r="P28" s="558" t="inlineStr">
        <is>
          <t>Filtration strategy
过滤策略相关</t>
        </is>
      </c>
    </row>
    <row r="29" ht="92.5" customHeight="1" s="557">
      <c r="A29" s="18" t="n">
        <v>28</v>
      </c>
      <c r="B29" s="245" t="inlineStr">
        <is>
          <t>BLA</t>
        </is>
      </c>
      <c r="C29" s="246" t="inlineStr">
        <is>
          <t>Revise glovebox cleaning practices to use approved alcohol wipes rather than water wipes in dispensing areas.
修订手套箱清洁相关做法，在分装区域使用经批准的iIPA擦拭布，而非水擦拭布。</t>
        </is>
      </c>
      <c r="D29" s="418" t="inlineStr">
        <is>
          <t>Prior to Demo
Demo前</t>
        </is>
      </c>
      <c r="E29" s="419" t="inlineStr">
        <is>
          <t>Low &lt; 1 week
低 &lt; 1 week</t>
        </is>
      </c>
      <c r="F29" s="24" t="inlineStr">
        <is>
          <t>10/04/2026</t>
        </is>
      </c>
      <c r="G29" s="24" t="inlineStr">
        <is>
          <t>Water is used for glovebox cleaning.
目前用水清洁手套箱。</t>
        </is>
      </c>
      <c r="H29" s="24" t="inlineStr">
        <is>
          <t>After water cleaning, an alcohol wipe shall be performed to avoid any water residue.
水清洁后须用酒精擦拭，避免水残留。</t>
        </is>
      </c>
      <c r="I29" s="24" t="n"/>
      <c r="J29" s="420" t="inlineStr">
        <is>
          <t>All Steps
全部步骤</t>
        </is>
      </c>
      <c r="K29" s="267" t="inlineStr">
        <is>
          <t>Open</t>
        </is>
      </c>
      <c r="L29" s="248" t="n"/>
      <c r="M29" s="559" t="inlineStr">
        <is>
          <t>Production / Kai Liu
生产/刘凯</t>
        </is>
      </c>
      <c r="N29" s="559" t="inlineStr">
        <is>
          <t>QA / Zhiqiang Sun
QA/孙志强</t>
        </is>
      </c>
      <c r="P29" s="559" t="inlineStr">
        <is>
          <t>Cleaning
清洁相关</t>
        </is>
      </c>
    </row>
    <row r="30" ht="125.5" customHeight="1" s="557">
      <c r="A30" s="22" t="n">
        <v>29</v>
      </c>
      <c r="B30" s="202" t="inlineStr">
        <is>
          <t>BLA</t>
        </is>
      </c>
      <c r="C30" s="421" t="inlineStr">
        <is>
          <t>Complete planned upgrades and demonstrate CNC area relative humidity remains below 60% during summer conditions
完成计划升级，并证明夏季条件下 CNC 区域相对湿度保持低于 60%。</t>
        </is>
      </c>
      <c r="D30" s="422" t="inlineStr">
        <is>
          <t>Post PPQ
PPQ后</t>
        </is>
      </c>
      <c r="E30" s="423" t="inlineStr">
        <is>
          <t>High &gt; 1 month
高 &gt; 1 month</t>
        </is>
      </c>
      <c r="F30" s="262" t="n">
        <v>46537</v>
      </c>
      <c r="G30" s="261" t="n"/>
      <c r="H30" s="261" t="inlineStr">
        <is>
          <t>Modify the air handling units by adding cooling coils, and complete qualification during a production gap.
对空调机组改造，增加表冷器，在生产间歇完成验证；</t>
        </is>
      </c>
      <c r="I30" s="261" t="inlineStr">
        <is>
          <t>The affected rooms must stop production during the air handling unit modification.
空调机组改造期间，对应房间需要停产</t>
        </is>
      </c>
      <c r="J30" s="424" t="inlineStr">
        <is>
          <t>All Steps
全部步骤</t>
        </is>
      </c>
      <c r="K30" s="266" t="inlineStr">
        <is>
          <t>Open</t>
        </is>
      </c>
      <c r="L30" s="425" t="inlineStr">
        <is>
          <t>Confirm procedure in place to use protable dehumidifiers in the short term until all upgrades are complete to allow for robust control iof humidity in CNC areas.
确认短期程序已到位，在升级完成前使用便携除湿机，以便稳健控制 CNC 区域湿度。</t>
        </is>
      </c>
      <c r="M30" s="558" t="inlineStr">
        <is>
          <t>Production Equipment Dept. / Wenyi Zhang
生产设备部/张文艺</t>
        </is>
      </c>
      <c r="N30" s="558" t="inlineStr">
        <is>
          <t>QA / Meijia Liu
QA/刘美佳</t>
        </is>
      </c>
      <c r="O30" s="17" t="n"/>
      <c r="P30" s="558" t="inlineStr">
        <is>
          <t>CNC humidity
CNC湿度</t>
        </is>
      </c>
    </row>
    <row r="31" ht="109" customHeight="1" s="557">
      <c r="A31" s="18" t="n">
        <v>30</v>
      </c>
      <c r="B31" s="245" t="inlineStr">
        <is>
          <t>BLA</t>
        </is>
      </c>
      <c r="C31" s="426" t="inlineStr">
        <is>
          <t>Asymchem to provide vent header drawings and designs to Lilly for review.
Asymchem 向 Lilly 提供排气总管图纸与设计供审阅。</t>
        </is>
      </c>
      <c r="D31" s="427" t="inlineStr">
        <is>
          <t>Prior to Demo
Demo前</t>
        </is>
      </c>
      <c r="E31" s="428" t="inlineStr">
        <is>
          <t>Low &lt; 1 week
低 &lt; 1 week</t>
        </is>
      </c>
      <c r="F31" s="24" t="inlineStr">
        <is>
          <t>To be uploaded before the end of this week
本周周末前上传</t>
        </is>
      </c>
      <c r="G31" s="24" t="n"/>
      <c r="H31" s="24" t="n"/>
      <c r="I31" s="24" t="n"/>
      <c r="J31" s="429" t="inlineStr">
        <is>
          <t>All Steps
全部步骤</t>
        </is>
      </c>
      <c r="K31" s="267" t="inlineStr">
        <is>
          <t>Open</t>
        </is>
      </c>
      <c r="L31" s="248" t="n"/>
      <c r="M31" s="559" t="inlineStr">
        <is>
          <t>Engineering / Hongjie Guo
IEPE / Guorui Zhang
工程/郭宏杰
IEPE/张国睿</t>
        </is>
      </c>
      <c r="N31" s="559" t="inlineStr">
        <is>
          <t>QA / Meijia Liu
QA/刘美佳</t>
        </is>
      </c>
      <c r="P31" s="559" t="inlineStr">
        <is>
          <t>Other
其他</t>
        </is>
      </c>
    </row>
    <row r="32" ht="125.5" customHeight="1" s="557">
      <c r="A32" s="11" t="n">
        <v>31</v>
      </c>
      <c r="B32" s="431" t="inlineStr">
        <is>
          <t>BLA/technical
BLA/技术</t>
        </is>
      </c>
      <c r="C32" s="432" t="inlineStr">
        <is>
          <t>Evaluate process-specific cross-contamination risks from process connections and utility lines, then develop a long-term plan to isolate nonessential connections or otherwise mitigate identified risks. Assess shared-utility and equipment-isolation requirements for GG917 and LAARA operations
评估来自工艺连接及公用系统管路的工艺特异性交叉污染风险，并制定长期计划以隔离非必要连接或以其他方式缓解已识别风险。评估 GG917 与 LAARA 运行对共用公用系统及设备隔离的要求。</t>
        </is>
      </c>
      <c r="D32" s="433" t="inlineStr">
        <is>
          <t>Prior to Demo
Demo前</t>
        </is>
      </c>
      <c r="E32" s="434" t="inlineStr">
        <is>
          <t>Med &gt; 1 week &lt; 1 Month
中 &gt; 1 week &lt; 1 Month</t>
        </is>
      </c>
      <c r="F32" s="25" t="inlineStr">
        <is>
          <t>10/04/2026</t>
        </is>
      </c>
      <c r="G32" s="25" t="inlineStr">
        <is>
          <t>No detailed assessment in the CCS document.
CCS 文件中无详细评估。</t>
        </is>
      </c>
      <c r="H32" s="25" t="inlineStr">
        <is>
          <t>Add a detailed assessment to the CCS document.
在 CCS 文件中补充详细评估。</t>
        </is>
      </c>
      <c r="I32" s="25" t="n"/>
      <c r="J32" s="435" t="inlineStr">
        <is>
          <t>All Steps
全部步骤</t>
        </is>
      </c>
      <c r="K32" s="266" t="inlineStr">
        <is>
          <t>Open</t>
        </is>
      </c>
      <c r="L32" s="253" t="n"/>
      <c r="M32" s="558" t="inlineStr">
        <is>
          <t>Production / Linchong Liu
生产/刘林冲</t>
        </is>
      </c>
      <c r="N32" s="558" t="inlineStr">
        <is>
          <t>QA / Qi Wang, Mingyang Yang
QA/王琪，杨明旸</t>
        </is>
      </c>
      <c r="O32" s="17" t="n"/>
      <c r="P32" s="558" t="inlineStr">
        <is>
          <t>CCS</t>
        </is>
      </c>
    </row>
    <row r="33" ht="92.5" customHeight="1" s="557">
      <c r="A33" s="18" t="n">
        <v>32</v>
      </c>
      <c r="B33" s="248" t="inlineStr">
        <is>
          <t>BLA</t>
        </is>
      </c>
      <c r="C33" s="436" t="inlineStr">
        <is>
          <t>Implement the use of permeable film to cover the ends of process and water hoses while stored for drying
在工艺及用水软管干燥存放期间，采用透气膜覆盖软管端部。</t>
        </is>
      </c>
      <c r="D33" s="437" t="inlineStr">
        <is>
          <t>Prior to Demo
Demo前</t>
        </is>
      </c>
      <c r="E33" s="438" t="inlineStr">
        <is>
          <t>Med &gt; 1 week &lt; 1 Month
中 &gt; 1 week &lt; 1 Month</t>
        </is>
      </c>
      <c r="F33" s="24" t="inlineStr">
        <is>
          <t>10/04/2026</t>
        </is>
      </c>
      <c r="G33" s="24" t="inlineStr">
        <is>
          <t>No permeable film is used to cover the ends of process and water hoses.
目前未使用透气膜覆盖工艺及用水软管端部。</t>
        </is>
      </c>
      <c r="H33" s="24" t="inlineStr">
        <is>
          <t>Use permeable film to cover the ends of process and water hoses.
使用透气膜覆盖工艺及用水软管端部。</t>
        </is>
      </c>
      <c r="I33" s="24" t="n"/>
      <c r="J33" s="439" t="inlineStr">
        <is>
          <t>All Steps
全部步骤</t>
        </is>
      </c>
      <c r="K33" s="267" t="inlineStr">
        <is>
          <t>Open</t>
        </is>
      </c>
      <c r="L33" s="440" t="inlineStr">
        <is>
          <t>Prevent hose contamination during Demo processing that could impact PPQ.
防止 Demo 加工期间软管污染而影响 PPQ。</t>
        </is>
      </c>
      <c r="M33" s="559" t="inlineStr">
        <is>
          <t>Production / Chunpeng Hu
生产/胡春鹏</t>
        </is>
      </c>
      <c r="N33" s="559" t="inlineStr">
        <is>
          <t>N/A</t>
        </is>
      </c>
      <c r="P33" s="559" t="inlineStr">
        <is>
          <t>Purified water (PW)
纯化水相关</t>
        </is>
      </c>
    </row>
    <row r="34" ht="92.5" customHeight="1" s="557">
      <c r="A34" s="18" t="n">
        <v>33</v>
      </c>
      <c r="B34" s="226" t="inlineStr">
        <is>
          <t>BLA</t>
        </is>
      </c>
      <c r="C34" s="441" t="inlineStr">
        <is>
          <t>Install low-point drains on the inlet and outlet of all PD pumps used in Category 4 systems, and add pre- and post-cleaning steps to drain from these points and nitrogen-purge through the pump to the outlet drain
在用于 4类 系统的所有容积式泵（PD pump）进出口安装低点排尽口，并在清洗前/后步骤中增加自上述点排尽及经泵至出口排尽口的氮气吹扫。</t>
        </is>
      </c>
      <c r="D34" s="442" t="inlineStr">
        <is>
          <t>Prior to Pre-PPQ
Pre-PPQ前</t>
        </is>
      </c>
      <c r="E34" s="443" t="inlineStr">
        <is>
          <t>Med &gt; 1 week &lt; 1 Month
中 &gt; 1 week &lt; 1 Month</t>
        </is>
      </c>
      <c r="F34" s="25" t="inlineStr">
        <is>
          <t>Completed
已完成</t>
        </is>
      </c>
      <c r="G34" s="25" t="inlineStr">
        <is>
          <t>This capability is already in place.
具备该条件</t>
        </is>
      </c>
      <c r="H34" s="25" t="n"/>
      <c r="I34" s="25" t="n"/>
      <c r="J34" s="444" t="inlineStr">
        <is>
          <t>Purification
纯化</t>
        </is>
      </c>
      <c r="K34" s="266" t="inlineStr">
        <is>
          <t>Open</t>
        </is>
      </c>
      <c r="L34" s="253" t="n"/>
      <c r="M34" s="558" t="inlineStr">
        <is>
          <t>Production / Yanlong Li
生产/李延龙</t>
        </is>
      </c>
      <c r="N34" s="558" t="inlineStr">
        <is>
          <t>QA / Weijiang Liu
QA/刘维江</t>
        </is>
      </c>
      <c r="O34" s="17" t="n"/>
      <c r="P34" s="558" t="inlineStr">
        <is>
          <t>Cleaning
清洁相关</t>
        </is>
      </c>
    </row>
    <row r="35" ht="92.5" customHeight="1" s="557">
      <c r="A35" s="18" t="n">
        <v>34</v>
      </c>
      <c r="B35" s="202" t="inlineStr">
        <is>
          <t>BLA</t>
        </is>
      </c>
      <c r="C35" s="445" t="inlineStr">
        <is>
          <t>Update the cleaning program for PD pumps so recovery factors account for large-area soft parts and include a representative pump swab location for product-contact applications
更新容积式泵（PD pump）清洗方案，使回收因子计入大面积软部件，并为产品接触应用纳入代表性泵擦拭取样点。</t>
        </is>
      </c>
      <c r="D35" s="446" t="inlineStr">
        <is>
          <t>Prior to Pre-PPQ
Pre-PPQ前</t>
        </is>
      </c>
      <c r="E35" s="447" t="inlineStr">
        <is>
          <t>Med &gt; 1 week &lt; 1 Month
中 &gt; 1 week &lt; 1 Month</t>
        </is>
      </c>
      <c r="F35" s="24" t="inlineStr">
        <is>
          <t>10/04/2026</t>
        </is>
      </c>
      <c r="G35" s="24" t="inlineStr">
        <is>
          <t>The PD pump is rinse-sampled for residue testing.
目前对 PD 泵采用淋洗取样进行残留检测。</t>
        </is>
      </c>
      <c r="H35" s="24" t="inlineStr">
        <is>
          <t>Update the SOP to include swab sampling for residue testing.
更新 SOP，纳入残留检测的擦拭取样。</t>
        </is>
      </c>
      <c r="I35" s="24" t="n"/>
      <c r="J35" s="448" t="inlineStr">
        <is>
          <t>Purification
纯化</t>
        </is>
      </c>
      <c r="K35" s="267" t="inlineStr">
        <is>
          <t>Open</t>
        </is>
      </c>
      <c r="L35" s="248" t="n"/>
      <c r="M35" s="559" t="inlineStr">
        <is>
          <t>Production / Kai Liu
生产/刘凯</t>
        </is>
      </c>
      <c r="N35" s="559" t="inlineStr">
        <is>
          <t>QA / Meijia Liu
QA/刘美佳</t>
        </is>
      </c>
      <c r="P35" s="559" t="inlineStr">
        <is>
          <t>Cleaning
清洁相关</t>
        </is>
      </c>
    </row>
    <row r="36" ht="109" customHeight="1" s="557">
      <c r="A36" s="22" t="n">
        <v>35</v>
      </c>
      <c r="B36" s="226" t="inlineStr">
        <is>
          <t>BLA</t>
        </is>
      </c>
      <c r="C36" s="449" t="inlineStr">
        <is>
          <t>Evaluate long-term replacement of PD pumps with pressure transfer or hygienic centrifugal pumps with low-point casing drains; where PD pumps remain necessary, assess more drainable designs
评估长期以压力转移或带低点壳体排尽口的卫生型离心泵替代容积式泵（PD pump）；在仍需使用容积式泵处，评估更易排尽的设计。</t>
        </is>
      </c>
      <c r="D36" s="450" t="inlineStr">
        <is>
          <t>Post PPQ
PPQ后</t>
        </is>
      </c>
      <c r="E36" s="451" t="inlineStr">
        <is>
          <t>High &gt; 1 month
高 &gt; 1 month</t>
        </is>
      </c>
      <c r="F36" s="25" t="inlineStr">
        <is>
          <t>01/30/2027</t>
        </is>
      </c>
      <c r="G36" s="25" t="inlineStr">
        <is>
          <t>After use, both ends of the pump are drained and blown dry; a detailed operating procedure will be provided.
使用结束后进行泵两端进行排空吹干。并提供具体操作流程。</t>
        </is>
      </c>
      <c r="H36" s="25" t="inlineStr">
        <is>
          <t>The corresponding hygienic centrifugal pumps are being procured.
对应卫生级离心泵采购中</t>
        </is>
      </c>
      <c r="I36" s="25" t="inlineStr">
        <is>
          <t>N/A</t>
        </is>
      </c>
      <c r="J36" s="452" t="inlineStr">
        <is>
          <t>All Steps
全部步骤</t>
        </is>
      </c>
      <c r="K36" s="266" t="inlineStr">
        <is>
          <t>Open</t>
        </is>
      </c>
      <c r="L36" s="253" t="n"/>
      <c r="M36" s="558" t="inlineStr">
        <is>
          <t>Engineering / Hongjie Guo
Production / Junfeng Zhang
工程/郭宏杰
生产/张俊峰</t>
        </is>
      </c>
      <c r="N36" s="558" t="inlineStr">
        <is>
          <t>QA / Meijia Liu
QA/刘美佳</t>
        </is>
      </c>
      <c r="O36" s="17" t="n"/>
      <c r="P36" s="558" t="inlineStr">
        <is>
          <t>Equipment modification
设备改造</t>
        </is>
      </c>
    </row>
    <row r="37" ht="290.5" customHeight="1" s="557">
      <c r="A37" s="11" t="n">
        <v>36</v>
      </c>
      <c r="B37" s="202" t="inlineStr">
        <is>
          <t>BLA</t>
        </is>
      </c>
      <c r="C37" s="454" t="inlineStr">
        <is>
          <t>Several non-compliant items still exist against equipment/piping standards. For example, ball valves on Category 4 equipment/piping, for all steps long tank nozzles on vessel heads and/or branches off tank nozles that will not be cleanable during CIP, diptubes supported by hooks that form crevices, missing drains at low points (especially around filters), non-hygienic/cleanable instrument designs (level, temperature), flow meters installed in non-drainable, flanged connections on category 3 and 4 equipment/piping, bolted agitator blades, deadlegs in various locations due to use of non-zero-static valving/non-minimum distance tees, etc.  Conduct a comprehensive gap assessment against equipment and piping standards and prioritize remediation of high-risk Category 3 and 4 systems before production start
相对设备/管路标准仍存在若干不符合项。例如：4类 设备/管路上的球阀；各步骤容器封头上的过长接管和/或自接管分支且 CIP（在线清洗）期间不可清洗的支管；以挂钩支撑并形成缝隙的浸管；低点缺失排尽口（尤其过滤器周围）；非卫生/不易清洁的仪表设计（液位、温度）；安装于不可排尽位置的流量计；3类 与 4类 设备/管路上的法兰连接；螺栓固定的搅拌桨叶；因非零静阀/非最小距离三通导致的多处死角（dead-leg）等。对照设备与管路标准开展全面差距评估，并在生产开始前优先整改高风险 3类 与 4类 系统。</t>
        </is>
      </c>
      <c r="D37" s="455" t="inlineStr">
        <is>
          <t>Prior to Pre-PPQ
Pre-PPQ前</t>
        </is>
      </c>
      <c r="E37" s="456" t="inlineStr">
        <is>
          <t>High &gt; 1 month
高 &gt; 1 month</t>
        </is>
      </c>
      <c r="F37" s="457" t="inlineStr">
        <is>
          <t>step1:
step2:
step3A:
step3B:</t>
        </is>
      </c>
      <c r="G37" s="24" t="inlineStr">
        <is>
          <t>N/A</t>
        </is>
      </c>
      <c r="H37" s="24" t="inlineStr">
        <is>
          <t>Redesign is in progress. Once the design is confirmed, the key items will be discussed with the Lilly team before execution.
重新设计中，待方案确认后重点与礼来团队讨论执行。</t>
        </is>
      </c>
      <c r="I37" s="24" t="inlineStr">
        <is>
          <t>Does the drainability design of the material lines need to meet 2D or 3D? For some tanks, the modification plan has been confirmed; we would like the Lilly team to help confirm these plans.
物料管路排尽的设计是否满足要求2Dor3D；部分储罐已经确认改造方案的需要礼来团队帮忙确认；</t>
        </is>
      </c>
      <c r="J37" s="458" t="inlineStr">
        <is>
          <t>All Steps
全部步骤</t>
        </is>
      </c>
      <c r="K37" s="267" t="inlineStr">
        <is>
          <t>Open</t>
        </is>
      </c>
      <c r="L37" s="248" t="n"/>
      <c r="M37" s="559" t="inlineStr">
        <is>
          <t>Engineering / Hongjie Guo
Production / Junfeng Zhang
工程/郭宏杰
生产/张俊峰</t>
        </is>
      </c>
      <c r="N37" s="559" t="inlineStr">
        <is>
          <t>QA / Mingzhi Chen
QA/陈明志</t>
        </is>
      </c>
      <c r="P37" s="559" t="inlineStr">
        <is>
          <t>Equipment modification
设备改造</t>
        </is>
      </c>
    </row>
    <row r="38" ht="111.5" customHeight="1" s="557">
      <c r="A38" s="18" t="n">
        <v>37</v>
      </c>
      <c r="B38" s="253" t="inlineStr">
        <is>
          <t>BLA</t>
        </is>
      </c>
      <c r="C38" s="460" t="inlineStr">
        <is>
          <t>For equipment and piping gaps not remediated before production, establish direct traceability in cleaning documentation, including manual cleaning, targeted inspection, and cleaning or draining instructions for dead legs
对生产前未能整改的设备与管路缺口，在清洗文件中建立直接可追溯性，包括手动清洗、针对性检查，以及针对死角（dead-leg）的清洗或排尽说明。</t>
        </is>
      </c>
      <c r="D38" s="461" t="inlineStr">
        <is>
          <t>Prior to Pre-PPQ
Pre-PPQ前</t>
        </is>
      </c>
      <c r="E38" s="462" t="inlineStr">
        <is>
          <t>Med &gt; 1 week &lt; 1 Month
中 &gt; 1 week &lt; 1 Month</t>
        </is>
      </c>
      <c r="F38" s="25" t="inlineStr">
        <is>
          <t>Same as Item 1.
同第一条。</t>
        </is>
      </c>
      <c r="G38" s="25" t="inlineStr">
        <is>
          <t>N/A</t>
        </is>
      </c>
      <c r="H38" s="25" t="inlineStr">
        <is>
          <t>N/A</t>
        </is>
      </c>
      <c r="I38" s="25" t="inlineStr">
        <is>
          <t>N/A</t>
        </is>
      </c>
      <c r="J38" s="463" t="inlineStr">
        <is>
          <t>All Steps
全部步骤</t>
        </is>
      </c>
      <c r="K38" s="266" t="inlineStr">
        <is>
          <t>Open</t>
        </is>
      </c>
      <c r="L38" s="253" t="n"/>
      <c r="M38" s="558" t="inlineStr">
        <is>
          <t>Production / Anyao Tang
生产/唐安垚</t>
        </is>
      </c>
      <c r="N38" s="558" t="inlineStr">
        <is>
          <t>QA / Weijiang Liu
QA/刘维江</t>
        </is>
      </c>
      <c r="O38" s="17" t="n"/>
      <c r="P38" s="558" t="inlineStr">
        <is>
          <t>Cleaning
清洁相关</t>
        </is>
      </c>
    </row>
    <row r="39" ht="241" customHeight="1" s="557">
      <c r="A39" s="11" t="n">
        <v>38</v>
      </c>
      <c r="B39" s="464" t="inlineStr">
        <is>
          <t>BLA/technical
BLA/技术</t>
        </is>
      </c>
      <c r="C39" s="465" t="inlineStr">
        <is>
          <t>Purified Water header throughout the facility does not meet industry guidance - sample point is not representative of POU, no means of pre-use flushing/blowing, etc. Additionally, POU filtration should be provided for any PW supplied to a growth promoting solution via hose connection (upstream of drain line). These filters should have time in use tracked and be replaced frequently (NMT 24 hours).
Implement point-of-use flushing directly to waste and post-use draining and drying for purified-water lines using zero-static valves or minimum-distance tees without creating dead legs
全厂纯化水（Purified Water）总管不符合行业指导——取样点不能代表使用点（POU），缺乏使用前冲洗/吹扫手段等。此外，经软管向促生长溶液供应的任何 PW，应在排尽管路上游提供 POU 过滤；此类过滤器应跟踪使用时间并频繁更换（NMT 24 hours）。
实施使用点直接排废冲洗，以及纯化水管路使用后排尽与干燥；采用零静阀或最小距离三通，且不形成死角（dead-leg）。</t>
        </is>
      </c>
      <c r="D39" s="466" t="inlineStr">
        <is>
          <t>Prior to Pre-PPQ
Pre-PPQ前</t>
        </is>
      </c>
      <c r="E39" s="467" t="inlineStr">
        <is>
          <t>High &gt; 1 month
高 &gt; 1 month</t>
        </is>
      </c>
      <c r="F39" s="468" t="inlineStr">
        <is>
          <t>Lead time: 6 weeks
Modification: 3 weeks
Passivation: 1 week
Validation: 3 weeks
货期6周
改造3周
钝化1周
验证3周</t>
        </is>
      </c>
      <c r="G39" s="24" t="inlineStr">
        <is>
          <t>Temporary hoses are used to connect water outlets to the points of use.
使用临时水管从水点连接到使用点</t>
        </is>
      </c>
      <c r="H39" s="24" t="n"/>
      <c r="I39" s="24" t="inlineStr">
        <is>
          <t>Completing this before Pre-PPQ is tight. Could it be completed after PPQ, with water used per the current practice in the meantime?
pre-PPQ前完成较为紧张，是否在PPQ后进行，按照现有的执行方式进行用水。</t>
        </is>
      </c>
      <c r="J39" s="469" t="inlineStr">
        <is>
          <t>All Steps
全部步骤</t>
        </is>
      </c>
      <c r="K39" s="267" t="inlineStr">
        <is>
          <t>Open</t>
        </is>
      </c>
      <c r="L39" s="248" t="n"/>
      <c r="M39" s="559" t="inlineStr">
        <is>
          <t>Production / Chunpeng Hu
Engineering / Hongjie Guo
生产/胡春鹏
工程/郭宏杰</t>
        </is>
      </c>
      <c r="N39" s="559" t="inlineStr">
        <is>
          <t>QA / Mingzhi Chen
QA/陈明志</t>
        </is>
      </c>
      <c r="P39" s="559" t="inlineStr">
        <is>
          <t>Purified water (PW)
纯化水相关</t>
        </is>
      </c>
    </row>
    <row r="40" ht="92.5" customHeight="1" s="557">
      <c r="A40" s="18" t="n">
        <v>39</v>
      </c>
      <c r="B40" s="202" t="inlineStr">
        <is>
          <t>BLA</t>
        </is>
      </c>
      <c r="C40" s="471" t="inlineStr">
        <is>
          <t>Install point-of-use filters for purified water supplied by hose to growth-promoting solutions, track time in use, and replace filters no later than 24 hours
为经软管向促生长溶液供应的纯化水安装使用点过滤器，跟踪使用时间，并最迟于 24 hours 更换过滤器。</t>
        </is>
      </c>
      <c r="D40" s="472" t="inlineStr">
        <is>
          <t>Prior to Pre-PPQ
Pre-PPQ前</t>
        </is>
      </c>
      <c r="E40" s="473" t="inlineStr">
        <is>
          <t>Med &gt; 1 week &lt; 1 Month
中 &gt; 1 week &lt; 1 Month</t>
        </is>
      </c>
      <c r="F40" s="25" t="inlineStr">
        <is>
          <t>10/20/2026</t>
        </is>
      </c>
      <c r="G40" s="25" t="inlineStr">
        <is>
          <t>No requirement for filtration of purified water supplied by hose.
对经软管供应的纯化水无过滤要求。</t>
        </is>
      </c>
      <c r="H40" s="25" t="inlineStr">
        <is>
          <t>Add filtration and filter replacement-interval requirements to the MOR.
在 MOR 中增加过滤要求及更换周期要求。</t>
        </is>
      </c>
      <c r="I40" s="25" t="n"/>
      <c r="J40" s="474" t="inlineStr">
        <is>
          <t>Purification
纯化</t>
        </is>
      </c>
      <c r="K40" s="266" t="inlineStr">
        <is>
          <t>Open</t>
        </is>
      </c>
      <c r="L40" s="253" t="n"/>
      <c r="M40" s="558" t="inlineStr">
        <is>
          <t>Production / Chunpeng Hu
生产/胡春鹏</t>
        </is>
      </c>
      <c r="N40" s="558" t="inlineStr">
        <is>
          <t>QA / Qi Wang
QA/王琪</t>
        </is>
      </c>
      <c r="O40" s="17" t="n"/>
      <c r="P40" s="558" t="inlineStr">
        <is>
          <t>Purified water (PW)
纯化水相关</t>
        </is>
      </c>
    </row>
    <row r="41" ht="92.5" customHeight="1" s="557">
      <c r="A41" s="18" t="n">
        <v>40</v>
      </c>
      <c r="B41" s="245" t="inlineStr">
        <is>
          <t>BLA</t>
        </is>
      </c>
      <c r="C41" s="475" t="inlineStr">
        <is>
          <t>Assess representative sampling from new point-of-use drains and determine whether formal revalidation or an informal verification study is required to confirm water-system quality
评估新建使用点排尽口的代表性取样，并确定是否需要正式再验证或非正式确认研究以证明水系统质量。</t>
        </is>
      </c>
      <c r="D41" s="476" t="inlineStr">
        <is>
          <t>Prior to Pre-PPQ
Pre-PPQ前</t>
        </is>
      </c>
      <c r="E41" s="477" t="inlineStr">
        <is>
          <t>High &gt; 1 month
高 &gt; 1 month</t>
        </is>
      </c>
      <c r="F41" s="24" t="inlineStr">
        <is>
          <t>Same as row 39 (Item 38).
同39行</t>
        </is>
      </c>
      <c r="G41" s="24" t="n"/>
      <c r="H41" s="24" t="n"/>
      <c r="I41" s="24" t="n"/>
      <c r="J41" s="478" t="inlineStr">
        <is>
          <t>All Steps
全部步骤</t>
        </is>
      </c>
      <c r="K41" s="267" t="inlineStr">
        <is>
          <t>Open</t>
        </is>
      </c>
      <c r="L41" s="248" t="n"/>
      <c r="M41" s="559" t="inlineStr">
        <is>
          <t>Production / Chunpeng Hu
生产/胡春鹏</t>
        </is>
      </c>
      <c r="N41" s="559" t="inlineStr">
        <is>
          <t>QA / Mingzhi Chen
QA/陈明志</t>
        </is>
      </c>
      <c r="P41" s="559" t="inlineStr">
        <is>
          <t>Purified water (PW)
纯化水相关</t>
        </is>
      </c>
    </row>
    <row r="42" ht="191.5" customHeight="1" s="557">
      <c r="A42" s="11" t="n">
        <v>41</v>
      </c>
      <c r="B42" s="226" t="inlineStr">
        <is>
          <t>BLA</t>
        </is>
      </c>
      <c r="C42" s="479" t="inlineStr">
        <is>
          <t>Provide Lilly with the changeover strategy and governance for reused equipment, including cleaning limits, normally uncleaned lines, soft and hard-to-clean components, and replacement of filters, membranes, and resins
向 Lilly 提供复用设备的切换策略与治理，包括清洗限度、通常不清洗管路、软部件及难清洁相关部件，以及过滤器、膜与树脂的更换。</t>
        </is>
      </c>
      <c r="D42" s="480" t="inlineStr">
        <is>
          <t>Prior to Pre-PPQ
Pre-PPQ前</t>
        </is>
      </c>
      <c r="E42" s="481" t="inlineStr">
        <is>
          <t>Med &gt; 1 week &lt; 1 Month
中 &gt; 1 week &lt; 1 Month</t>
        </is>
      </c>
      <c r="F42" s="25" t="inlineStr">
        <is>
          <t>Zhiqiang Sun to prepare a PPT and assess whether swabbing is required.
志强写个PPT，评估是否需要擦拭</t>
        </is>
      </c>
      <c r="G42" s="25" t="inlineStr">
        <is>
          <t>Equipment is disassembled for cleaning, and ARL performs Level 2 testing of the reflux solvent. The line from the activation tank to the synthesizer is reused after solvent flushing.
设备进行拆卸清洗，ARL进行回流溶剂的level2检测；激活罐到合成仪的管路存在溶剂淌洗的方式进行复用。</t>
        </is>
      </c>
      <c r="H42" s="25" t="n"/>
      <c r="I42" s="25" t="n"/>
      <c r="J42" s="482" t="inlineStr">
        <is>
          <t>All Steps
全部步骤</t>
        </is>
      </c>
      <c r="K42" s="266" t="inlineStr">
        <is>
          <t>Open</t>
        </is>
      </c>
      <c r="L42" s="253" t="n"/>
      <c r="M42" s="558" t="inlineStr">
        <is>
          <t>Production / Yanlong Li
Fan Wang
Linchong Liu
生产/李延龙
王帆
刘林冲</t>
        </is>
      </c>
      <c r="N42" s="558" t="inlineStr">
        <is>
          <t>QA / Zhiqiang Sun
QA/孙志强</t>
        </is>
      </c>
      <c r="O42" s="17" t="n"/>
      <c r="P42" s="558" t="inlineStr">
        <is>
          <t>Cleaning
清洁相关</t>
        </is>
      </c>
    </row>
    <row r="43" ht="92.5" customHeight="1" s="557">
      <c r="A43" s="11" t="n">
        <v>42</v>
      </c>
      <c r="B43" s="484" t="inlineStr">
        <is>
          <t>BLA/technical
BLA/技术</t>
        </is>
      </c>
      <c r="C43" s="485" t="inlineStr">
        <is>
          <t>Define and document release controls for new equipment that demonstrate removal of fabrication and construction residues, debris and particulates, and acceptable bioburden before production use
明确并成文新设备放行控制，以证明投产前已去除制造与施工残留、碎屑与微粒，且生物负荷可接受。</t>
        </is>
      </c>
      <c r="D43" s="486" t="inlineStr">
        <is>
          <t>Prior to Pre-PPQ
Pre-PPQ前</t>
        </is>
      </c>
      <c r="E43" s="487" t="inlineStr">
        <is>
          <t>Med &gt; 1 week &lt; 1 Month
中 &gt; 1 week &lt; 1 Month</t>
        </is>
      </c>
      <c r="F43" s="24" t="n"/>
      <c r="G43" s="24" t="n"/>
      <c r="H43" s="24" t="inlineStr">
        <is>
          <t>The SOP will be revised.
将修订 SOP。</t>
        </is>
      </c>
      <c r="I43" s="24" t="n"/>
      <c r="J43" s="488" t="inlineStr">
        <is>
          <t>All Steps
全部步骤</t>
        </is>
      </c>
      <c r="K43" s="267" t="inlineStr">
        <is>
          <t>Open</t>
        </is>
      </c>
      <c r="L43" s="248" t="n"/>
      <c r="M43" s="559" t="inlineStr">
        <is>
          <t>Production / Yanlong Li
Kai Liu
生产/李延龙
刘恺</t>
        </is>
      </c>
      <c r="N43" s="559" t="inlineStr">
        <is>
          <t>QA / Zhiqiang Sun
QA/孙志强</t>
        </is>
      </c>
      <c r="P43" s="559" t="inlineStr">
        <is>
          <t>Cleaning
清洁相关</t>
        </is>
      </c>
    </row>
    <row r="44" ht="109" customHeight="1" s="557">
      <c r="A44" s="11" t="n">
        <v>43</v>
      </c>
      <c r="B44" s="490" t="inlineStr">
        <is>
          <t>BLA/technical
BLA/技术</t>
        </is>
      </c>
      <c r="C44" s="491" t="inlineStr">
        <is>
          <t>Execute spray coverage testing for all product-contact and growth-promoting equipment and incorporate qualified pressure, time, alarm limits, flow durations, and manual cleaning or swabbing of hard-to-clean areas into operating instructions
对所有产品接触及促生长设备执行喷淋覆盖测试，并将经确认的压力、时间、报警限度、流量持续时间，以及对难清洁相关区域的手动清洗或擦拭纳入操作说明。</t>
        </is>
      </c>
      <c r="D44" s="492" t="inlineStr">
        <is>
          <t>Prior to Pre-PPQ
Pre-PPQ前</t>
        </is>
      </c>
      <c r="E44" s="493" t="inlineStr">
        <is>
          <t>Med &gt; 1 week &lt; 1 Month
中 &gt; 1 week &lt; 1 Month</t>
        </is>
      </c>
      <c r="F44" s="25" t="n"/>
      <c r="G44" s="25" t="inlineStr">
        <is>
          <t>Spray coverage testing is performed on the equipment.
设备进行喷淋覆盖率的验证。</t>
        </is>
      </c>
      <c r="H44" s="25" t="n"/>
      <c r="I44" s="25" t="n"/>
      <c r="J44" s="494" t="inlineStr">
        <is>
          <t>All Steps
全部步骤</t>
        </is>
      </c>
      <c r="K44" s="266" t="inlineStr">
        <is>
          <t>Open</t>
        </is>
      </c>
      <c r="L44" s="253" t="n"/>
      <c r="M44" s="558" t="inlineStr">
        <is>
          <t>Production / Yanlong Li
生产/李延龙</t>
        </is>
      </c>
      <c r="N44" s="558" t="inlineStr">
        <is>
          <t>QA / Meijia Liu
QA/刘美佳</t>
        </is>
      </c>
      <c r="O44" s="17" t="n"/>
      <c r="P44" s="558" t="inlineStr">
        <is>
          <t>Cleaning
清洁相关</t>
        </is>
      </c>
    </row>
    <row r="45" ht="109" customHeight="1" s="557">
      <c r="A45" s="18" t="n">
        <v>44</v>
      </c>
      <c r="B45" s="245" t="inlineStr">
        <is>
          <t>BLA</t>
        </is>
      </c>
      <c r="C45" s="495" t="inlineStr">
        <is>
          <t>Determine and implement a means for visitors/support staff to wear a dedicated base layer in classified areas
确定并实施访客/支持人员在洁净级别区域穿着专用内层服装的方式。</t>
        </is>
      </c>
      <c r="D45" s="496" t="inlineStr">
        <is>
          <t>Post PPQ
PPQ后</t>
        </is>
      </c>
      <c r="E45" s="497" t="inlineStr">
        <is>
          <t>High &gt; 1 month
高 &gt; 1 month</t>
        </is>
      </c>
      <c r="F45" s="24" t="inlineStr">
        <is>
          <t>11/10/2026</t>
        </is>
      </c>
      <c r="G45" s="24" t="inlineStr">
        <is>
          <t>Asymchem has an internal gowning procedure for classified areas. The gowning procedure needs to be revisited.
Asymchem 已有洁净级别区域内部更衣程序，需重新审视该程序。</t>
        </is>
      </c>
      <c r="H45" s="24" t="inlineStr">
        <is>
          <t>Update the gowning procedure for classified areas.
更新洁净级别区域更衣程序。</t>
        </is>
      </c>
      <c r="I45" s="24" t="n"/>
      <c r="J45" s="498" t="inlineStr">
        <is>
          <t>All Steps
全部步骤</t>
        </is>
      </c>
      <c r="K45" s="267" t="inlineStr">
        <is>
          <t>Open</t>
        </is>
      </c>
      <c r="L45" s="499" t="inlineStr">
        <is>
          <t>Follow up with Marie to understand acceptability.
跟进 Marie 以了解可接受性。</t>
        </is>
      </c>
      <c r="M45" s="559" t="inlineStr">
        <is>
          <t>Production / Kai Liu
生产/刘恺</t>
        </is>
      </c>
      <c r="N45" s="559" t="inlineStr">
        <is>
          <t>QA / Zhiqiang Sun
QA/孙志强</t>
        </is>
      </c>
      <c r="P45" s="559" t="inlineStr">
        <is>
          <t>Other
其他</t>
        </is>
      </c>
    </row>
    <row r="46" ht="92.5" customHeight="1" s="557">
      <c r="A46" s="18" t="n">
        <v>45</v>
      </c>
      <c r="B46" s="226" t="inlineStr">
        <is>
          <t>BLA</t>
        </is>
      </c>
      <c r="C46" s="500" t="inlineStr">
        <is>
          <t>Provide Lilly with the operations access-control strategy and governance, including required training, approval criteria, and periodic roster review to remove or flag inappropriate access
向 Lilly 提供操作区域门禁控制策略与治理，包括所需培训、批准标准，以及定期名册复核以移除或标注不当权限。</t>
        </is>
      </c>
      <c r="D46" s="501" t="inlineStr">
        <is>
          <t>Post PPQ
PPQ后</t>
        </is>
      </c>
      <c r="E46" s="502" t="inlineStr">
        <is>
          <t>Med &gt; 1 week &lt; 1 Month
中 &gt; 1 week &lt; 1 Month</t>
        </is>
      </c>
      <c r="F46" s="25" t="inlineStr">
        <is>
          <t>11/10/2026</t>
        </is>
      </c>
      <c r="G46" s="25" t="inlineStr">
        <is>
          <t>Asymchem has an internal procedure for access control.
Asymchem 已有门禁控制内部程序。</t>
        </is>
      </c>
      <c r="H46" s="25" t="inlineStr">
        <is>
          <t>Present the Asymchem access-control procedure to Lilly.
向 Lilly 介绍 Asymchem 门禁控制程序。</t>
        </is>
      </c>
      <c r="I46" s="25" t="n"/>
      <c r="J46" s="503" t="inlineStr">
        <is>
          <t>All Steps
全部步骤</t>
        </is>
      </c>
      <c r="K46" s="266" t="inlineStr">
        <is>
          <t>Open</t>
        </is>
      </c>
      <c r="L46" s="253" t="n"/>
      <c r="M46" s="558" t="inlineStr">
        <is>
          <t>Production / Kai Liu
生产/刘恺</t>
        </is>
      </c>
      <c r="N46" s="558" t="inlineStr">
        <is>
          <t>QA / Meijia Liu
QA/刘美佳</t>
        </is>
      </c>
      <c r="O46" s="17" t="n"/>
      <c r="P46" s="558" t="inlineStr">
        <is>
          <t>Other
其他</t>
        </is>
      </c>
    </row>
    <row r="47" ht="92.5" customHeight="1" s="557">
      <c r="A47" s="18" t="n">
        <v>46</v>
      </c>
      <c r="B47" s="245" t="inlineStr">
        <is>
          <t>BLA</t>
        </is>
      </c>
      <c r="C47" s="504" t="inlineStr">
        <is>
          <t>Conduct hold-time studies for all portable vessels used for temporary water or growth-promoting solution storage, confirm complete drainability, and incorporate hold-time and draining requirements into operating documents
对用于临时贮水或促生长溶液贮存的全部可移动容器开展保持时间研究（hold-time studies），确认完全可排尽，并将保持时间与排尽要求纳入操作文件。</t>
        </is>
      </c>
      <c r="D47" s="505" t="inlineStr">
        <is>
          <t>Prior to Pre-PPQ
Pre-PPQ前</t>
        </is>
      </c>
      <c r="E47" s="506" t="inlineStr">
        <is>
          <t>Med &gt; 1 week &lt; 1 Month
中 &gt; 1 week &lt; 1 Month</t>
        </is>
      </c>
      <c r="F47" s="24" t="n"/>
      <c r="G47" s="24" t="n"/>
      <c r="H47" s="24" t="n"/>
      <c r="I47" s="24" t="n"/>
      <c r="J47" s="507" t="inlineStr">
        <is>
          <t>All Steps
全部步骤</t>
        </is>
      </c>
      <c r="K47" s="267" t="inlineStr">
        <is>
          <t>Open</t>
        </is>
      </c>
      <c r="L47" s="508" t="inlineStr">
        <is>
          <t>Limit refresh time to 48 hours, even if hold time is demonstrated to be longer.
即使保持时间（hold time）经验证更长，刷新时间仍限制为 48 hours。</t>
        </is>
      </c>
      <c r="M47" s="559" t="inlineStr">
        <is>
          <t>R&amp;D / Xinyi Zhu
Production / Hui Ma
研发/朱新义
生产/马辉</t>
        </is>
      </c>
      <c r="N47" s="559" t="inlineStr">
        <is>
          <t>QA / Qi Wang
QA/王琪</t>
        </is>
      </c>
      <c r="P47" s="559" t="inlineStr">
        <is>
          <t>Purified water (PW)
纯化水相关</t>
        </is>
      </c>
    </row>
    <row r="48" ht="389.5" customHeight="1" s="557">
      <c r="A48" s="18" t="n">
        <v>47</v>
      </c>
      <c r="B48" s="510" t="inlineStr">
        <is>
          <t>Technical
技术</t>
        </is>
      </c>
      <c r="C48" s="511" t="inlineStr">
        <is>
          <t>Define controls that ensure only acceptable mobile phase is supplied to the process and specify the system response to out-of-range temperature, composition, or pH
明确控制措施，确保仅向工艺供应可接受的流动相，并规定温度、组成或 pH 超限时的系统响应。</t>
        </is>
      </c>
      <c r="D48" s="512" t="inlineStr">
        <is>
          <t>Prior to Pre-PPQ
Pre-PPQ前</t>
        </is>
      </c>
      <c r="E48" s="513" t="inlineStr">
        <is>
          <t>Low &lt; 1 week
低 &lt; 1 week</t>
        </is>
      </c>
      <c r="F48" s="25" t="inlineStr">
        <is>
          <t>N/A</t>
        </is>
      </c>
      <c r="G48" s="25" t="inlineStr">
        <is>
          <t>Conductivity is monitored downstream of the solution-preparation mixer: acceptable mobile phase is routed to the mobile-phase tank, and out-of-range mobile phase is diverted to waste. Solution preparation is metered by mass flow meters, so temperature changes have little effect on the metered composition before mixing. pH probes are installed at the mixer and on the receiving mobile-phase tank for monitoring.
配液系统混合器后有电导监测响应，合格流动相会进流动相储罐，不在范围内会响应切换排废；配液采用的质量流量计计量，温度变化对其混合前组成的计量影响较小。混合器和接收后的流动相储罐安装pH，有监测功能。</t>
        </is>
      </c>
      <c r="H48" s="25" t="n"/>
      <c r="I48" s="25" t="n"/>
      <c r="J48" s="514" t="inlineStr">
        <is>
          <t>Purification
纯化</t>
        </is>
      </c>
      <c r="K48" s="266" t="inlineStr">
        <is>
          <t>Open</t>
        </is>
      </c>
      <c r="L48" s="253" t="n"/>
      <c r="M48" s="558" t="inlineStr">
        <is>
          <t>Production / Linchong Liu
IEPE / Zhiheng Wang
生产/刘林冲
IEPE/王志恒</t>
        </is>
      </c>
      <c r="N48" s="558" t="inlineStr">
        <is>
          <t>QA / Meijia Liu
QA/刘美佳</t>
        </is>
      </c>
      <c r="O48" s="17" t="n"/>
      <c r="P48" s="558" t="inlineStr">
        <is>
          <t>Other
其他</t>
        </is>
      </c>
    </row>
    <row r="49" ht="92.5" customHeight="1" s="557">
      <c r="A49" s="18" t="n">
        <v>48</v>
      </c>
      <c r="B49" s="516" t="inlineStr">
        <is>
          <t>BLA/technical
BLA/技术</t>
        </is>
      </c>
      <c r="C49" s="517" t="inlineStr">
        <is>
          <t>Provide the final pre-use and post-use filter integrity testing strategy
提供最终的使用前与使用后过滤器完整性测试策略。</t>
        </is>
      </c>
      <c r="D49" s="518" t="inlineStr">
        <is>
          <t>Prior to Pre-PPQ
Pre-PPQ前</t>
        </is>
      </c>
      <c r="E49" s="519" t="inlineStr">
        <is>
          <t>Med &gt; 1 week &lt; 1 Month
中 &gt; 1 week &lt; 1 Month</t>
        </is>
      </c>
      <c r="F49" s="24" t="inlineStr">
        <is>
          <t>10/20/2026</t>
        </is>
      </c>
      <c r="G49" s="24" t="inlineStr">
        <is>
          <t>Asymchem has an internal procedure for filter integrity testing.
Asymchem 已有过滤器完整性测试内部程序。</t>
        </is>
      </c>
      <c r="H49" s="24" t="inlineStr">
        <is>
          <t>Present the Asymchem filter integrity testing strategy to Lilly.
向 Lilly 介绍 Asymchem 过滤器完整性测试策略。</t>
        </is>
      </c>
      <c r="I49" s="24" t="n"/>
      <c r="J49" s="520" t="inlineStr">
        <is>
          <t>Purification
纯化</t>
        </is>
      </c>
      <c r="K49" s="267" t="inlineStr">
        <is>
          <t>Open</t>
        </is>
      </c>
      <c r="L49" s="248" t="n"/>
      <c r="M49" s="559" t="inlineStr">
        <is>
          <t>Production / Yonggang Shi
生产/史永钢</t>
        </is>
      </c>
      <c r="N49" s="559" t="inlineStr">
        <is>
          <t>QA / Qi Wang
QA/王琪</t>
        </is>
      </c>
      <c r="P49" s="559" t="inlineStr">
        <is>
          <t>Filtration strategy
过滤策略相关</t>
        </is>
      </c>
    </row>
    <row r="50" ht="76" customHeight="1" s="557">
      <c r="A50" s="18" t="n">
        <v>49</v>
      </c>
      <c r="B50" s="521" t="inlineStr">
        <is>
          <t>Technical
技术</t>
        </is>
      </c>
      <c r="C50" s="522" t="inlineStr">
        <is>
          <t>Confirm AFD stroke height prevents blades from being submerged during displacement washes
确认三合一（AFD）行程高度可防止置换洗涤期间桨叶浸没。</t>
        </is>
      </c>
      <c r="D50" s="523" t="inlineStr">
        <is>
          <t>Prior to Demo
Demo前</t>
        </is>
      </c>
      <c r="E50" s="524" t="inlineStr">
        <is>
          <t>Low &lt; 1 week
低 &lt; 1 week</t>
        </is>
      </c>
      <c r="F50" s="25" t="inlineStr">
        <is>
          <t>Timing to be provided by Zepeng Guo
郭泽鹏反馈时间</t>
        </is>
      </c>
      <c r="G50" s="25" t="n"/>
      <c r="H50" s="25" t="n"/>
      <c r="I50" s="25" t="n"/>
      <c r="J50" s="525" t="inlineStr">
        <is>
          <t>Purification
纯化</t>
        </is>
      </c>
      <c r="K50" s="266" t="inlineStr">
        <is>
          <t>Open</t>
        </is>
      </c>
      <c r="L50" s="253" t="n"/>
      <c r="M50" s="558" t="inlineStr">
        <is>
          <t>Production / Yanlong Li
生产/李延龙</t>
        </is>
      </c>
      <c r="N50" s="558" t="inlineStr">
        <is>
          <t>N/A</t>
        </is>
      </c>
      <c r="O50" s="17" t="n"/>
      <c r="P50" s="558" t="inlineStr">
        <is>
          <t>Other
其他</t>
        </is>
      </c>
    </row>
    <row r="51" ht="92.5" customHeight="1" s="557">
      <c r="A51" s="18" t="n">
        <v>50</v>
      </c>
      <c r="B51" s="526" t="inlineStr">
        <is>
          <t>Technical
技术</t>
        </is>
      </c>
      <c r="C51" s="527" t="inlineStr">
        <is>
          <t>Define the mill operating strategy for final drug-substance sampling, inerting, target drum weight without overfill, screen-temperature monitoring, and operator ergonomics
明确终产品（原料药）取样、惰性化、目标桶重且不过填、筛网温度监测及操作人员人机工程学的磨机操作策略。</t>
        </is>
      </c>
      <c r="D51" s="528" t="inlineStr">
        <is>
          <t>Prior to Demo
Demo前</t>
        </is>
      </c>
      <c r="E51" s="529" t="inlineStr">
        <is>
          <t>Med &gt; 1 week &lt; 1 Month
中 &gt; 1 week &lt; 1 Month</t>
        </is>
      </c>
      <c r="F51" s="24" t="inlineStr">
        <is>
          <t>09/27/2026</t>
        </is>
      </c>
      <c r="G51" s="24" t="n"/>
      <c r="H51" s="24" t="n"/>
      <c r="I51" s="24" t="n"/>
      <c r="J51" s="530" t="inlineStr">
        <is>
          <t>Purification
纯化</t>
        </is>
      </c>
      <c r="K51" s="267" t="inlineStr">
        <is>
          <t>Open</t>
        </is>
      </c>
      <c r="L51" s="248" t="n"/>
      <c r="M51" s="559" t="inlineStr">
        <is>
          <t>Production / Yanlong Li
生产/李延龙</t>
        </is>
      </c>
      <c r="N51" s="559" t="inlineStr">
        <is>
          <t>N/A</t>
        </is>
      </c>
      <c r="P51" s="559" t="inlineStr">
        <is>
          <t>Other
其他</t>
        </is>
      </c>
    </row>
    <row r="52" ht="92.5" customHeight="1" s="557">
      <c r="A52" s="18" t="n">
        <v>51</v>
      </c>
      <c r="B52" s="531" t="inlineStr">
        <is>
          <t>BLA/technical
BLA/技术</t>
        </is>
      </c>
      <c r="C52" s="532" t="inlineStr">
        <is>
          <t>Store hose ends at least 6 inches off the floor and provide a clear visual indicator confirming compliant storage position
软管端部存放高度至少离地 6 inches，并提供明确目视标识以确认符合存放位置。</t>
        </is>
      </c>
      <c r="D52" s="533" t="inlineStr">
        <is>
          <t>Prior to Pre-PPQ
Pre-PPQ前</t>
        </is>
      </c>
      <c r="E52" s="534" t="inlineStr">
        <is>
          <t>Med &gt; 1 week &lt; 1 Month
中 &gt; 1 week &lt; 1 Month</t>
        </is>
      </c>
      <c r="F52" s="25" t="inlineStr">
        <is>
          <t>10/04/2026</t>
        </is>
      </c>
      <c r="G52" s="25" t="inlineStr">
        <is>
          <t>No requirement for the height of purified water hose ends above the floor.
对纯化水软管端部离地高度无要求。</t>
        </is>
      </c>
      <c r="H52" s="25" t="inlineStr">
        <is>
          <t>Update the SOP to add a minimum height requirement of 6 inches.
更新 SOP，增加离地至少 6 inches 的高度要求。</t>
        </is>
      </c>
      <c r="I52" s="25" t="n"/>
      <c r="J52" s="535" t="inlineStr">
        <is>
          <t>Purification
纯化</t>
        </is>
      </c>
      <c r="K52" s="266" t="inlineStr">
        <is>
          <t>Open</t>
        </is>
      </c>
      <c r="L52" s="253" t="n"/>
      <c r="M52" s="558" t="inlineStr">
        <is>
          <t>Production / Chunpeng Hu
生产/胡春鹏</t>
        </is>
      </c>
      <c r="N52" s="558" t="inlineStr">
        <is>
          <t>QA / Xiong Xiong
QA/熊熊</t>
        </is>
      </c>
      <c r="O52" s="17" t="n"/>
      <c r="P52" s="558" t="inlineStr">
        <is>
          <t>Purified water (PW)
纯化水相关</t>
        </is>
      </c>
    </row>
    <row r="53" ht="92.5" customHeight="1" s="557">
      <c r="A53" s="18" t="n">
        <v>52</v>
      </c>
      <c r="B53" s="536" t="inlineStr">
        <is>
          <t>BLA/technical
BLA/技术</t>
        </is>
      </c>
      <c r="C53" s="537" t="inlineStr">
        <is>
          <t>Require contained devices for all solids-charging operations to prevent residual powder exposure to rooms and personnel. Require split valve charging strategy for all steps (including SPPS and cleavage).
所有固体加料操作须使用密闭装置，防止残留粉末暴露于房间及人员。所有步骤（含 SPPS 与裂解）均要求采用分体阀加料策略。</t>
        </is>
      </c>
      <c r="D53" s="538" t="inlineStr">
        <is>
          <t>Prior to Pre-PPQ
Pre-PPQ前</t>
        </is>
      </c>
      <c r="E53" s="539" t="inlineStr">
        <is>
          <t>Med &gt; 1 week &lt; 1 Month
中 &gt; 1 week &lt; 1 Month</t>
        </is>
      </c>
      <c r="F53" s="24" t="inlineStr">
        <is>
          <t>To be provided by Linchong Liu
刘林冲提供</t>
        </is>
      </c>
      <c r="G53" s="24" t="n"/>
      <c r="H53" s="24" t="n"/>
      <c r="I53" s="24" t="n"/>
      <c r="J53" s="540" t="inlineStr">
        <is>
          <t>All Steps
全部步骤</t>
        </is>
      </c>
      <c r="K53" s="267" t="inlineStr">
        <is>
          <t>Open</t>
        </is>
      </c>
      <c r="L53" s="248" t="n"/>
      <c r="M53" s="559" t="inlineStr">
        <is>
          <t>Production / Yanlong Li
生产/李延龙</t>
        </is>
      </c>
      <c r="N53" s="559" t="inlineStr">
        <is>
          <t>N/A</t>
        </is>
      </c>
      <c r="P53" s="559" t="inlineStr">
        <is>
          <t>Other
其他</t>
        </is>
      </c>
    </row>
    <row r="54" ht="208" customHeight="1" s="557">
      <c r="A54" s="18" t="n">
        <v>53</v>
      </c>
      <c r="B54" s="253" t="inlineStr">
        <is>
          <t>BLA</t>
        </is>
      </c>
      <c r="C54" s="541" t="inlineStr">
        <is>
          <t>Walk down all lines containing diaphragm valves, verify correct installation angle for drainability, and correct noncompliant installations
巡查所有含隔膜阀的管路，核实安装角度是否利于排尽，并纠正不符合安装。</t>
        </is>
      </c>
      <c r="D54" s="542" t="inlineStr">
        <is>
          <t>Prior to Pre-PPQ
Pre-PPQ前</t>
        </is>
      </c>
      <c r="E54" s="543" t="inlineStr">
        <is>
          <t>Med &gt; 1 week &lt; 1 Month
中 &gt; 1 week &lt; 1 Month</t>
        </is>
      </c>
      <c r="F54" s="544" t="inlineStr">
        <is>
          <t>2D:
step1:
step2:
step3A:11/18/2026
step3B:
3D:
step1:
step2:
step3A:11/18/2026
step3B:</t>
        </is>
      </c>
      <c r="G54" s="25" t="n"/>
      <c r="H54" s="25" t="n"/>
      <c r="I54" s="25" t="n"/>
      <c r="J54" s="545" t="inlineStr">
        <is>
          <t>All Steps
全部步骤</t>
        </is>
      </c>
      <c r="K54" s="266" t="inlineStr">
        <is>
          <t>Open</t>
        </is>
      </c>
      <c r="L54" s="253" t="n"/>
      <c r="M54" s="558" t="inlineStr">
        <is>
          <t>Engineering / Hongjie Guo
工程/郭宏杰</t>
        </is>
      </c>
      <c r="N54" s="558" t="inlineStr">
        <is>
          <t>QA / Mingzhi Chen
QA/陈明志</t>
        </is>
      </c>
      <c r="O54" s="17" t="n"/>
      <c r="P54" s="558" t="inlineStr">
        <is>
          <t>Equipment modification
设备改造</t>
        </is>
      </c>
    </row>
    <row r="55" ht="109" customHeight="1" s="557">
      <c r="A55" s="18" t="n">
        <v>54</v>
      </c>
      <c r="B55" s="546" t="inlineStr">
        <is>
          <t>Technical
技术</t>
        </is>
      </c>
      <c r="C55" s="547" t="inlineStr">
        <is>
          <t>Ensure representative sampling capability exists for every required process sample while minimizing product loss
确保每个所需工艺样品具备代表性取样能力，同时最大限度减少产品损失。</t>
        </is>
      </c>
      <c r="D55" s="548" t="inlineStr">
        <is>
          <t>Prior to Pre-PPQ
Pre-PPQ前</t>
        </is>
      </c>
      <c r="E55" s="549" t="inlineStr">
        <is>
          <t>Low &lt; 1 week
低 &lt; 1 week</t>
        </is>
      </c>
      <c r="F55" s="24" t="inlineStr">
        <is>
          <t>Timing to be provided by Zepeng Guo
郭泽鹏反馈时间</t>
        </is>
      </c>
      <c r="G55" s="24" t="inlineStr">
        <is>
          <t>N/A</t>
        </is>
      </c>
      <c r="H55" s="24" t="inlineStr">
        <is>
          <t>Install a sampling valve on the 100 L preparation vessel.
100L制备桶配置取样阀</t>
        </is>
      </c>
      <c r="I55" s="24" t="inlineStr">
        <is>
          <t>N/A</t>
        </is>
      </c>
      <c r="J55" s="550" t="inlineStr">
        <is>
          <t>Purification
纯化</t>
        </is>
      </c>
      <c r="K55" s="267" t="inlineStr">
        <is>
          <t>Open</t>
        </is>
      </c>
      <c r="L55" s="248" t="n"/>
      <c r="M55" s="559" t="inlineStr">
        <is>
          <t>Engineering / Hongjie Guo
Production / Yanlong Li
工程/郭宏杰
生产/李延龙</t>
        </is>
      </c>
      <c r="N55" s="559" t="inlineStr">
        <is>
          <t>QA / Qi Wang
QA/王琪</t>
        </is>
      </c>
      <c r="P55" s="559" t="inlineStr">
        <is>
          <t>Equipment modification
设备改造</t>
        </is>
      </c>
    </row>
    <row r="56" ht="76" customHeight="1" s="557">
      <c r="A56" s="18" t="n">
        <v>55</v>
      </c>
      <c r="B56" s="552" t="inlineStr">
        <is>
          <t>BLA/technical
BLA/技术</t>
        </is>
      </c>
      <c r="C56" s="553" t="inlineStr">
        <is>
          <t>Update calibration instructions to keep tanks capped while non-retractable pH probes are calibrated, and evaluate replacement with retractable probe housings
更新校准说明，使非可回缩 pH 探头校准时保持储罐加盖，并评估更换为可回缩探头护套。</t>
        </is>
      </c>
      <c r="D56" s="554" t="inlineStr">
        <is>
          <t>Prior to Pre-PPQ
Pre-PPQ前</t>
        </is>
      </c>
      <c r="E56" s="555" t="inlineStr">
        <is>
          <t>Med &gt; 1 week &lt; 1 Month
中 &gt; 1 week &lt; 1 Month</t>
        </is>
      </c>
      <c r="F56" s="25" t="inlineStr">
        <is>
          <t>Procurement lead time: 6 weeks
采购周期6周，</t>
        </is>
      </c>
      <c r="G56" s="25" t="n"/>
      <c r="H56" s="25" t="n"/>
      <c r="I56" s="25" t="n"/>
      <c r="J56" s="556" t="inlineStr">
        <is>
          <t>Purification
纯化</t>
        </is>
      </c>
      <c r="K56" s="266" t="inlineStr">
        <is>
          <t>Open</t>
        </is>
      </c>
      <c r="L56" s="253" t="n"/>
      <c r="M56" s="558" t="inlineStr">
        <is>
          <t>Production / Yanlong Li
生产/李延龙</t>
        </is>
      </c>
      <c r="N56" s="558" t="inlineStr">
        <is>
          <t>QA / Mingzhi Chen
QA/陈明志</t>
        </is>
      </c>
      <c r="O56" s="17" t="n"/>
      <c r="P56" s="558" t="inlineStr">
        <is>
          <t>Other
其他</t>
        </is>
      </c>
    </row>
    <row r="57" ht="14.0025" customHeight="1" s="557">
      <c r="K57" s="7" t="n"/>
    </row>
    <row r="58" ht="14.0025" customHeight="1" s="557">
      <c r="K58" s="7" t="n"/>
    </row>
    <row r="59" ht="14.0025" customHeight="1" s="557">
      <c r="K59" s="7" t="n"/>
    </row>
    <row r="60" ht="14.0025" customHeight="1" s="557">
      <c r="K60" s="7" t="n"/>
    </row>
    <row r="61" ht="14.0025" customHeight="1" s="557">
      <c r="K61" s="7" t="n"/>
    </row>
    <row r="62" ht="14.0025" customHeight="1" s="557">
      <c r="K62" s="7" t="n"/>
    </row>
    <row r="63" ht="14.0025" customHeight="1" s="557">
      <c r="K63" s="7" t="n"/>
    </row>
    <row r="64" ht="14.0025" customHeight="1" s="557">
      <c r="K64" s="7" t="n"/>
    </row>
    <row r="65" ht="14.0025" customHeight="1" s="557">
      <c r="K65" s="7" t="n"/>
    </row>
    <row r="66" ht="14.0025" customHeight="1" s="557">
      <c r="K66" s="7" t="n"/>
    </row>
    <row r="67" ht="14.0025" customHeight="1" s="557">
      <c r="K67" s="7" t="n"/>
    </row>
    <row r="68" ht="14.0025" customHeight="1" s="557">
      <c r="K68" s="7" t="n"/>
    </row>
    <row r="69" ht="14.0025" customHeight="1" s="557">
      <c r="K69" s="7" t="n"/>
    </row>
    <row r="70" ht="14.0025" customHeight="1" s="557">
      <c r="K70" s="7" t="n"/>
    </row>
    <row r="71" ht="14.0025" customHeight="1" s="557">
      <c r="K71" s="7" t="n"/>
    </row>
    <row r="72" ht="14.0025" customHeight="1" s="557">
      <c r="K72" s="7" t="n"/>
    </row>
    <row r="73" ht="14.0025" customHeight="1" s="557">
      <c r="K73" s="7" t="n"/>
    </row>
    <row r="74" ht="14.0025" customHeight="1" s="557">
      <c r="K74" s="7" t="n"/>
    </row>
    <row r="75" ht="14.0025" customHeight="1" s="557">
      <c r="K75" s="7" t="n"/>
    </row>
    <row r="76" ht="14.0025" customHeight="1" s="557">
      <c r="K76" s="7" t="n"/>
    </row>
    <row r="77" ht="14.0025" customHeight="1" s="557">
      <c r="K77" s="7" t="n"/>
    </row>
    <row r="78" ht="14.0025" customHeight="1" s="557">
      <c r="K78" s="7" t="n"/>
    </row>
    <row r="79" ht="14.0025" customHeight="1" s="557">
      <c r="K79" s="7" t="n"/>
    </row>
    <row r="80" ht="14.0025" customHeight="1" s="557">
      <c r="K80" s="7" t="n"/>
    </row>
    <row r="81" ht="14.0025" customHeight="1" s="557">
      <c r="K81" s="7" t="n"/>
    </row>
    <row r="82" ht="14.0025" customHeight="1" s="557">
      <c r="K82" s="7" t="n"/>
    </row>
    <row r="83" ht="14.0025" customHeight="1" s="557">
      <c r="K83" s="7" t="n"/>
    </row>
    <row r="84" ht="14.0025" customHeight="1" s="557">
      <c r="K84" s="7" t="n"/>
    </row>
    <row r="85" ht="14.0025" customHeight="1" s="557">
      <c r="K85" s="7" t="n"/>
    </row>
    <row r="86" ht="14.0025" customHeight="1" s="557">
      <c r="K86" s="7" t="n"/>
    </row>
    <row r="87" ht="14.0025" customHeight="1" s="557">
      <c r="K87" s="7" t="n"/>
    </row>
    <row r="88" ht="14.0025" customHeight="1" s="557">
      <c r="K88" s="7" t="n"/>
    </row>
    <row r="89" ht="14.0025" customHeight="1" s="557">
      <c r="K89" s="7" t="n"/>
    </row>
    <row r="90" ht="14.0025" customHeight="1" s="557">
      <c r="K90" s="7" t="n"/>
    </row>
    <row r="91" ht="14.0025" customHeight="1" s="557">
      <c r="K91" s="7" t="n"/>
    </row>
    <row r="92" ht="14.0025" customHeight="1" s="557">
      <c r="K92" s="7" t="n"/>
    </row>
    <row r="93" ht="14.0025" customHeight="1" s="557">
      <c r="K93" s="7" t="n"/>
    </row>
    <row r="94" ht="14.0025" customHeight="1" s="557">
      <c r="K94" s="7" t="n"/>
    </row>
    <row r="95" ht="14.0025" customHeight="1" s="557">
      <c r="K95" s="7" t="n"/>
    </row>
    <row r="96" ht="14.0025" customHeight="1" s="557">
      <c r="K96" s="7" t="n"/>
    </row>
    <row r="97" ht="14.0025" customHeight="1" s="557">
      <c r="K97" s="7" t="n"/>
    </row>
    <row r="98" ht="14.0025" customHeight="1" s="557">
      <c r="K98" s="7" t="n"/>
    </row>
    <row r="99" ht="14.0025" customHeight="1" s="557">
      <c r="K99" s="7" t="n"/>
    </row>
    <row r="100" ht="14.0025" customHeight="1" s="557">
      <c r="K100" s="7" t="n"/>
    </row>
    <row r="101" ht="14.0025" customHeight="1" s="557">
      <c r="K101" s="7" t="n"/>
    </row>
    <row r="102" ht="14.0025" customHeight="1" s="557">
      <c r="K102" s="7" t="n"/>
    </row>
    <row r="103" ht="14.0025" customHeight="1" s="557">
      <c r="K103" s="7" t="n"/>
    </row>
    <row r="104" ht="14.0025" customHeight="1" s="557">
      <c r="K104" s="7" t="n"/>
    </row>
    <row r="105" ht="14.0025" customHeight="1" s="557">
      <c r="K105" s="7" t="n"/>
    </row>
    <row r="106" ht="14.0025" customHeight="1" s="557">
      <c r="K106" s="7" t="n"/>
    </row>
    <row r="107" ht="14.0025" customHeight="1" s="557">
      <c r="K107" s="7" t="n"/>
    </row>
    <row r="108" ht="14.0025" customHeight="1" s="557">
      <c r="K108" s="7" t="n"/>
    </row>
    <row r="109" ht="14.0025" customHeight="1" s="557">
      <c r="K109" s="7" t="n"/>
    </row>
    <row r="110" ht="14.0025" customHeight="1" s="557">
      <c r="K110" s="7" t="n"/>
    </row>
    <row r="111" ht="14.0025" customHeight="1" s="557">
      <c r="K111" s="7" t="n"/>
    </row>
    <row r="112" ht="14.0025" customHeight="1" s="557">
      <c r="K112" s="7" t="n"/>
    </row>
    <row r="113" ht="14.0025" customHeight="1" s="557">
      <c r="K113" s="7" t="n"/>
    </row>
    <row r="114" ht="14.0025" customHeight="1" s="557">
      <c r="K114" s="7" t="n"/>
    </row>
    <row r="115" ht="14.0025" customHeight="1" s="557">
      <c r="K115" s="7" t="n"/>
    </row>
    <row r="116" ht="14.0025" customHeight="1" s="557">
      <c r="K116" s="7" t="n"/>
    </row>
    <row r="117" ht="14.0025" customHeight="1" s="557">
      <c r="K117" s="7" t="n"/>
    </row>
    <row r="118" ht="14.0025" customHeight="1" s="557">
      <c r="K118" s="7" t="n"/>
    </row>
    <row r="119" ht="14.0025" customHeight="1" s="557">
      <c r="K119" s="7" t="n"/>
    </row>
    <row r="120" ht="14.0025" customHeight="1" s="557">
      <c r="K120" s="7" t="n"/>
    </row>
    <row r="121" ht="14.0025" customHeight="1" s="557">
      <c r="K121" s="7" t="n"/>
    </row>
    <row r="122" ht="14.0025" customHeight="1" s="557">
      <c r="K122" s="7" t="n"/>
    </row>
    <row r="123" ht="14.0025" customHeight="1" s="557">
      <c r="K123" s="7" t="n"/>
    </row>
    <row r="124" ht="14.0025" customHeight="1" s="557">
      <c r="K124" s="7" t="n"/>
    </row>
    <row r="125" ht="14.0025" customHeight="1" s="557">
      <c r="K125" s="7" t="n"/>
    </row>
    <row r="126" ht="14.0025" customHeight="1" s="557">
      <c r="K126" s="7" t="n"/>
    </row>
    <row r="127" ht="14.0025" customHeight="1" s="557">
      <c r="K127" s="7" t="n"/>
    </row>
    <row r="128" ht="14.0025" customHeight="1" s="557">
      <c r="K128" s="7" t="n"/>
    </row>
    <row r="129" ht="14.0025" customHeight="1" s="557">
      <c r="K129" s="7" t="n"/>
    </row>
    <row r="130" ht="14.0025" customHeight="1" s="557">
      <c r="K130" s="7" t="n"/>
    </row>
    <row r="131" ht="14.0025" customHeight="1" s="557">
      <c r="K131" s="7" t="n"/>
    </row>
    <row r="132" ht="14.0025" customHeight="1" s="557">
      <c r="K132" s="7" t="n"/>
    </row>
    <row r="133" ht="14.0025" customHeight="1" s="557">
      <c r="K133" s="7" t="n"/>
    </row>
    <row r="134" ht="14.0025" customHeight="1" s="557">
      <c r="K134" s="7" t="n"/>
    </row>
    <row r="135" ht="14.0025" customHeight="1" s="557">
      <c r="K135" s="7" t="n"/>
    </row>
    <row r="136" ht="14.0025" customHeight="1" s="557">
      <c r="K136" s="7" t="n"/>
    </row>
    <row r="137" ht="14.0025" customHeight="1" s="557">
      <c r="K137" s="7" t="n"/>
    </row>
    <row r="138" ht="14.0025" customHeight="1" s="557">
      <c r="K138" s="7" t="n"/>
    </row>
    <row r="139" ht="14.0025" customHeight="1" s="557">
      <c r="K139" s="7" t="n"/>
    </row>
    <row r="140" ht="14.0025" customHeight="1" s="557">
      <c r="K140" s="7" t="n"/>
    </row>
    <row r="141" ht="14.0025" customHeight="1" s="557">
      <c r="K141" s="7" t="n"/>
    </row>
    <row r="142" ht="14.0025" customHeight="1" s="557">
      <c r="K142" s="7" t="n"/>
    </row>
    <row r="143" ht="14.0025" customHeight="1" s="557">
      <c r="K143" s="7" t="n"/>
    </row>
    <row r="144" ht="14.0025" customHeight="1" s="557">
      <c r="K144" s="7" t="n"/>
    </row>
    <row r="145" ht="14.0025" customHeight="1" s="557">
      <c r="K145" s="7" t="n"/>
    </row>
    <row r="146" ht="14.0025" customHeight="1" s="557">
      <c r="K146" s="7" t="n"/>
    </row>
    <row r="147" ht="14.0025" customHeight="1" s="557">
      <c r="K147" s="7" t="n"/>
    </row>
    <row r="148" ht="14.0025" customHeight="1" s="557">
      <c r="K148" s="7" t="n"/>
    </row>
    <row r="149" ht="14.0025" customHeight="1" s="557">
      <c r="K149" s="7" t="n"/>
    </row>
    <row r="150" ht="14.0025" customHeight="1" s="557">
      <c r="K150" s="7" t="n"/>
    </row>
    <row r="151" ht="14.0025" customHeight="1" s="557">
      <c r="K151" s="7" t="n"/>
    </row>
    <row r="152" ht="14.0025" customHeight="1" s="557">
      <c r="K152" s="7" t="n"/>
    </row>
    <row r="153" ht="14.0025" customHeight="1" s="557">
      <c r="K153" s="7" t="n"/>
    </row>
    <row r="154" ht="14.0025" customHeight="1" s="557">
      <c r="K154" s="7" t="n"/>
    </row>
    <row r="155" ht="14.0025" customHeight="1" s="557">
      <c r="K155" s="7" t="n"/>
    </row>
    <row r="156" ht="14.0025" customHeight="1" s="557">
      <c r="K156" s="7" t="n"/>
    </row>
    <row r="157" ht="14.0025" customHeight="1" s="557">
      <c r="K157" s="7" t="n"/>
    </row>
    <row r="158" ht="14.0025" customHeight="1" s="557">
      <c r="K158" s="7" t="n"/>
    </row>
    <row r="159" ht="14.0025" customHeight="1" s="557">
      <c r="K159" s="7" t="n"/>
    </row>
    <row r="160" ht="14.0025" customHeight="1" s="557">
      <c r="K160" s="7" t="n"/>
    </row>
    <row r="161" ht="14.0025" customHeight="1" s="557">
      <c r="K161" s="7" t="n"/>
    </row>
    <row r="162" ht="14.0025" customHeight="1" s="557">
      <c r="K162" s="7" t="n"/>
    </row>
    <row r="163" ht="14.0025" customHeight="1" s="557">
      <c r="K163" s="7" t="n"/>
    </row>
    <row r="164" ht="14.0025" customHeight="1" s="557">
      <c r="K164" s="7" t="n"/>
    </row>
    <row r="165" ht="14.0025" customHeight="1" s="557">
      <c r="K165" s="7" t="n"/>
    </row>
    <row r="166" ht="14.0025" customHeight="1" s="557">
      <c r="K166" s="7" t="n"/>
    </row>
    <row r="167" ht="14.0025" customHeight="1" s="557">
      <c r="K167" s="7" t="n"/>
    </row>
    <row r="168" ht="14.0025" customHeight="1" s="557">
      <c r="K168" s="7" t="n"/>
    </row>
    <row r="169" ht="14.0025" customHeight="1" s="557">
      <c r="K169" s="7" t="n"/>
    </row>
    <row r="170" ht="14.0025" customHeight="1" s="557">
      <c r="K170" s="7" t="n"/>
    </row>
    <row r="171" ht="14.0025" customHeight="1" s="557">
      <c r="K171" s="7" t="n"/>
    </row>
    <row r="172" ht="14.0025" customHeight="1" s="557">
      <c r="K172" s="7" t="n"/>
    </row>
    <row r="173" ht="14.0025" customHeight="1" s="557">
      <c r="K173" s="7" t="n"/>
    </row>
    <row r="174" ht="14.0025" customHeight="1" s="557">
      <c r="K174" s="7" t="n"/>
    </row>
    <row r="175" ht="14.0025" customHeight="1" s="557">
      <c r="K175" s="7" t="n"/>
    </row>
    <row r="176" ht="14.0025" customHeight="1" s="557">
      <c r="K176" s="7" t="n"/>
    </row>
    <row r="177" ht="14.0025" customHeight="1" s="557">
      <c r="K177" s="7" t="n"/>
    </row>
    <row r="178" ht="14.0025" customHeight="1" s="557">
      <c r="K178" s="7" t="n"/>
    </row>
    <row r="179" ht="14.0025" customHeight="1" s="557">
      <c r="K179" s="7" t="n"/>
    </row>
    <row r="180" ht="14.0025" customHeight="1" s="557">
      <c r="K180" s="7" t="n"/>
    </row>
    <row r="181" ht="14.0025" customHeight="1" s="557">
      <c r="K181" s="7" t="n"/>
    </row>
    <row r="182" ht="14.0025" customHeight="1" s="557">
      <c r="K182" s="7" t="n"/>
    </row>
    <row r="183" ht="14.0025" customHeight="1" s="557">
      <c r="K183" s="7" t="n"/>
    </row>
    <row r="184" ht="14.0025" customHeight="1" s="557">
      <c r="K184" s="7" t="n"/>
    </row>
    <row r="185" ht="14.0025" customHeight="1" s="557">
      <c r="K185" s="7" t="n"/>
    </row>
    <row r="186" ht="14.0025" customHeight="1" s="557">
      <c r="K186" s="7" t="n"/>
    </row>
    <row r="187" ht="14.0025" customHeight="1" s="557">
      <c r="K187" s="7" t="n"/>
    </row>
    <row r="188" ht="14.0025" customHeight="1" s="557">
      <c r="K188" s="7" t="n"/>
    </row>
    <row r="189" ht="14.0025" customHeight="1" s="557">
      <c r="K189" s="7" t="n"/>
    </row>
    <row r="190" ht="14.0025" customHeight="1" s="557">
      <c r="K190" s="7" t="n"/>
    </row>
    <row r="191" ht="14.0025" customHeight="1" s="557">
      <c r="K191" s="7" t="n"/>
    </row>
    <row r="192" ht="14.0025" customHeight="1" s="557">
      <c r="K192" s="7" t="n"/>
    </row>
    <row r="193" ht="14.0025" customHeight="1" s="557">
      <c r="K193" s="7" t="n"/>
    </row>
    <row r="194" ht="14.0025" customHeight="1" s="557">
      <c r="K194" s="7" t="n"/>
    </row>
    <row r="195" ht="14.0025" customHeight="1" s="557">
      <c r="K195" s="7" t="n"/>
    </row>
    <row r="196" ht="14.0025" customHeight="1" s="557">
      <c r="K196" s="7" t="n"/>
    </row>
    <row r="197" ht="14.0025" customHeight="1" s="557">
      <c r="K197" s="7" t="n"/>
    </row>
    <row r="198" ht="14.0025" customHeight="1" s="557">
      <c r="K198" s="7" t="n"/>
    </row>
    <row r="199" ht="14.0025" customHeight="1" s="557">
      <c r="K199" s="7" t="n"/>
    </row>
    <row r="200" ht="14.0025" customHeight="1" s="557">
      <c r="K200" s="7" t="n"/>
    </row>
  </sheetData>
  <conditionalFormatting sqref="D2:J56">
    <cfRule type="expression" priority="1" dxfId="0">
      <formula>D2="High"</formula>
    </cfRule>
    <cfRule type="expression" priority="2" dxfId="0">
      <formula>D2="Medium"</formula>
    </cfRule>
  </conditionalFormatting>
  <conditionalFormatting sqref="K2:K56">
    <cfRule type="expression" priority="5" dxfId="0">
      <formula>$K2="Completed"</formula>
    </cfRule>
    <cfRule type="expression" priority="6" dxfId="0">
      <formula>$K2="Blocked"</formula>
    </cfRule>
  </conditionalFormatting>
  <dataValidations count="1">
    <dataValidation sqref="K2:K56" showDropDown="0" showInputMessage="0" showErrorMessage="0" allowBlank="0" type="list">
      <formula1>"Open,In Progress,Blocked,Completed,Cancelled"</formula1>
    </dataValidation>
  </dataValidations>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E9"/>
  <sheetViews>
    <sheetView showGridLines="0" workbookViewId="0">
      <pane ySplit="2" topLeftCell="A3" activePane="bottomRight" state="frozen"/>
      <selection activeCell="A1" sqref="A1"/>
    </sheetView>
  </sheetViews>
  <sheetFormatPr baseColWidth="10" defaultColWidth="9" defaultRowHeight="14.0025" customHeight="1"/>
  <cols>
    <col width="24" customWidth="1" style="255" min="1" max="1"/>
    <col width="13.998046875" customWidth="1" style="255" min="2" max="2"/>
    <col width="18" customWidth="1" style="255" min="4" max="4"/>
    <col width="13.998046875" customWidth="1" style="255" min="5" max="5"/>
  </cols>
  <sheetData>
    <row r="1" ht="36" customHeight="1" s="557">
      <c r="A1" s="560" t="inlineStr">
        <is>
          <t>BLA Visit Action Tracker Summary
BLA 来访行动项跟踪汇总</t>
        </is>
      </c>
    </row>
    <row r="2" s="557"/>
    <row r="3" ht="36" customHeight="1" s="557">
      <c r="A3" s="561" t="inlineStr">
        <is>
          <t>Metric
指标</t>
        </is>
      </c>
      <c r="B3" s="561" t="inlineStr">
        <is>
          <t>Count
数量</t>
        </is>
      </c>
      <c r="C3" s="259" t="n"/>
      <c r="D3" s="561" t="inlineStr">
        <is>
          <t>Priority
优先级</t>
        </is>
      </c>
      <c r="E3" s="561" t="inlineStr">
        <is>
          <t>Count
数量</t>
        </is>
      </c>
    </row>
    <row r="4" ht="36" customHeight="1" s="557">
      <c r="A4" s="562" t="inlineStr">
        <is>
          <t>Total Actions
行动项总数</t>
        </is>
      </c>
      <c r="B4" s="255">
        <f>COUNTA('Action Tracker'!C2:C56)</f>
        <v>55</v>
      </c>
      <c r="D4" s="562" t="inlineStr">
        <is>
          <t>High
高</t>
        </is>
      </c>
      <c r="E4" s="255">
        <f>COUNTIF('Action Tracker'!E2:E56,"High*")</f>
        <v>9</v>
      </c>
    </row>
    <row r="5" ht="36" customHeight="1" s="557">
      <c r="A5" s="562" t="inlineStr">
        <is>
          <t>High Priority
高优先级</t>
        </is>
      </c>
      <c r="B5" s="255">
        <f>COUNTIF('Action Tracker'!E2:E56,"High*")</f>
        <v>9</v>
      </c>
      <c r="D5" s="562" t="inlineStr">
        <is>
          <t>Medium
中</t>
        </is>
      </c>
      <c r="E5" s="255">
        <f>COUNTIF('Action Tracker'!E2:E56,"Med*")</f>
        <v>31</v>
      </c>
    </row>
    <row r="6" ht="36" customHeight="1" s="557">
      <c r="A6" s="562" t="inlineStr">
        <is>
          <t>Open
未关闭</t>
        </is>
      </c>
      <c r="B6" s="255">
        <f>COUNTIF('Action Tracker'!K2:K56,"Open")</f>
        <v>49</v>
      </c>
      <c r="D6" s="562" t="inlineStr">
        <is>
          <t>Low
低</t>
        </is>
      </c>
      <c r="E6" s="255">
        <f>COUNTIF('Action Tracker'!E2:E56,"Low*")</f>
        <v>15</v>
      </c>
    </row>
    <row r="7" ht="36" customHeight="1" s="557">
      <c r="A7" s="562" t="inlineStr">
        <is>
          <t>In Progress
进行中</t>
        </is>
      </c>
      <c r="B7" s="255">
        <f>COUNTIF('Action Tracker'!K2:K56,"In Progress")</f>
        <v>1</v>
      </c>
    </row>
    <row r="8" ht="36" customHeight="1" s="557">
      <c r="A8" s="562" t="inlineStr">
        <is>
          <t>Blocked
阻塞</t>
        </is>
      </c>
      <c r="B8" s="255">
        <f>COUNTIF('Action Tracker'!K2:K56,"Blocked")</f>
        <v>0</v>
      </c>
    </row>
    <row r="9" ht="36" customHeight="1" s="557">
      <c r="A9" s="562" t="inlineStr">
        <is>
          <t>Completed
已完成</t>
        </is>
      </c>
      <c r="B9" s="255">
        <f>COUNTIF('Action Tracker'!K2:K56,"Completed")</f>
        <v>5</v>
      </c>
    </row>
  </sheetData>
  <mergeCells count="1">
    <mergeCell ref="A1:D1"/>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0" summaryRight="0"/>
    <pageSetUpPr/>
  </sheetPr>
  <dimension ref="A1:F7"/>
  <sheetViews>
    <sheetView showGridLines="0" workbookViewId="0">
      <selection activeCell="A1" sqref="A1"/>
    </sheetView>
  </sheetViews>
  <sheetFormatPr baseColWidth="10" defaultColWidth="9" defaultRowHeight="14.0025" customHeight="1"/>
  <cols>
    <col width="24.9990234375" customWidth="1" style="255" min="1" max="1"/>
  </cols>
  <sheetData>
    <row r="1" ht="36" customHeight="1" s="557">
      <c r="A1" s="560" t="inlineStr">
        <is>
          <t>How to Use This Tracker
本跟踪表使用说明</t>
        </is>
      </c>
    </row>
    <row r="3" ht="36" customHeight="1" s="557">
      <c r="A3" s="256" t="inlineStr">
        <is>
          <t>• Assign a named owner in the Suggested Owner column, replacing the suggested function if appropriate.
• 在建议负责人一栏指定具体责任人；如适用，替换建议的职能。</t>
        </is>
      </c>
    </row>
    <row r="4" ht="36" customHeight="1" s="557">
      <c r="A4" s="256" t="inlineStr">
        <is>
          <t>• Set a due date for every High-priority item.
• 为每个高优先级事项设定截止日期。</t>
        </is>
      </c>
    </row>
    <row r="5" ht="36" customHeight="1" s="557">
      <c r="A5" s="256" t="inlineStr">
        <is>
          <t>• Use the Status dropdown to update progress.
• 使用“状态”下拉列表更新进展。</t>
        </is>
      </c>
    </row>
    <row r="6" ht="36" customHeight="1" s="557">
      <c r="A6" s="256" t="inlineStr">
        <is>
          <t>• Use table filters to review actions by day, area, priority, owner, or status.
• 使用表格筛选，按日期、区域、优先级、责任人或状态查看行动项。</t>
        </is>
      </c>
    </row>
    <row r="7" ht="36" customHeight="1" s="557">
      <c r="A7" s="256" t="inlineStr">
        <is>
          <t>• Priorities and owners are suggested organizational fields derived from the visit notes and should be confirmed by the project team.
• 优先级与责任人为根据来访记录建议的组织字段，需由项目团队确认。</t>
        </is>
      </c>
    </row>
  </sheetData>
  <mergeCells count="6">
    <mergeCell ref="A1:F1"/>
    <mergeCell ref="A5:F5"/>
    <mergeCell ref="A6:F6"/>
    <mergeCell ref="A4:F4"/>
    <mergeCell ref="A3:F3"/>
    <mergeCell ref="A7:F7"/>
  </mergeCell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B2:E6"/>
  <sheetViews>
    <sheetView workbookViewId="0">
      <selection activeCell="A1" sqref="A1"/>
    </sheetView>
  </sheetViews>
  <sheetFormatPr baseColWidth="10" defaultColWidth="9" defaultRowHeight="14.0025" customHeight="1"/>
  <cols>
    <col width="20.4990234375" customWidth="1" style="255" min="2" max="2"/>
    <col width="23.4990234375" customWidth="1" style="255" min="3" max="3"/>
    <col width="24.498046875" customWidth="1" style="255" min="4" max="4"/>
    <col width="10.6640625" customWidth="1" style="255" min="5" max="5"/>
  </cols>
  <sheetData>
    <row r="2" ht="14" customHeight="1" s="557">
      <c r="B2" s="255" t="inlineStr">
        <is>
          <t>Category</t>
        </is>
      </c>
      <c r="C2" s="255" t="inlineStr">
        <is>
          <t>Implementation Timing</t>
        </is>
      </c>
      <c r="D2" s="255" t="inlineStr">
        <is>
          <t>Implementation Effort</t>
        </is>
      </c>
      <c r="E2" s="255" t="inlineStr">
        <is>
          <t xml:space="preserve">Scope </t>
        </is>
      </c>
    </row>
    <row r="3" ht="14" customHeight="1" s="557">
      <c r="B3" s="255" t="inlineStr">
        <is>
          <t>BLA</t>
        </is>
      </c>
      <c r="C3" s="255" t="inlineStr">
        <is>
          <t>Prior to Pre-PPQ</t>
        </is>
      </c>
      <c r="D3" s="255" t="inlineStr">
        <is>
          <t>Low &lt; 1 week</t>
        </is>
      </c>
      <c r="E3" s="255" t="inlineStr">
        <is>
          <t>All Steps</t>
        </is>
      </c>
    </row>
    <row r="4" ht="14" customHeight="1" s="557">
      <c r="B4" s="255" t="inlineStr">
        <is>
          <t>Technical</t>
        </is>
      </c>
      <c r="C4" s="255" t="inlineStr">
        <is>
          <t>Prior to Demo</t>
        </is>
      </c>
      <c r="D4" s="255" t="inlineStr">
        <is>
          <t>Med &gt; 1 week &lt; 1 Month</t>
        </is>
      </c>
      <c r="E4" s="255" t="inlineStr">
        <is>
          <t>SPPS</t>
        </is>
      </c>
    </row>
    <row r="5" ht="14" customHeight="1" s="557">
      <c r="B5" s="255" t="inlineStr">
        <is>
          <t>BLA/technical</t>
        </is>
      </c>
      <c r="C5" s="255" t="inlineStr">
        <is>
          <t>Post PPQ</t>
        </is>
      </c>
      <c r="D5" s="255" t="inlineStr">
        <is>
          <t>High &gt; 1 month</t>
        </is>
      </c>
      <c r="E5" s="255" t="inlineStr">
        <is>
          <t>Cleavage</t>
        </is>
      </c>
    </row>
    <row r="6" ht="14" customHeight="1" s="557">
      <c r="B6" s="255" t="inlineStr">
        <is>
          <t xml:space="preserve">Impurity Investigation </t>
        </is>
      </c>
      <c r="E6" s="255" t="inlineStr">
        <is>
          <t>Purification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2026-09-25T03:08:12Z</dcterms:modified>
  <cp:lastModifiedBy>DingTalk</cp:lastModifiedBy>
</cp:coreProperties>
</file>