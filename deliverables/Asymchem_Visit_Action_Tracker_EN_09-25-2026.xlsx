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Action Tracker" sheetId="1" state="visible" r:id="rId1"/>
    <sheet xmlns:r="http://schemas.openxmlformats.org/officeDocument/2006/relationships" name="Summary" sheetId="2" state="visible" r:id="rId2"/>
    <sheet xmlns:r="http://schemas.openxmlformats.org/officeDocument/2006/relationships" name="Instructions" sheetId="3" state="hidden" r:id="rId3"/>
    <sheet xmlns:r="http://schemas.openxmlformats.org/officeDocument/2006/relationships" name="Sheet1" sheetId="4" state="visible" r:id="rId4"/>
  </sheets>
  <definedNames/>
  <calcPr calcId="0" fullCalcOnLoad="1"/>
</workbook>
</file>

<file path=xl/styles.xml><?xml version="1.0" encoding="utf-8"?>
<styleSheet xmlns="http://schemas.openxmlformats.org/spreadsheetml/2006/main">
  <numFmts count="0"/>
  <fonts count="30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微软雅黑"/>
      <b val="1"/>
      <color rgb="FFFFD966"/>
      <sz val="11"/>
    </font>
    <font>
      <name val="宋体"/>
      <b val="1"/>
      <color rgb="FF000000"/>
      <sz val="11"/>
    </font>
    <font>
      <name val="微软雅黑"/>
      <color rgb="FF000000"/>
      <sz val="11"/>
    </font>
    <font>
      <name val="微软雅黑"/>
      <color rgb="FFFF0000"/>
      <sz val="11"/>
    </font>
    <font>
      <name val="微软雅黑"/>
      <color rgb="FF008000"/>
      <sz val="11"/>
    </font>
    <font>
      <name val="微软雅黑"/>
      <color rgb="FF666666"/>
      <sz val="11"/>
    </font>
    <font>
      <name val="微软雅黑"/>
      <b val="1"/>
      <color rgb="FFFFFFFF"/>
      <sz val="11"/>
    </font>
    <font>
      <name val="Calibri"/>
      <b val="1"/>
      <color rgb="FFFFFFFF"/>
      <sz val="18"/>
    </font>
    <font>
      <name val="Calibri"/>
      <b val="1"/>
      <color rgb="FFFFFFFF"/>
      <sz val="11"/>
    </font>
    <font>
      <name val="微软雅黑"/>
      <color rgb="FF0000FF"/>
      <sz val="11"/>
    </font>
    <font>
      <name val="微软雅黑"/>
      <color rgb="FF000000"/>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宋体"/>
      <color rgb="FF00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s>
  <fills count="8">
    <fill>
      <patternFill/>
    </fill>
    <fill>
      <patternFill patternType="gray125"/>
    </fill>
    <fill>
      <patternFill patternType="solid">
        <fgColor rgb="FF1F4E78"/>
      </patternFill>
    </fill>
    <fill>
      <patternFill patternType="solid">
        <fgColor rgb="FF4F81BD"/>
      </patternFill>
    </fill>
    <fill>
      <patternFill patternType="solid">
        <fgColor rgb="FFFFFF00"/>
      </patternFill>
    </fill>
    <fill>
      <patternFill patternType="solid">
        <fgColor rgb="FFDCE6F2"/>
      </patternFill>
    </fill>
    <fill>
      <patternFill patternType="solid">
        <fgColor rgb="FF00B050"/>
      </patternFill>
    </fill>
    <fill>
      <patternFill patternType="solid">
        <fgColor rgb="FFDAE2F6"/>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2">
    <xf numFmtId="0" fontId="0" fillId="0" borderId="0" applyAlignment="1">
      <alignment vertical="center"/>
    </xf>
    <xf numFmtId="0" fontId="2" fillId="0" borderId="0" applyAlignment="1">
      <alignment vertical="center"/>
    </xf>
  </cellStyleXfs>
  <cellXfs count="560">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1" applyAlignment="1" pivotButton="0" quotePrefix="0" xfId="0">
      <alignment horizontal="general" vertical="bottom"/>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center" vertical="center"/>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4" fillId="5" borderId="1" applyAlignment="1" pivotButton="0" quotePrefix="0" xfId="0">
      <alignment horizontal="center" vertical="center"/>
    </xf>
    <xf numFmtId="0" fontId="7"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6"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0" borderId="1" applyAlignment="1" pivotButton="0" quotePrefix="0" xfId="0">
      <alignment horizontal="left" vertical="center" wrapText="1"/>
    </xf>
    <xf numFmtId="0" fontId="10" fillId="5" borderId="1" applyAlignment="1" pivotButton="0" quotePrefix="0" xfId="0">
      <alignment horizontal="left" vertical="center" wrapText="1"/>
    </xf>
    <xf numFmtId="0" fontId="4" fillId="0" borderId="0" applyAlignment="1" pivotButton="0" quotePrefix="0" xfId="0">
      <alignment horizontal="general" vertical="bottom"/>
    </xf>
    <xf numFmtId="14" fontId="10"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2" fillId="2"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general" vertical="top" wrapText="1"/>
    </xf>
    <xf numFmtId="58" fontId="10" fillId="5" borderId="1" applyAlignment="1" pivotButton="0" quotePrefix="0" xfId="0">
      <alignment horizontal="left" vertical="center" wrapText="1"/>
    </xf>
    <xf numFmtId="0" fontId="10" fillId="4" borderId="1" applyAlignment="1" pivotButton="0" quotePrefix="0" xfId="0">
      <alignment horizontal="left" vertical="center" wrapText="1"/>
    </xf>
    <xf numFmtId="0" fontId="13" fillId="2" borderId="0" applyAlignment="1" pivotButton="0" quotePrefix="0" xfId="0">
      <alignment horizontal="general" vertical="bottom"/>
    </xf>
    <xf numFmtId="0" fontId="10" fillId="0" borderId="1" applyAlignment="1" pivotButton="0" quotePrefix="0" xfId="0">
      <alignment horizontal="center" vertical="center" wrapText="1"/>
    </xf>
    <xf numFmtId="0" fontId="10" fillId="5" borderId="1" applyAlignment="1" pivotButton="0" quotePrefix="0" xfId="0">
      <alignment horizontal="center" vertical="center" wrapText="1"/>
    </xf>
    <xf numFmtId="14" fontId="10" fillId="5" borderId="1" applyAlignment="1" pivotButton="0" quotePrefix="0" xfId="0">
      <alignment horizontal="left" vertical="center" wrapText="1"/>
    </xf>
    <xf numFmtId="0" fontId="4" fillId="0" borderId="1" applyAlignment="1" pivotButton="0" quotePrefix="0" xfId="0">
      <alignment horizontal="general" vertical="center"/>
    </xf>
    <xf numFmtId="0" fontId="10" fillId="5" borderId="1" applyAlignment="1" pivotButton="0" quotePrefix="0" xfId="0">
      <alignment horizontal="general" vertical="center" wrapText="1"/>
    </xf>
    <xf numFmtId="0" fontId="10" fillId="0" borderId="1" applyAlignment="1" pivotButton="0" quotePrefix="0" xfId="0">
      <alignment horizontal="general" vertical="center" wrapText="1"/>
    </xf>
    <xf numFmtId="0" fontId="14" fillId="5"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9" fillId="2" borderId="1" applyAlignment="1" pivotButton="0" quotePrefix="0" xfId="0">
      <alignment horizontal="center" vertical="center" wrapText="1"/>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2" fillId="2" borderId="1" applyAlignment="1" pivotButton="0" quotePrefix="0" xfId="0">
      <alignment horizontal="center" vertical="center" wrapText="1"/>
    </xf>
    <xf numFmtId="0" fontId="23" fillId="4" borderId="1" applyAlignment="1" pivotButton="0" quotePrefix="0" xfId="0">
      <alignment horizontal="general" vertical="top" wrapText="1"/>
    </xf>
    <xf numFmtId="0" fontId="24" fillId="5" borderId="1" applyAlignment="1" pivotButton="0" quotePrefix="0" xfId="0">
      <alignment horizontal="general" vertical="top" wrapText="1"/>
    </xf>
    <xf numFmtId="0" fontId="25" fillId="5" borderId="1" applyAlignment="1" pivotButton="0" quotePrefix="0" xfId="0">
      <alignment horizontal="general" vertical="top" wrapText="1"/>
    </xf>
    <xf numFmtId="0" fontId="26" fillId="5" borderId="1" applyAlignment="1" pivotButton="0" quotePrefix="0" xfId="0">
      <alignment horizontal="general" vertical="top" wrapText="1"/>
    </xf>
    <xf numFmtId="0" fontId="27" fillId="5" borderId="1" applyAlignment="1" pivotButton="0" quotePrefix="0" xfId="0">
      <alignment horizontal="general" vertical="center" wrapText="1"/>
    </xf>
    <xf numFmtId="0" fontId="28" fillId="5" borderId="1" applyAlignment="1" pivotButton="0" quotePrefix="0" xfId="0">
      <alignment horizontal="general" vertical="center" wrapText="1"/>
    </xf>
    <xf numFmtId="0" fontId="29" fillId="5" borderId="1" applyAlignment="1" pivotButton="0" quotePrefix="0" xfId="0">
      <alignment horizontal="general" vertical="top" wrapText="1"/>
    </xf>
    <xf numFmtId="0" fontId="30" fillId="0" borderId="1" applyAlignment="1" pivotButton="0" quotePrefix="0" xfId="0">
      <alignment horizontal="general" vertical="top" wrapText="1"/>
    </xf>
    <xf numFmtId="0" fontId="31" fillId="0" borderId="1" applyAlignment="1" pivotButton="0" quotePrefix="0" xfId="0">
      <alignment horizontal="general" vertical="top" wrapText="1"/>
    </xf>
    <xf numFmtId="0" fontId="32" fillId="0" borderId="1" applyAlignment="1" pivotButton="0" quotePrefix="0" xfId="0">
      <alignment horizontal="general" vertical="top" wrapText="1"/>
    </xf>
    <xf numFmtId="0" fontId="33" fillId="0" borderId="1" applyAlignment="1" pivotButton="0" quotePrefix="0" xfId="0">
      <alignment horizontal="general" vertical="top" wrapText="1"/>
    </xf>
    <xf numFmtId="0" fontId="34" fillId="0" borderId="1" applyAlignment="1" pivotButton="0" quotePrefix="0" xfId="0">
      <alignment horizontal="general" vertical="center" wrapText="1"/>
    </xf>
    <xf numFmtId="0" fontId="35" fillId="5" borderId="1" applyAlignment="1" pivotButton="0" quotePrefix="0" xfId="0">
      <alignment horizontal="general" vertical="top" wrapText="1"/>
    </xf>
    <xf numFmtId="0" fontId="36" fillId="5" borderId="1" applyAlignment="1" pivotButton="0" quotePrefix="0" xfId="0">
      <alignment horizontal="general" vertical="top" wrapText="1"/>
    </xf>
    <xf numFmtId="0" fontId="37" fillId="5" borderId="1" applyAlignment="1" pivotButton="0" quotePrefix="0" xfId="0">
      <alignment horizontal="general" vertical="top" wrapText="1"/>
    </xf>
    <xf numFmtId="0" fontId="38" fillId="5" borderId="1" applyAlignment="1" pivotButton="0" quotePrefix="0" xfId="0">
      <alignment horizontal="general" vertical="top" wrapText="1"/>
    </xf>
    <xf numFmtId="0" fontId="39" fillId="5" borderId="1" applyAlignment="1" pivotButton="0" quotePrefix="0" xfId="0">
      <alignment horizontal="general" vertical="center" wrapText="1"/>
    </xf>
    <xf numFmtId="0" fontId="40" fillId="0" borderId="1" applyAlignment="1" pivotButton="0" quotePrefix="0" xfId="0">
      <alignment horizontal="general" vertical="top" wrapText="1"/>
    </xf>
    <xf numFmtId="0" fontId="41" fillId="0" borderId="1" applyAlignment="1" pivotButton="0" quotePrefix="0" xfId="0">
      <alignment horizontal="general" vertical="top" wrapText="1"/>
    </xf>
    <xf numFmtId="0" fontId="42" fillId="0" borderId="1" applyAlignment="1" pivotButton="0" quotePrefix="0" xfId="0">
      <alignment horizontal="general" vertical="top" wrapText="1"/>
    </xf>
    <xf numFmtId="0" fontId="43" fillId="0" borderId="1" applyAlignment="1" pivotButton="0" quotePrefix="0" xfId="0">
      <alignment horizontal="left" vertical="center" wrapText="1"/>
    </xf>
    <xf numFmtId="0" fontId="44" fillId="0" borderId="1" applyAlignment="1" pivotButton="0" quotePrefix="0" xfId="0">
      <alignment horizontal="general" vertical="center" wrapText="1"/>
    </xf>
    <xf numFmtId="0" fontId="45" fillId="0" borderId="1" applyAlignment="1" pivotButton="0" quotePrefix="0" xfId="0">
      <alignment horizontal="center" vertical="center" wrapText="1"/>
    </xf>
    <xf numFmtId="0" fontId="46" fillId="5" borderId="1" applyAlignment="1" pivotButton="0" quotePrefix="0" xfId="0">
      <alignment horizontal="general" vertical="top" wrapText="1"/>
    </xf>
    <xf numFmtId="0" fontId="47" fillId="5" borderId="1" applyAlignment="1" pivotButton="0" quotePrefix="0" xfId="0">
      <alignment horizontal="general" vertical="top" wrapText="1"/>
    </xf>
    <xf numFmtId="0" fontId="48" fillId="5" borderId="1" applyAlignment="1" pivotButton="0" quotePrefix="0" xfId="0">
      <alignment horizontal="general" vertical="top" wrapText="1"/>
    </xf>
    <xf numFmtId="0" fontId="49" fillId="5" borderId="1" applyAlignment="1" pivotButton="0" quotePrefix="0" xfId="0">
      <alignment horizontal="general" vertical="center" wrapText="1"/>
    </xf>
    <xf numFmtId="0" fontId="50" fillId="5" borderId="1" applyAlignment="1" pivotButton="0" quotePrefix="0" xfId="0">
      <alignment horizontal="general" vertical="top" wrapText="1"/>
    </xf>
    <xf numFmtId="0" fontId="51" fillId="0" borderId="1" applyAlignment="1" pivotButton="0" quotePrefix="0" xfId="0">
      <alignment horizontal="general" vertical="top" wrapText="1"/>
    </xf>
    <xf numFmtId="0" fontId="52" fillId="0" borderId="1" applyAlignment="1" pivotButton="0" quotePrefix="0" xfId="0">
      <alignment horizontal="general" vertical="top" wrapText="1"/>
    </xf>
    <xf numFmtId="0" fontId="53" fillId="0" borderId="1" applyAlignment="1" pivotButton="0" quotePrefix="0" xfId="0">
      <alignment horizontal="general" vertical="top" wrapText="1"/>
    </xf>
    <xf numFmtId="0" fontId="54" fillId="0" borderId="1" applyAlignment="1" pivotButton="0" quotePrefix="0" xfId="0">
      <alignment horizontal="general" vertical="top" wrapText="1"/>
    </xf>
    <xf numFmtId="0" fontId="55" fillId="0" borderId="1" applyAlignment="1" pivotButton="0" quotePrefix="0" xfId="0">
      <alignment horizontal="general" vertical="center" wrapText="1"/>
    </xf>
    <xf numFmtId="0" fontId="56" fillId="0" borderId="1" applyAlignment="1" pivotButton="0" quotePrefix="0" xfId="0">
      <alignment horizontal="general" vertical="top" wrapText="1"/>
    </xf>
    <xf numFmtId="0" fontId="57" fillId="0" borderId="1" applyAlignment="1" pivotButton="0" quotePrefix="0" xfId="0">
      <alignment horizontal="center" vertical="center" wrapText="1"/>
    </xf>
    <xf numFmtId="0" fontId="58" fillId="5" borderId="1" applyAlignment="1" pivotButton="0" quotePrefix="0" xfId="0">
      <alignment horizontal="general" vertical="top" wrapText="1"/>
    </xf>
    <xf numFmtId="0" fontId="59" fillId="5" borderId="1" applyAlignment="1" pivotButton="0" quotePrefix="0" xfId="0">
      <alignment horizontal="general" vertical="top" wrapText="1"/>
    </xf>
    <xf numFmtId="0" fontId="60" fillId="5" borderId="1" applyAlignment="1" pivotButton="0" quotePrefix="0" xfId="0">
      <alignment horizontal="general" vertical="top" wrapText="1"/>
    </xf>
    <xf numFmtId="0" fontId="61" fillId="5" borderId="1" applyAlignment="1" pivotButton="0" quotePrefix="0" xfId="0">
      <alignment horizontal="general" vertical="top" wrapText="1"/>
    </xf>
    <xf numFmtId="0" fontId="62" fillId="5" borderId="1" applyAlignment="1" pivotButton="0" quotePrefix="0" xfId="0">
      <alignment horizontal="general" vertical="center" wrapText="1"/>
    </xf>
    <xf numFmtId="0" fontId="63" fillId="5" borderId="1" applyAlignment="1" pivotButton="0" quotePrefix="0" xfId="0">
      <alignment horizontal="general" vertical="top" wrapText="1"/>
    </xf>
    <xf numFmtId="0" fontId="64" fillId="0" borderId="1" applyAlignment="1" pivotButton="0" quotePrefix="0" xfId="0">
      <alignment horizontal="general" vertical="top" wrapText="1"/>
    </xf>
    <xf numFmtId="0" fontId="65" fillId="0" borderId="1" applyAlignment="1" pivotButton="0" quotePrefix="0" xfId="0">
      <alignment horizontal="general" vertical="top" wrapText="1"/>
    </xf>
    <xf numFmtId="0" fontId="66" fillId="0" borderId="1" applyAlignment="1" pivotButton="0" quotePrefix="0" xfId="0">
      <alignment horizontal="general" vertical="top" wrapText="1"/>
    </xf>
    <xf numFmtId="0" fontId="67" fillId="0" borderId="1" applyAlignment="1" pivotButton="0" quotePrefix="0" xfId="0">
      <alignment horizontal="general" vertical="top" wrapText="1"/>
    </xf>
    <xf numFmtId="0" fontId="68" fillId="0" borderId="1" applyAlignment="1" pivotButton="0" quotePrefix="0" xfId="0">
      <alignment horizontal="general" vertical="center" wrapText="1"/>
    </xf>
    <xf numFmtId="0" fontId="69" fillId="5" borderId="1" applyAlignment="1" pivotButton="0" quotePrefix="0" xfId="0">
      <alignment horizontal="general" vertical="top" wrapText="1"/>
    </xf>
    <xf numFmtId="0" fontId="70" fillId="5" borderId="1" applyAlignment="1" pivotButton="0" quotePrefix="0" xfId="0">
      <alignment horizontal="general" vertical="top" wrapText="1"/>
    </xf>
    <xf numFmtId="0" fontId="71" fillId="5" borderId="1" applyAlignment="1" pivotButton="0" quotePrefix="0" xfId="0">
      <alignment horizontal="general" vertical="top" wrapText="1"/>
    </xf>
    <xf numFmtId="0" fontId="72" fillId="5" borderId="1" applyAlignment="1" pivotButton="0" quotePrefix="0" xfId="0">
      <alignment horizontal="general" vertical="center" wrapText="1"/>
    </xf>
    <xf numFmtId="0" fontId="73" fillId="5" borderId="1" applyAlignment="1" pivotButton="0" quotePrefix="0" xfId="0">
      <alignment horizontal="center" vertical="center" wrapText="1"/>
    </xf>
    <xf numFmtId="0" fontId="74" fillId="0" borderId="1" applyAlignment="1" pivotButton="0" quotePrefix="0" xfId="0">
      <alignment horizontal="general" vertical="top" wrapText="1"/>
    </xf>
    <xf numFmtId="0" fontId="75" fillId="0" borderId="1" applyAlignment="1" pivotButton="0" quotePrefix="0" xfId="0">
      <alignment horizontal="general" vertical="top" wrapText="1"/>
    </xf>
    <xf numFmtId="0" fontId="76" fillId="0" borderId="1" applyAlignment="1" pivotButton="0" quotePrefix="0" xfId="0">
      <alignment horizontal="general" vertical="top" wrapText="1"/>
    </xf>
    <xf numFmtId="0" fontId="77" fillId="0" borderId="1" applyAlignment="1" pivotButton="0" quotePrefix="0" xfId="0">
      <alignment horizontal="general" vertical="top" wrapText="1"/>
    </xf>
    <xf numFmtId="0" fontId="78" fillId="0" borderId="1" applyAlignment="1" pivotButton="0" quotePrefix="0" xfId="0">
      <alignment horizontal="general" vertical="center" wrapText="1"/>
    </xf>
    <xf numFmtId="0" fontId="79" fillId="0" borderId="1" applyAlignment="1" pivotButton="0" quotePrefix="0" xfId="0">
      <alignment horizontal="general" vertical="top" wrapText="1"/>
    </xf>
    <xf numFmtId="0" fontId="80" fillId="5" borderId="1" applyAlignment="1" pivotButton="0" quotePrefix="0" xfId="0">
      <alignment horizontal="general" vertical="top" wrapText="1"/>
    </xf>
    <xf numFmtId="0" fontId="81" fillId="5" borderId="1" applyAlignment="1" pivotButton="0" quotePrefix="0" xfId="0">
      <alignment horizontal="general" vertical="top" wrapText="1"/>
    </xf>
    <xf numFmtId="0" fontId="82" fillId="5" borderId="1" applyAlignment="1" pivotButton="0" quotePrefix="0" xfId="0">
      <alignment horizontal="general" vertical="top" wrapText="1"/>
    </xf>
    <xf numFmtId="0" fontId="83" fillId="5" borderId="1" applyAlignment="1" pivotButton="0" quotePrefix="0" xfId="0">
      <alignment horizontal="general" vertical="top" wrapText="1"/>
    </xf>
    <xf numFmtId="0" fontId="84" fillId="5" borderId="1" applyAlignment="1" pivotButton="0" quotePrefix="0" xfId="0">
      <alignment horizontal="general" vertical="center" wrapText="1"/>
    </xf>
    <xf numFmtId="0" fontId="85" fillId="0" borderId="1" applyAlignment="1" pivotButton="0" quotePrefix="0" xfId="0">
      <alignment horizontal="general" vertical="top" wrapText="1"/>
    </xf>
    <xf numFmtId="0" fontId="86" fillId="0" borderId="1" applyAlignment="1" pivotButton="0" quotePrefix="0" xfId="0">
      <alignment horizontal="general" vertical="top" wrapText="1"/>
    </xf>
    <xf numFmtId="0" fontId="87" fillId="0" borderId="1" applyAlignment="1" pivotButton="0" quotePrefix="0" xfId="0">
      <alignment horizontal="general" vertical="top" wrapText="1"/>
    </xf>
    <xf numFmtId="0" fontId="88" fillId="0" borderId="1" applyAlignment="1" pivotButton="0" quotePrefix="0" xfId="0">
      <alignment horizontal="general" vertical="top" wrapText="1"/>
    </xf>
    <xf numFmtId="0" fontId="89" fillId="0" borderId="1" applyAlignment="1" pivotButton="0" quotePrefix="0" xfId="0">
      <alignment horizontal="general" vertical="center" wrapText="1"/>
    </xf>
    <xf numFmtId="0" fontId="90" fillId="0" borderId="1" applyAlignment="1" pivotButton="0" quotePrefix="0" xfId="0">
      <alignment horizontal="general" vertical="top" wrapText="1"/>
    </xf>
    <xf numFmtId="0" fontId="91" fillId="0" borderId="1" applyAlignment="1" pivotButton="0" quotePrefix="0" xfId="0">
      <alignment horizontal="center" vertical="center" wrapText="1"/>
    </xf>
    <xf numFmtId="0" fontId="92" fillId="5" borderId="1" applyAlignment="1" pivotButton="0" quotePrefix="0" xfId="0">
      <alignment horizontal="general" vertical="top" wrapText="1"/>
    </xf>
    <xf numFmtId="0" fontId="93" fillId="5" borderId="1" applyAlignment="1" pivotButton="0" quotePrefix="0" xfId="0">
      <alignment horizontal="general" vertical="top" wrapText="1"/>
    </xf>
    <xf numFmtId="0" fontId="94" fillId="5" borderId="1" applyAlignment="1" pivotButton="0" quotePrefix="0" xfId="0">
      <alignment horizontal="general" vertical="top" wrapText="1"/>
    </xf>
    <xf numFmtId="0" fontId="95" fillId="5" borderId="1" applyAlignment="1" pivotButton="0" quotePrefix="0" xfId="0">
      <alignment horizontal="left" vertical="center" wrapText="1"/>
    </xf>
    <xf numFmtId="0" fontId="96" fillId="5" borderId="1" applyAlignment="1" pivotButton="0" quotePrefix="0" xfId="0">
      <alignment horizontal="general" vertical="center" wrapText="1"/>
    </xf>
    <xf numFmtId="0" fontId="97" fillId="5" borderId="1" applyAlignment="1" pivotButton="0" quotePrefix="0" xfId="0">
      <alignment horizontal="general" vertical="top" wrapText="1"/>
    </xf>
    <xf numFmtId="0" fontId="98" fillId="0" borderId="1" applyAlignment="1" pivotButton="0" quotePrefix="0" xfId="0">
      <alignment horizontal="general" vertical="top" wrapText="1"/>
    </xf>
    <xf numFmtId="0" fontId="99" fillId="0" borderId="1" applyAlignment="1" pivotButton="0" quotePrefix="0" xfId="0">
      <alignment horizontal="general" vertical="top" wrapText="1"/>
    </xf>
    <xf numFmtId="0" fontId="100" fillId="0" borderId="1" applyAlignment="1" pivotButton="0" quotePrefix="0" xfId="0">
      <alignment horizontal="general" vertical="top" wrapText="1"/>
    </xf>
    <xf numFmtId="0" fontId="101" fillId="0" borderId="1" applyAlignment="1" pivotButton="0" quotePrefix="0" xfId="0">
      <alignment horizontal="general" vertical="top" wrapText="1"/>
    </xf>
    <xf numFmtId="0" fontId="102" fillId="5" borderId="1" applyAlignment="1" pivotButton="0" quotePrefix="0" xfId="0">
      <alignment horizontal="general" vertical="top" wrapText="1"/>
    </xf>
    <xf numFmtId="0" fontId="103" fillId="5" borderId="1" applyAlignment="1" pivotButton="0" quotePrefix="0" xfId="0">
      <alignment horizontal="general" vertical="top" wrapText="1"/>
    </xf>
    <xf numFmtId="0" fontId="104" fillId="5" borderId="1" applyAlignment="1" pivotButton="0" quotePrefix="0" xfId="0">
      <alignment horizontal="general" vertical="top" wrapText="1"/>
    </xf>
    <xf numFmtId="0" fontId="105" fillId="5" borderId="1" applyAlignment="1" pivotButton="0" quotePrefix="0" xfId="0">
      <alignment horizontal="general" vertical="top" wrapText="1"/>
    </xf>
    <xf numFmtId="0" fontId="106" fillId="0" borderId="1" applyAlignment="1" pivotButton="0" quotePrefix="0" xfId="0">
      <alignment horizontal="general" vertical="top" wrapText="1"/>
    </xf>
    <xf numFmtId="0" fontId="107" fillId="0" borderId="1" applyAlignment="1" pivotButton="0" quotePrefix="0" xfId="0">
      <alignment horizontal="general" vertical="top" wrapText="1"/>
    </xf>
    <xf numFmtId="0" fontId="108" fillId="0" borderId="1" applyAlignment="1" pivotButton="0" quotePrefix="0" xfId="0">
      <alignment horizontal="general" vertical="top" wrapText="1"/>
    </xf>
    <xf numFmtId="0" fontId="109" fillId="0" borderId="1" applyAlignment="1" pivotButton="0" quotePrefix="0" xfId="0">
      <alignment horizontal="general" vertical="top" wrapText="1"/>
    </xf>
    <xf numFmtId="0" fontId="110" fillId="5" borderId="1" applyAlignment="1" pivotButton="0" quotePrefix="0" xfId="0">
      <alignment horizontal="general" vertical="top" wrapText="1"/>
    </xf>
    <xf numFmtId="0" fontId="111" fillId="5" borderId="1" applyAlignment="1" pivotButton="0" quotePrefix="0" xfId="0">
      <alignment horizontal="general" vertical="top" wrapText="1"/>
    </xf>
    <xf numFmtId="0" fontId="112" fillId="5" borderId="1" applyAlignment="1" pivotButton="0" quotePrefix="0" xfId="0">
      <alignment horizontal="general" vertical="top" wrapText="1"/>
    </xf>
    <xf numFmtId="0" fontId="113" fillId="5" borderId="1" applyAlignment="1" pivotButton="0" quotePrefix="0" xfId="0">
      <alignment horizontal="general" vertical="top" wrapText="1"/>
    </xf>
    <xf numFmtId="0" fontId="114" fillId="5" borderId="1" applyAlignment="1" pivotButton="0" quotePrefix="0" xfId="0">
      <alignment horizontal="general" vertical="top" wrapText="1"/>
    </xf>
    <xf numFmtId="0" fontId="115" fillId="0" borderId="1" applyAlignment="1" pivotButton="0" quotePrefix="0" xfId="0">
      <alignment horizontal="general" vertical="top" wrapText="1"/>
    </xf>
    <xf numFmtId="0" fontId="116" fillId="0" borderId="1" applyAlignment="1" pivotButton="0" quotePrefix="0" xfId="0">
      <alignment horizontal="general" vertical="top" wrapText="1"/>
    </xf>
    <xf numFmtId="0" fontId="117" fillId="0" borderId="1" applyAlignment="1" pivotButton="0" quotePrefix="0" xfId="0">
      <alignment horizontal="general" vertical="top" wrapText="1"/>
    </xf>
    <xf numFmtId="0" fontId="118" fillId="0" borderId="1" applyAlignment="1" pivotButton="0" quotePrefix="0" xfId="0">
      <alignment horizontal="general" vertical="top" wrapText="1"/>
    </xf>
    <xf numFmtId="0" fontId="119" fillId="5" borderId="1" applyAlignment="1" pivotButton="0" quotePrefix="0" xfId="0">
      <alignment horizontal="general" vertical="top" wrapText="1"/>
    </xf>
    <xf numFmtId="0" fontId="120" fillId="5" borderId="1" applyAlignment="1" pivotButton="0" quotePrefix="0" xfId="0">
      <alignment horizontal="general" vertical="top" wrapText="1"/>
    </xf>
    <xf numFmtId="0" fontId="121" fillId="5" borderId="1" applyAlignment="1" pivotButton="0" quotePrefix="0" xfId="0">
      <alignment horizontal="general" vertical="top" wrapText="1"/>
    </xf>
    <xf numFmtId="0" fontId="122" fillId="5" borderId="1" applyAlignment="1" pivotButton="0" quotePrefix="0" xfId="0">
      <alignment horizontal="general" vertical="top" wrapText="1"/>
    </xf>
    <xf numFmtId="0" fontId="123" fillId="5" borderId="1" applyAlignment="1" pivotButton="0" quotePrefix="0" xfId="0">
      <alignment horizontal="general" vertical="center" wrapText="1"/>
    </xf>
    <xf numFmtId="0" fontId="124" fillId="5" borderId="1" applyAlignment="1" pivotButton="0" quotePrefix="0" xfId="0">
      <alignment horizontal="general" vertical="top" wrapText="1"/>
    </xf>
    <xf numFmtId="0" fontId="125" fillId="4" borderId="1" applyAlignment="1" pivotButton="0" quotePrefix="0" xfId="0">
      <alignment horizontal="general" vertical="top" wrapText="1"/>
    </xf>
    <xf numFmtId="0" fontId="126" fillId="0" borderId="1" applyAlignment="1" pivotButton="0" quotePrefix="0" xfId="0">
      <alignment horizontal="general" vertical="top" wrapText="1"/>
    </xf>
    <xf numFmtId="0" fontId="127" fillId="0" borderId="1" applyAlignment="1" pivotButton="0" quotePrefix="0" xfId="0">
      <alignment horizontal="general" vertical="top" wrapText="1"/>
    </xf>
    <xf numFmtId="0" fontId="128" fillId="0" borderId="1" applyAlignment="1" pivotButton="0" quotePrefix="0" xfId="0">
      <alignment horizontal="general" vertical="top" wrapText="1"/>
    </xf>
    <xf numFmtId="0" fontId="129" fillId="0" borderId="1" applyAlignment="1" pivotButton="0" quotePrefix="0" xfId="0">
      <alignment horizontal="general" vertical="center" wrapText="1"/>
    </xf>
    <xf numFmtId="0" fontId="130" fillId="5" borderId="1" applyAlignment="1" pivotButton="0" quotePrefix="0" xfId="0">
      <alignment horizontal="general" vertical="top" wrapText="1"/>
    </xf>
    <xf numFmtId="0" fontId="131" fillId="5" borderId="1" applyAlignment="1" pivotButton="0" quotePrefix="0" xfId="0">
      <alignment horizontal="general" vertical="top" wrapText="1"/>
    </xf>
    <xf numFmtId="0" fontId="132" fillId="5" borderId="1" applyAlignment="1" pivotButton="0" quotePrefix="0" xfId="0">
      <alignment horizontal="general" vertical="top" wrapText="1"/>
    </xf>
    <xf numFmtId="0" fontId="133" fillId="5" borderId="1" applyAlignment="1" pivotButton="0" quotePrefix="0" xfId="0">
      <alignment horizontal="general" vertical="top" wrapText="1"/>
    </xf>
    <xf numFmtId="0" fontId="134" fillId="5" borderId="1" applyAlignment="1" pivotButton="0" quotePrefix="0" xfId="0">
      <alignment horizontal="general" vertical="center" wrapText="1"/>
    </xf>
    <xf numFmtId="0" fontId="135" fillId="0" borderId="1" applyAlignment="1" pivotButton="0" quotePrefix="0" xfId="0">
      <alignment horizontal="general" vertical="top" wrapText="1"/>
    </xf>
    <xf numFmtId="0" fontId="136" fillId="0" borderId="1" applyAlignment="1" pivotButton="0" quotePrefix="0" xfId="0">
      <alignment horizontal="general" vertical="top" wrapText="1"/>
    </xf>
    <xf numFmtId="0" fontId="137" fillId="0" borderId="1" applyAlignment="1" pivotButton="0" quotePrefix="0" xfId="0">
      <alignment horizontal="general" vertical="top" wrapText="1"/>
    </xf>
    <xf numFmtId="0" fontId="138" fillId="0" borderId="1" applyAlignment="1" pivotButton="0" quotePrefix="0" xfId="0">
      <alignment horizontal="general" vertical="center" wrapText="1"/>
    </xf>
    <xf numFmtId="0" fontId="139" fillId="0" borderId="1" applyAlignment="1" pivotButton="0" quotePrefix="0" xfId="0">
      <alignment horizontal="center" vertical="center" wrapText="1"/>
    </xf>
    <xf numFmtId="0" fontId="140" fillId="5" borderId="1" applyAlignment="1" pivotButton="0" quotePrefix="0" xfId="0">
      <alignment horizontal="general" vertical="top" wrapText="1"/>
    </xf>
    <xf numFmtId="0" fontId="141" fillId="5" borderId="1" applyAlignment="1" pivotButton="0" quotePrefix="0" xfId="0">
      <alignment horizontal="general" vertical="top" wrapText="1"/>
    </xf>
    <xf numFmtId="0" fontId="142" fillId="5" borderId="1" applyAlignment="1" pivotButton="0" quotePrefix="0" xfId="0">
      <alignment horizontal="general" vertical="top" wrapText="1"/>
    </xf>
    <xf numFmtId="0" fontId="143" fillId="5" borderId="1" applyAlignment="1" pivotButton="0" quotePrefix="0" xfId="0">
      <alignment horizontal="general" vertical="center" wrapText="1"/>
    </xf>
    <xf numFmtId="0" fontId="144" fillId="0" borderId="1" applyAlignment="1" pivotButton="0" quotePrefix="0" xfId="0">
      <alignment horizontal="general" vertical="top" wrapText="1"/>
    </xf>
    <xf numFmtId="0" fontId="145" fillId="0" borderId="1" applyAlignment="1" pivotButton="0" quotePrefix="0" xfId="0">
      <alignment horizontal="general" vertical="top" wrapText="1"/>
    </xf>
    <xf numFmtId="0" fontId="146" fillId="0" borderId="1" applyAlignment="1" pivotButton="0" quotePrefix="0" xfId="0">
      <alignment horizontal="general" vertical="top" wrapText="1"/>
    </xf>
    <xf numFmtId="0" fontId="147" fillId="0" borderId="1" applyAlignment="1" pivotButton="0" quotePrefix="0" xfId="0">
      <alignment horizontal="general" vertical="top" wrapText="1"/>
    </xf>
    <xf numFmtId="0" fontId="148" fillId="0" borderId="1" applyAlignment="1" pivotButton="0" quotePrefix="0" xfId="0">
      <alignment horizontal="general" vertical="center" wrapText="1"/>
    </xf>
    <xf numFmtId="0" fontId="149" fillId="0" borderId="1" applyAlignment="1" pivotButton="0" quotePrefix="0" xfId="0">
      <alignment horizontal="general" vertical="top" wrapText="1"/>
    </xf>
    <xf numFmtId="0" fontId="150" fillId="5" borderId="1" applyAlignment="1" pivotButton="0" quotePrefix="0" xfId="0">
      <alignment horizontal="general" vertical="top" wrapText="1"/>
    </xf>
    <xf numFmtId="0" fontId="151" fillId="5" borderId="1" applyAlignment="1" pivotButton="0" quotePrefix="0" xfId="0">
      <alignment horizontal="general" vertical="top" wrapText="1"/>
    </xf>
    <xf numFmtId="0" fontId="152" fillId="5" borderId="1" applyAlignment="1" pivotButton="0" quotePrefix="0" xfId="0">
      <alignment horizontal="general" vertical="top" wrapText="1"/>
    </xf>
    <xf numFmtId="0" fontId="153" fillId="5" borderId="1" applyAlignment="1" pivotButton="0" quotePrefix="0" xfId="0">
      <alignment horizontal="general" vertical="center" wrapText="1"/>
    </xf>
    <xf numFmtId="0" fontId="154" fillId="5" borderId="1" applyAlignment="1" pivotButton="0" quotePrefix="0" xfId="0">
      <alignment horizontal="general" vertical="top" wrapText="1"/>
    </xf>
    <xf numFmtId="0" fontId="155" fillId="0" borderId="1" applyAlignment="1" pivotButton="0" quotePrefix="0" xfId="0">
      <alignment horizontal="general" vertical="top" wrapText="1"/>
    </xf>
    <xf numFmtId="0" fontId="156" fillId="0" borderId="1" applyAlignment="1" pivotButton="0" quotePrefix="0" xfId="0">
      <alignment horizontal="general" vertical="top" wrapText="1"/>
    </xf>
    <xf numFmtId="0" fontId="157" fillId="0" borderId="1" applyAlignment="1" pivotButton="0" quotePrefix="0" xfId="0">
      <alignment horizontal="general" vertical="top" wrapText="1"/>
    </xf>
    <xf numFmtId="0" fontId="158" fillId="0" borderId="1" applyAlignment="1" pivotButton="0" quotePrefix="0" xfId="0">
      <alignment horizontal="general" vertical="center" wrapText="1"/>
    </xf>
    <xf numFmtId="0" fontId="159" fillId="5" borderId="1" applyAlignment="1" pivotButton="0" quotePrefix="0" xfId="0">
      <alignment horizontal="general" vertical="top" wrapText="1"/>
    </xf>
    <xf numFmtId="0" fontId="160" fillId="5" borderId="1" applyAlignment="1" pivotButton="0" quotePrefix="0" xfId="0">
      <alignment horizontal="general" vertical="top" wrapText="1"/>
    </xf>
    <xf numFmtId="0" fontId="161" fillId="5" borderId="1" applyAlignment="1" pivotButton="0" quotePrefix="0" xfId="0">
      <alignment horizontal="general" vertical="top" wrapText="1"/>
    </xf>
    <xf numFmtId="0" fontId="162" fillId="5" borderId="1" applyAlignment="1" pivotButton="0" quotePrefix="0" xfId="0">
      <alignment horizontal="general" vertical="center" wrapText="1"/>
    </xf>
    <xf numFmtId="0" fontId="163" fillId="5" borderId="1" applyAlignment="1" pivotButton="0" quotePrefix="0" xfId="0">
      <alignment horizontal="general" vertical="top" wrapText="1"/>
    </xf>
    <xf numFmtId="0" fontId="164" fillId="0" borderId="1" applyAlignment="1" pivotButton="0" quotePrefix="0" xfId="0">
      <alignment horizontal="general" vertical="top" wrapText="1"/>
    </xf>
    <xf numFmtId="0" fontId="165" fillId="0" borderId="1" applyAlignment="1" pivotButton="0" quotePrefix="0" xfId="0">
      <alignment horizontal="general" vertical="top" wrapText="1"/>
    </xf>
    <xf numFmtId="0" fontId="166" fillId="0" borderId="1" applyAlignment="1" pivotButton="0" quotePrefix="0" xfId="0">
      <alignment horizontal="general" vertical="center" wrapText="1"/>
    </xf>
    <xf numFmtId="0" fontId="167" fillId="5" borderId="1" applyAlignment="1" pivotButton="0" quotePrefix="0" xfId="0">
      <alignment horizontal="general" vertical="top" wrapText="1"/>
    </xf>
    <xf numFmtId="0" fontId="168" fillId="5" borderId="1" applyAlignment="1" pivotButton="0" quotePrefix="0" xfId="0">
      <alignment horizontal="general" vertical="top" wrapText="1"/>
    </xf>
    <xf numFmtId="0" fontId="169" fillId="5" borderId="1" applyAlignment="1" pivotButton="0" quotePrefix="0" xfId="0">
      <alignment horizontal="general" vertical="top" wrapText="1"/>
    </xf>
    <xf numFmtId="0" fontId="170" fillId="5" borderId="1" applyAlignment="1" pivotButton="0" quotePrefix="0" xfId="0">
      <alignment horizontal="general" vertical="center" wrapText="1"/>
    </xf>
    <xf numFmtId="0" fontId="171" fillId="5" borderId="1" applyAlignment="1" pivotButton="0" quotePrefix="0" xfId="0">
      <alignment horizontal="general" vertical="top" wrapText="1"/>
    </xf>
    <xf numFmtId="0" fontId="172" fillId="0" borderId="1" applyAlignment="1" pivotButton="0" quotePrefix="0" xfId="0">
      <alignment horizontal="general" vertical="top" wrapText="1"/>
    </xf>
    <xf numFmtId="0" fontId="173" fillId="0" borderId="1" applyAlignment="1" pivotButton="0" quotePrefix="0" xfId="0">
      <alignment horizontal="general" vertical="top" wrapText="1"/>
    </xf>
    <xf numFmtId="0" fontId="174" fillId="0" borderId="1" applyAlignment="1" pivotButton="0" quotePrefix="0" xfId="0">
      <alignment horizontal="general" vertical="top" wrapText="1"/>
    </xf>
    <xf numFmtId="0" fontId="175" fillId="0" borderId="1" applyAlignment="1" pivotButton="0" quotePrefix="0" xfId="0">
      <alignment horizontal="general" vertical="center" wrapText="1"/>
    </xf>
    <xf numFmtId="0" fontId="176" fillId="0" borderId="1" applyAlignment="1" pivotButton="0" quotePrefix="0" xfId="0">
      <alignment horizontal="center" vertical="center" wrapText="1"/>
    </xf>
    <xf numFmtId="0" fontId="177" fillId="4" borderId="1" applyAlignment="1" pivotButton="0" quotePrefix="0" xfId="0">
      <alignment horizontal="general" vertical="top" wrapText="1"/>
    </xf>
    <xf numFmtId="0" fontId="178" fillId="5" borderId="1" applyAlignment="1" pivotButton="0" quotePrefix="0" xfId="0">
      <alignment horizontal="general" vertical="top" wrapText="1"/>
    </xf>
    <xf numFmtId="0" fontId="179" fillId="5" borderId="1" applyAlignment="1" pivotButton="0" quotePrefix="0" xfId="0">
      <alignment horizontal="general" vertical="top" wrapText="1"/>
    </xf>
    <xf numFmtId="0" fontId="180" fillId="5" borderId="1" applyAlignment="1" pivotButton="0" quotePrefix="0" xfId="0">
      <alignment horizontal="general" vertical="top" wrapText="1"/>
    </xf>
    <xf numFmtId="0" fontId="181" fillId="5" borderId="1" applyAlignment="1" pivotButton="0" quotePrefix="0" xfId="0">
      <alignment horizontal="general" vertical="center" wrapText="1"/>
    </xf>
    <xf numFmtId="0" fontId="182" fillId="0" borderId="1" applyAlignment="1" pivotButton="0" quotePrefix="0" xfId="0">
      <alignment horizontal="general" vertical="top" wrapText="1"/>
    </xf>
    <xf numFmtId="0" fontId="183" fillId="0" borderId="1" applyAlignment="1" pivotButton="0" quotePrefix="0" xfId="0">
      <alignment horizontal="general" vertical="top" wrapText="1"/>
    </xf>
    <xf numFmtId="0" fontId="184" fillId="0" borderId="1" applyAlignment="1" pivotButton="0" quotePrefix="0" xfId="0">
      <alignment horizontal="general" vertical="top" wrapText="1"/>
    </xf>
    <xf numFmtId="0" fontId="185" fillId="0" borderId="1" applyAlignment="1" pivotButton="0" quotePrefix="0" xfId="0">
      <alignment horizontal="general" vertical="center" wrapText="1"/>
    </xf>
    <xf numFmtId="0" fontId="186" fillId="0" borderId="1" applyAlignment="1" pivotButton="0" quotePrefix="0" xfId="0">
      <alignment horizontal="general" vertical="top" wrapText="1"/>
    </xf>
    <xf numFmtId="0" fontId="187" fillId="5" borderId="1" applyAlignment="1" pivotButton="0" quotePrefix="0" xfId="0">
      <alignment horizontal="general" vertical="top" wrapText="1"/>
    </xf>
    <xf numFmtId="0" fontId="188" fillId="5" borderId="1" applyAlignment="1" pivotButton="0" quotePrefix="0" xfId="0">
      <alignment horizontal="general" vertical="top" wrapText="1"/>
    </xf>
    <xf numFmtId="0" fontId="189" fillId="5" borderId="1" applyAlignment="1" pivotButton="0" quotePrefix="0" xfId="0">
      <alignment horizontal="general" vertical="top" wrapText="1"/>
    </xf>
    <xf numFmtId="0" fontId="190" fillId="5" borderId="1" applyAlignment="1" pivotButton="0" quotePrefix="0" xfId="0">
      <alignment horizontal="general" vertical="center" wrapText="1"/>
    </xf>
    <xf numFmtId="0" fontId="191" fillId="0" borderId="1" applyAlignment="1" pivotButton="0" quotePrefix="0" xfId="0">
      <alignment horizontal="general" vertical="top" wrapText="1"/>
    </xf>
    <xf numFmtId="0" fontId="192" fillId="0" borderId="1" applyAlignment="1" pivotButton="0" quotePrefix="0" xfId="0">
      <alignment horizontal="general" vertical="top" wrapText="1"/>
    </xf>
    <xf numFmtId="0" fontId="193" fillId="0" borderId="1" applyAlignment="1" pivotButton="0" quotePrefix="0" xfId="0">
      <alignment horizontal="general" vertical="top" wrapText="1"/>
    </xf>
    <xf numFmtId="0" fontId="194" fillId="0" borderId="1" applyAlignment="1" pivotButton="0" quotePrefix="0" xfId="0">
      <alignment horizontal="general" vertical="center" wrapText="1"/>
    </xf>
    <xf numFmtId="0" fontId="195" fillId="5" borderId="1" applyAlignment="1" pivotButton="0" quotePrefix="0" xfId="0">
      <alignment horizontal="general" vertical="top" wrapText="1"/>
    </xf>
    <xf numFmtId="0" fontId="196" fillId="5" borderId="1" applyAlignment="1" pivotButton="0" quotePrefix="0" xfId="0">
      <alignment horizontal="general" vertical="top" wrapText="1"/>
    </xf>
    <xf numFmtId="0" fontId="197" fillId="5" borderId="1" applyAlignment="1" pivotButton="0" quotePrefix="0" xfId="0">
      <alignment horizontal="general" vertical="top" wrapText="1"/>
    </xf>
    <xf numFmtId="0" fontId="198" fillId="5" borderId="1" applyAlignment="1" pivotButton="0" quotePrefix="0" xfId="0">
      <alignment horizontal="general" vertical="center" wrapText="1"/>
    </xf>
    <xf numFmtId="0" fontId="199" fillId="5" borderId="1" applyAlignment="1" pivotButton="0" quotePrefix="0" xfId="0">
      <alignment horizontal="center" vertical="center" wrapText="1"/>
    </xf>
    <xf numFmtId="0" fontId="200" fillId="0" borderId="1" applyAlignment="1" pivotButton="0" quotePrefix="0" xfId="0">
      <alignment horizontal="general" vertical="top" wrapText="1"/>
    </xf>
    <xf numFmtId="0" fontId="201" fillId="0" borderId="1" applyAlignment="1" pivotButton="0" quotePrefix="0" xfId="0">
      <alignment horizontal="general" vertical="top" wrapText="1"/>
    </xf>
    <xf numFmtId="0" fontId="202" fillId="0" borderId="1" applyAlignment="1" pivotButton="0" quotePrefix="0" xfId="0">
      <alignment horizontal="general" vertical="top" wrapText="1"/>
    </xf>
    <xf numFmtId="0" fontId="203" fillId="0" borderId="1" applyAlignment="1" pivotButton="0" quotePrefix="0" xfId="0">
      <alignment horizontal="left" vertical="center" wrapText="1"/>
    </xf>
    <xf numFmtId="0" fontId="204" fillId="0" borderId="1" applyAlignment="1" pivotButton="0" quotePrefix="0" xfId="0">
      <alignment horizontal="general" vertical="center" wrapText="1"/>
    </xf>
    <xf numFmtId="0" fontId="205" fillId="0" borderId="1" applyAlignment="1" pivotButton="0" quotePrefix="0" xfId="0">
      <alignment horizontal="center" vertical="center" wrapText="1"/>
    </xf>
    <xf numFmtId="0" fontId="206" fillId="5" borderId="1" applyAlignment="1" pivotButton="0" quotePrefix="0" xfId="0">
      <alignment horizontal="general" vertical="top" wrapText="1"/>
    </xf>
    <xf numFmtId="0" fontId="207" fillId="5" borderId="1" applyAlignment="1" pivotButton="0" quotePrefix="0" xfId="0">
      <alignment horizontal="general" vertical="top" wrapText="1"/>
    </xf>
    <xf numFmtId="0" fontId="208" fillId="5" borderId="1" applyAlignment="1" pivotButton="0" quotePrefix="0" xfId="0">
      <alignment horizontal="general" vertical="top" wrapText="1"/>
    </xf>
    <xf numFmtId="0" fontId="209" fillId="5" borderId="1" applyAlignment="1" pivotButton="0" quotePrefix="0" xfId="0">
      <alignment horizontal="general" vertical="center" wrapText="1"/>
    </xf>
    <xf numFmtId="0" fontId="210" fillId="4" borderId="1" applyAlignment="1" pivotButton="0" quotePrefix="0" xfId="0">
      <alignment horizontal="general" vertical="top" wrapText="1"/>
    </xf>
    <xf numFmtId="0" fontId="211" fillId="0" borderId="1" applyAlignment="1" pivotButton="0" quotePrefix="0" xfId="0">
      <alignment horizontal="general" vertical="top" wrapText="1"/>
    </xf>
    <xf numFmtId="0" fontId="212" fillId="0" borderId="1" applyAlignment="1" pivotButton="0" quotePrefix="0" xfId="0">
      <alignment horizontal="general" vertical="top" wrapText="1"/>
    </xf>
    <xf numFmtId="0" fontId="213" fillId="0" borderId="1" applyAlignment="1" pivotButton="0" quotePrefix="0" xfId="0">
      <alignment horizontal="general" vertical="top" wrapText="1"/>
    </xf>
    <xf numFmtId="0" fontId="214" fillId="0" borderId="1" applyAlignment="1" pivotButton="0" quotePrefix="0" xfId="0">
      <alignment horizontal="left" vertical="center" wrapText="1"/>
    </xf>
    <xf numFmtId="0" fontId="215" fillId="0" borderId="1" applyAlignment="1" pivotButton="0" quotePrefix="0" xfId="0">
      <alignment horizontal="general" vertical="center" wrapText="1"/>
    </xf>
    <xf numFmtId="0" fontId="216" fillId="0" borderId="1" applyAlignment="1" pivotButton="0" quotePrefix="0" xfId="0">
      <alignment horizontal="center" vertical="center" wrapText="1"/>
    </xf>
    <xf numFmtId="0" fontId="217" fillId="5" borderId="1" applyAlignment="1" pivotButton="0" quotePrefix="0" xfId="0">
      <alignment horizontal="general" vertical="top" wrapText="1"/>
    </xf>
    <xf numFmtId="0" fontId="218" fillId="5" borderId="1" applyAlignment="1" pivotButton="0" quotePrefix="0" xfId="0">
      <alignment horizontal="general" vertical="top" wrapText="1"/>
    </xf>
    <xf numFmtId="0" fontId="219" fillId="5" borderId="1" applyAlignment="1" pivotButton="0" quotePrefix="0" xfId="0">
      <alignment horizontal="general" vertical="top" wrapText="1"/>
    </xf>
    <xf numFmtId="0" fontId="220" fillId="5" borderId="1" applyAlignment="1" pivotButton="0" quotePrefix="0" xfId="0">
      <alignment horizontal="general" vertical="center" wrapText="1"/>
    </xf>
    <xf numFmtId="0" fontId="221" fillId="0" borderId="1" applyAlignment="1" pivotButton="0" quotePrefix="0" xfId="0">
      <alignment horizontal="general" vertical="top" wrapText="1"/>
    </xf>
    <xf numFmtId="0" fontId="222" fillId="0" borderId="1" applyAlignment="1" pivotButton="0" quotePrefix="0" xfId="0">
      <alignment horizontal="general" vertical="top" wrapText="1"/>
    </xf>
    <xf numFmtId="0" fontId="223" fillId="0" borderId="1" applyAlignment="1" pivotButton="0" quotePrefix="0" xfId="0">
      <alignment horizontal="general" vertical="top" wrapText="1"/>
    </xf>
    <xf numFmtId="0" fontId="224" fillId="0" borderId="1" applyAlignment="1" pivotButton="0" quotePrefix="0" xfId="0">
      <alignment horizontal="general" vertical="center" wrapText="1"/>
    </xf>
    <xf numFmtId="0" fontId="225" fillId="5" borderId="1" applyAlignment="1" pivotButton="0" quotePrefix="0" xfId="0">
      <alignment horizontal="general" vertical="top" wrapText="1"/>
    </xf>
    <xf numFmtId="0" fontId="226" fillId="5" borderId="1" applyAlignment="1" pivotButton="0" quotePrefix="0" xfId="0">
      <alignment horizontal="general" vertical="top" wrapText="1"/>
    </xf>
    <xf numFmtId="0" fontId="227" fillId="5" borderId="1" applyAlignment="1" pivotButton="0" quotePrefix="0" xfId="0">
      <alignment horizontal="general" vertical="top" wrapText="1"/>
    </xf>
    <xf numFmtId="0" fontId="228" fillId="5" borderId="1" applyAlignment="1" pivotButton="0" quotePrefix="0" xfId="0">
      <alignment horizontal="general" vertical="center" wrapText="1"/>
    </xf>
    <xf numFmtId="0" fontId="229" fillId="5" borderId="1" applyAlignment="1" pivotButton="0" quotePrefix="0" xfId="0">
      <alignment horizontal="center" vertical="center" wrapText="1"/>
    </xf>
    <xf numFmtId="0" fontId="230" fillId="0" borderId="1" applyAlignment="1" pivotButton="0" quotePrefix="0" xfId="0">
      <alignment horizontal="general" vertical="top" wrapText="1"/>
    </xf>
    <xf numFmtId="0" fontId="231" fillId="0" borderId="1" applyAlignment="1" pivotButton="0" quotePrefix="0" xfId="0">
      <alignment horizontal="general" vertical="top" wrapText="1"/>
    </xf>
    <xf numFmtId="0" fontId="232" fillId="0" borderId="1" applyAlignment="1" pivotButton="0" quotePrefix="0" xfId="0">
      <alignment horizontal="general" vertical="top" wrapText="1"/>
    </xf>
    <xf numFmtId="0" fontId="233" fillId="0" borderId="1" applyAlignment="1" pivotButton="0" quotePrefix="0" xfId="0">
      <alignment horizontal="general" vertical="top" wrapText="1"/>
    </xf>
    <xf numFmtId="0" fontId="234" fillId="0" borderId="1" applyAlignment="1" pivotButton="0" quotePrefix="0" xfId="0">
      <alignment horizontal="general" vertical="center" wrapText="1"/>
    </xf>
    <xf numFmtId="0" fontId="235" fillId="0" borderId="1" applyAlignment="1" pivotButton="0" quotePrefix="0" xfId="0">
      <alignment horizontal="center" vertical="center" wrapText="1"/>
    </xf>
    <xf numFmtId="0" fontId="236" fillId="4" borderId="1" applyAlignment="1" pivotButton="0" quotePrefix="0" xfId="0">
      <alignment horizontal="general" vertical="top" wrapText="1"/>
    </xf>
    <xf numFmtId="0" fontId="237" fillId="5" borderId="1" applyAlignment="1" pivotButton="0" quotePrefix="0" xfId="0">
      <alignment horizontal="general" vertical="top" wrapText="1"/>
    </xf>
    <xf numFmtId="0" fontId="238" fillId="5" borderId="1" applyAlignment="1" pivotButton="0" quotePrefix="0" xfId="0">
      <alignment horizontal="general" vertical="top" wrapText="1"/>
    </xf>
    <xf numFmtId="0" fontId="239" fillId="5" borderId="1" applyAlignment="1" pivotButton="0" quotePrefix="0" xfId="0">
      <alignment horizontal="general" vertical="top" wrapText="1"/>
    </xf>
    <xf numFmtId="0" fontId="240" fillId="5" borderId="1" applyAlignment="1" pivotButton="0" quotePrefix="0" xfId="0">
      <alignment horizontal="general" vertical="center" wrapText="1"/>
    </xf>
    <xf numFmtId="0" fontId="241" fillId="0" borderId="1" applyAlignment="1" pivotButton="0" quotePrefix="0" xfId="0">
      <alignment horizontal="general" vertical="top" wrapText="1"/>
    </xf>
    <xf numFmtId="0" fontId="242" fillId="0" borderId="1" applyAlignment="1" pivotButton="0" quotePrefix="0" xfId="0">
      <alignment horizontal="general" vertical="top" wrapText="1"/>
    </xf>
    <xf numFmtId="0" fontId="243" fillId="0" borderId="1" applyAlignment="1" pivotButton="0" quotePrefix="0" xfId="0">
      <alignment horizontal="general" vertical="top" wrapText="1"/>
    </xf>
    <xf numFmtId="0" fontId="244" fillId="0" borderId="1" applyAlignment="1" pivotButton="0" quotePrefix="0" xfId="0">
      <alignment horizontal="general" vertical="center" wrapText="1"/>
    </xf>
    <xf numFmtId="0" fontId="245" fillId="0" borderId="1" applyAlignment="1" pivotButton="0" quotePrefix="0" xfId="0">
      <alignment horizontal="general" vertical="top" wrapText="1"/>
    </xf>
    <xf numFmtId="0" fontId="246" fillId="5" borderId="1" applyAlignment="1" pivotButton="0" quotePrefix="0" xfId="0">
      <alignment horizontal="general" vertical="top" wrapText="1"/>
    </xf>
    <xf numFmtId="0" fontId="247" fillId="5" borderId="1" applyAlignment="1" pivotButton="0" quotePrefix="0" xfId="0">
      <alignment horizontal="general" vertical="top" wrapText="1"/>
    </xf>
    <xf numFmtId="0" fontId="248" fillId="5" borderId="1" applyAlignment="1" pivotButton="0" quotePrefix="0" xfId="0">
      <alignment horizontal="general" vertical="top" wrapText="1"/>
    </xf>
    <xf numFmtId="0" fontId="249" fillId="5" borderId="1" applyAlignment="1" pivotButton="0" quotePrefix="0" xfId="0">
      <alignment horizontal="general" vertical="center" wrapText="1"/>
    </xf>
    <xf numFmtId="0" fontId="250" fillId="0" borderId="1" applyAlignment="1" pivotButton="0" quotePrefix="0" xfId="0">
      <alignment horizontal="general" vertical="top" wrapText="1"/>
    </xf>
    <xf numFmtId="0" fontId="251" fillId="0" borderId="1" applyAlignment="1" pivotButton="0" quotePrefix="0" xfId="0">
      <alignment horizontal="general" vertical="top" wrapText="1"/>
    </xf>
    <xf numFmtId="0" fontId="252" fillId="0" borderId="1" applyAlignment="1" pivotButton="0" quotePrefix="0" xfId="0">
      <alignment horizontal="general" vertical="top" wrapText="1"/>
    </xf>
    <xf numFmtId="0" fontId="253" fillId="0" borderId="1" applyAlignment="1" pivotButton="0" quotePrefix="0" xfId="0">
      <alignment horizontal="general" vertical="center" wrapText="1"/>
    </xf>
    <xf numFmtId="0" fontId="254" fillId="0" borderId="1" applyAlignment="1" pivotButton="0" quotePrefix="0" xfId="0">
      <alignment horizontal="general" vertical="top" wrapText="1"/>
    </xf>
    <xf numFmtId="0" fontId="255" fillId="0" borderId="1" applyAlignment="1" pivotButton="0" quotePrefix="0" xfId="0">
      <alignment horizontal="center" vertical="center" wrapText="1"/>
    </xf>
    <xf numFmtId="0" fontId="256" fillId="5" borderId="1" applyAlignment="1" pivotButton="0" quotePrefix="0" xfId="0">
      <alignment horizontal="general" vertical="top" wrapText="1"/>
    </xf>
    <xf numFmtId="0" fontId="257" fillId="5" borderId="1" applyAlignment="1" pivotButton="0" quotePrefix="0" xfId="0">
      <alignment horizontal="general" vertical="top" wrapText="1"/>
    </xf>
    <xf numFmtId="0" fontId="258" fillId="5" borderId="1" applyAlignment="1" pivotButton="0" quotePrefix="0" xfId="0">
      <alignment horizontal="general" vertical="top" wrapText="1"/>
    </xf>
    <xf numFmtId="0" fontId="259" fillId="5" borderId="1" applyAlignment="1" pivotButton="0" quotePrefix="0" xfId="0">
      <alignment horizontal="general" vertical="top" wrapText="1"/>
    </xf>
    <xf numFmtId="0" fontId="260" fillId="5" borderId="1" applyAlignment="1" pivotButton="0" quotePrefix="0" xfId="0">
      <alignment horizontal="general" vertical="center" wrapText="1"/>
    </xf>
    <xf numFmtId="0" fontId="261" fillId="5" borderId="1" applyAlignment="1" pivotButton="0" quotePrefix="0" xfId="0">
      <alignment horizontal="center" vertical="center" wrapText="1"/>
    </xf>
    <xf numFmtId="0" fontId="262" fillId="0" borderId="1" applyAlignment="1" pivotButton="0" quotePrefix="0" xfId="0">
      <alignment horizontal="general" vertical="top" wrapText="1"/>
    </xf>
    <xf numFmtId="0" fontId="263" fillId="0" borderId="1" applyAlignment="1" pivotButton="0" quotePrefix="0" xfId="0">
      <alignment horizontal="general" vertical="top" wrapText="1"/>
    </xf>
    <xf numFmtId="0" fontId="264" fillId="0" borderId="1" applyAlignment="1" pivotButton="0" quotePrefix="0" xfId="0">
      <alignment horizontal="general" vertical="top" wrapText="1"/>
    </xf>
    <xf numFmtId="0" fontId="265" fillId="0" borderId="1" applyAlignment="1" pivotButton="0" quotePrefix="0" xfId="0">
      <alignment horizontal="general" vertical="top" wrapText="1"/>
    </xf>
    <xf numFmtId="0" fontId="266" fillId="0" borderId="1" applyAlignment="1" pivotButton="0" quotePrefix="0" xfId="0">
      <alignment horizontal="general" vertical="center" wrapText="1"/>
    </xf>
    <xf numFmtId="0" fontId="267" fillId="5" borderId="1" applyAlignment="1" pivotButton="0" quotePrefix="0" xfId="0">
      <alignment horizontal="general" vertical="top" wrapText="1"/>
    </xf>
    <xf numFmtId="0" fontId="268" fillId="5" borderId="1" applyAlignment="1" pivotButton="0" quotePrefix="0" xfId="0">
      <alignment horizontal="general" vertical="top" wrapText="1"/>
    </xf>
    <xf numFmtId="0" fontId="269" fillId="5" borderId="1" applyAlignment="1" pivotButton="0" quotePrefix="0" xfId="0">
      <alignment horizontal="general" vertical="top" wrapText="1"/>
    </xf>
    <xf numFmtId="0" fontId="270" fillId="5" borderId="1" applyAlignment="1" pivotButton="0" quotePrefix="0" xfId="0">
      <alignment horizontal="general" vertical="top" wrapText="1"/>
    </xf>
    <xf numFmtId="0" fontId="271" fillId="5" borderId="1" applyAlignment="1" pivotButton="0" quotePrefix="0" xfId="0">
      <alignment horizontal="general" vertical="center" wrapText="1"/>
    </xf>
    <xf numFmtId="0" fontId="272" fillId="0" borderId="1" applyAlignment="1" pivotButton="0" quotePrefix="0" xfId="0">
      <alignment horizontal="general" vertical="top" wrapText="1"/>
    </xf>
    <xf numFmtId="0" fontId="273" fillId="0" borderId="1" applyAlignment="1" pivotButton="0" quotePrefix="0" xfId="0">
      <alignment horizontal="general" vertical="top" wrapText="1"/>
    </xf>
    <xf numFmtId="0" fontId="274" fillId="0" borderId="1" applyAlignment="1" pivotButton="0" quotePrefix="0" xfId="0">
      <alignment horizontal="general" vertical="top" wrapText="1"/>
    </xf>
    <xf numFmtId="0" fontId="275" fillId="0" borderId="1" applyAlignment="1" pivotButton="0" quotePrefix="0" xfId="0">
      <alignment horizontal="general" vertical="top" wrapText="1"/>
    </xf>
    <xf numFmtId="0" fontId="276" fillId="0" borderId="1" applyAlignment="1" pivotButton="0" quotePrefix="0" xfId="0">
      <alignment horizontal="general" vertical="center" wrapText="1"/>
    </xf>
    <xf numFmtId="0" fontId="277" fillId="5" borderId="1" applyAlignment="1" pivotButton="0" quotePrefix="0" xfId="0">
      <alignment horizontal="general" vertical="top" wrapText="1"/>
    </xf>
    <xf numFmtId="0" fontId="278" fillId="5" borderId="1" applyAlignment="1" pivotButton="0" quotePrefix="0" xfId="0">
      <alignment horizontal="general" vertical="top" wrapText="1"/>
    </xf>
    <xf numFmtId="0" fontId="279" fillId="5" borderId="1" applyAlignment="1" pivotButton="0" quotePrefix="0" xfId="0">
      <alignment horizontal="general" vertical="top" wrapText="1"/>
    </xf>
    <xf numFmtId="0" fontId="280" fillId="5" borderId="1" applyAlignment="1" pivotButton="0" quotePrefix="0" xfId="0">
      <alignment horizontal="general" vertical="top" wrapText="1"/>
    </xf>
    <xf numFmtId="0" fontId="281" fillId="5" borderId="1" applyAlignment="1" pivotButton="0" quotePrefix="0" xfId="0">
      <alignment horizontal="general" vertical="center" wrapText="1"/>
    </xf>
    <xf numFmtId="0" fontId="282" fillId="0" borderId="1" applyAlignment="1" pivotButton="0" quotePrefix="0" xfId="0">
      <alignment horizontal="general" vertical="top" wrapText="1"/>
    </xf>
    <xf numFmtId="0" fontId="283" fillId="0" borderId="1" applyAlignment="1" pivotButton="0" quotePrefix="0" xfId="0">
      <alignment horizontal="general" vertical="top" wrapText="1"/>
    </xf>
    <xf numFmtId="0" fontId="284" fillId="0" borderId="1" applyAlignment="1" pivotButton="0" quotePrefix="0" xfId="0">
      <alignment horizontal="general" vertical="top" wrapText="1"/>
    </xf>
    <xf numFmtId="0" fontId="285" fillId="0" borderId="1" applyAlignment="1" pivotButton="0" quotePrefix="0" xfId="0">
      <alignment horizontal="general" vertical="top" wrapText="1"/>
    </xf>
    <xf numFmtId="0" fontId="286" fillId="0" borderId="1" applyAlignment="1" pivotButton="0" quotePrefix="0" xfId="0">
      <alignment horizontal="general" vertical="center" wrapText="1"/>
    </xf>
    <xf numFmtId="0" fontId="287" fillId="5" borderId="1" applyAlignment="1" pivotButton="0" quotePrefix="0" xfId="0">
      <alignment horizontal="general" vertical="top" wrapText="1"/>
    </xf>
    <xf numFmtId="0" fontId="288" fillId="5" borderId="1" applyAlignment="1" pivotButton="0" quotePrefix="0" xfId="0">
      <alignment horizontal="general" vertical="top" wrapText="1"/>
    </xf>
    <xf numFmtId="0" fontId="289" fillId="5" borderId="1" applyAlignment="1" pivotButton="0" quotePrefix="0" xfId="0">
      <alignment horizontal="general" vertical="top" wrapText="1"/>
    </xf>
    <xf numFmtId="0" fontId="290" fillId="5" borderId="1" applyAlignment="1" pivotButton="0" quotePrefix="0" xfId="0">
      <alignment horizontal="left" vertical="center" wrapText="1"/>
    </xf>
    <xf numFmtId="0" fontId="291" fillId="5" borderId="1" applyAlignment="1" pivotButton="0" quotePrefix="0" xfId="0">
      <alignment horizontal="general" vertical="center" wrapText="1"/>
    </xf>
    <xf numFmtId="0" fontId="292" fillId="0" borderId="1" applyAlignment="1" pivotButton="0" quotePrefix="0" xfId="0">
      <alignment horizontal="general" vertical="top" wrapText="1"/>
    </xf>
    <xf numFmtId="0" fontId="293" fillId="0" borderId="1" applyAlignment="1" pivotButton="0" quotePrefix="0" xfId="0">
      <alignment horizontal="general" vertical="top" wrapText="1"/>
    </xf>
    <xf numFmtId="0" fontId="294" fillId="0" borderId="1" applyAlignment="1" pivotButton="0" quotePrefix="0" xfId="0">
      <alignment horizontal="general" vertical="top" wrapText="1"/>
    </xf>
    <xf numFmtId="0" fontId="295" fillId="0" borderId="1" applyAlignment="1" pivotButton="0" quotePrefix="0" xfId="0">
      <alignment horizontal="general" vertical="top" wrapText="1"/>
    </xf>
    <xf numFmtId="0" fontId="296" fillId="0" borderId="1" applyAlignment="1" pivotButton="0" quotePrefix="0" xfId="0">
      <alignment horizontal="general" vertical="center" wrapText="1"/>
    </xf>
    <xf numFmtId="0" fontId="297" fillId="0" borderId="1" applyAlignment="1" pivotButton="0" quotePrefix="0" xfId="0">
      <alignment horizontal="center" vertical="center" wrapText="1"/>
    </xf>
    <xf numFmtId="0" fontId="298" fillId="5" borderId="1" applyAlignment="1" pivotButton="0" quotePrefix="0" xfId="0">
      <alignment horizontal="general" vertical="top" wrapText="1"/>
    </xf>
    <xf numFmtId="0" fontId="299" fillId="5" borderId="1" applyAlignment="1" pivotButton="0" quotePrefix="0" xfId="0">
      <alignment horizontal="general" vertical="top" wrapText="1"/>
    </xf>
    <xf numFmtId="0" fontId="300" fillId="5" borderId="1" applyAlignment="1" pivotButton="0" quotePrefix="0" xfId="0">
      <alignment horizontal="general" vertical="top" wrapText="1"/>
    </xf>
    <xf numFmtId="0" fontId="301" fillId="5" borderId="1" applyAlignment="1" pivotButton="0" quotePrefix="0" xfId="0">
      <alignment horizontal="general" vertical="top" wrapText="1"/>
    </xf>
    <xf numFmtId="0" fontId="302" fillId="5" borderId="1" applyAlignment="1" pivotButton="0" quotePrefix="0" xfId="0">
      <alignment horizontal="general" vertical="center" wrapText="1"/>
    </xf>
    <xf numFmtId="0" fontId="0" fillId="0" borderId="0" pivotButton="0" quotePrefix="0" xfId="0"/>
    <xf numFmtId="0" fontId="302" fillId="5" borderId="1" applyAlignment="1" pivotButton="0" quotePrefix="0" xfId="0">
      <alignment horizontal="center" vertical="center" wrapText="1"/>
    </xf>
    <xf numFmtId="0" fontId="302" fillId="0" borderId="1" applyAlignment="1" pivotButton="0" quotePrefix="0" xfId="0">
      <alignment horizontal="center" vertical="center" wrapText="1"/>
    </xf>
  </cellXfs>
  <cellStyles count="2">
    <cellStyle name="常规" xfId="0" builtinId="0"/>
    <cellStyle name="超链接" xfId="1" builtinId="8"/>
  </cellStyles>
  <dxfs count="1">
    <dxf>
      <fill>
        <patternFill>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BLAActionTracker" displayName="BLAActionTracker" ref="B1:P56" headerRowCount="1" totalsRowShown="0">
  <autoFilter ref="B1:P56"/>
  <tableColumns count="15">
    <tableColumn id="1" name="Category" totalsRowFunction="custom"/>
    <tableColumn id="2" name="Action Item" totalsRowFunction="custom"/>
    <tableColumn id="3" name="Implementation Timing" totalsRowFunction="custom"/>
    <tableColumn id="4" name="Implementation Effort" totalsRowFunction="custom"/>
    <tableColumn id="5" name="Proposed target completion date" totalsRowFunction="custom"/>
    <tableColumn id="6" name="Existing approach" totalsRowFunction="custom"/>
    <tableColumn id="7" name="Action Plan" totalsRowFunction="custom"/>
    <tableColumn id="8" name="Questions" totalsRowFunction="custom"/>
    <tableColumn id="9" name="Scope" totalsRowFunction="custom"/>
    <tableColumn id="10" name="Status" totalsRowFunction="custom"/>
    <tableColumn id="11" name="Notes" totalsRowFunction="custom"/>
    <tableColumn id="12" name="Lead Owner" totalsRowFunction="custom"/>
    <tableColumn id="13" name="QA Contact" totalsRowFunction="custom"/>
    <tableColumn id="14" name="Completion Date" totalsRowFunction="custom"/>
    <tableColumn id="15" name="Asymchem Internal Category"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P200"/>
  <sheetViews>
    <sheetView showGridLines="0" tabSelected="1" zoomScale="55" zoomScaleNormal="55" workbookViewId="0">
      <pane ySplit="1" topLeftCell="A2" activePane="bottomRight" state="frozen"/>
      <selection activeCell="A1" sqref="A1"/>
    </sheetView>
  </sheetViews>
  <sheetFormatPr baseColWidth="10" defaultColWidth="9" defaultRowHeight="14.0025" customHeight="1"/>
  <cols>
    <col hidden="1" width="12.9990234375" customWidth="1" style="5" min="1" max="1"/>
    <col width="10.5" customWidth="1" style="5" min="2" max="2"/>
    <col width="85.998046875" customWidth="1" style="5" min="3" max="3"/>
    <col width="13.6640625" customWidth="1" style="5" min="4" max="4"/>
    <col width="16.5" customWidth="1" style="5" min="5" max="5"/>
    <col width="19.8310546875" customWidth="1" style="263" min="6" max="6"/>
    <col width="31.6640625" customWidth="1" style="263" min="7" max="7"/>
    <col width="33" customWidth="1" style="263" min="8" max="8"/>
    <col width="25.6640625" customWidth="1" style="263" min="9" max="9"/>
    <col width="12.2900390625" customWidth="1" style="263" min="10" max="10"/>
    <col width="13.623046875" customWidth="1" style="5" min="11" max="11"/>
    <col width="41.4990234375" customWidth="1" style="5" min="12" max="12"/>
    <col width="20.8330078125" customWidth="1" style="249" min="13" max="13"/>
    <col width="15.3310546875" customWidth="1" style="249" min="14" max="14"/>
    <col width="16.8310546875" customWidth="1" style="7" min="15" max="15"/>
    <col width="13.6640625" customWidth="1" style="7" min="16" max="16"/>
  </cols>
  <sheetData>
    <row r="1" ht="59.5" customHeight="1" s="557">
      <c r="A1" s="269" t="inlineStr">
        <is>
          <t>Number</t>
        </is>
      </c>
      <c r="B1" s="270" t="inlineStr">
        <is>
          <t>Category</t>
        </is>
      </c>
      <c r="C1" s="271" t="inlineStr">
        <is>
          <t>Action Item</t>
        </is>
      </c>
      <c r="D1" s="272" t="inlineStr">
        <is>
          <t>Implementation Timing</t>
        </is>
      </c>
      <c r="E1" s="273" t="inlineStr">
        <is>
          <t>Implementation Effort</t>
        </is>
      </c>
      <c r="F1" s="8" t="inlineStr">
        <is>
          <t>Proposed target completion date</t>
        </is>
      </c>
      <c r="G1" s="8" t="inlineStr">
        <is>
          <t>Existing approach</t>
        </is>
      </c>
      <c r="H1" s="8" t="inlineStr">
        <is>
          <t>Action Plan</t>
        </is>
      </c>
      <c r="I1" s="8" t="inlineStr">
        <is>
          <t>Questions</t>
        </is>
      </c>
      <c r="J1" s="274" t="inlineStr">
        <is>
          <t>Scope</t>
        </is>
      </c>
      <c r="K1" s="275" t="inlineStr">
        <is>
          <t>Status</t>
        </is>
      </c>
      <c r="L1" s="276" t="inlineStr">
        <is>
          <t>Notes</t>
        </is>
      </c>
      <c r="M1" s="9" t="inlineStr">
        <is>
          <t>Lead Owner</t>
        </is>
      </c>
      <c r="N1" s="9" t="inlineStr">
        <is>
          <t>QA Contact</t>
        </is>
      </c>
      <c r="O1" s="9" t="inlineStr">
        <is>
          <t>Completion Date</t>
        </is>
      </c>
      <c r="P1" s="9" t="inlineStr">
        <is>
          <t>Asymchem Internal Category</t>
        </is>
      </c>
    </row>
    <row r="2" ht="142" customHeight="1" s="557">
      <c r="A2" s="11" t="n">
        <v>1</v>
      </c>
      <c r="B2" s="277" t="inlineStr">
        <is>
          <t>BLA/technical</t>
        </is>
      </c>
      <c r="C2" s="278" t="inlineStr">
        <is>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t>
        </is>
      </c>
      <c r="D2" s="279" t="inlineStr">
        <is>
          <t>Prior to Pre-PPQ</t>
        </is>
      </c>
      <c r="E2" s="280" t="inlineStr">
        <is>
          <t>High &gt; 1 month</t>
        </is>
      </c>
      <c r="F2" s="281" t="inlineStr">
        <is>
          <t>step1: 10/03/2026
step2: 10/20/2026
step3A: 11/09/2026
step3B: 11/28/2026</t>
        </is>
      </c>
      <c r="G2" s="264" t="n"/>
      <c r="H2" s="264" t="n"/>
      <c r="I2" s="264" t="n"/>
      <c r="J2" s="282" t="inlineStr">
        <is>
          <t>All Steps</t>
        </is>
      </c>
      <c r="K2" s="266" t="inlineStr">
        <is>
          <t>Open</t>
        </is>
      </c>
      <c r="L2" s="283" t="inlineStr">
        <is>
          <t>The team feels we need to have confidence that Asymchem can adequately clean equipment prior making saleable GMP material</t>
        </is>
      </c>
      <c r="M2" s="558" t="inlineStr">
        <is>
          <t>Production / Yanlong Li</t>
        </is>
      </c>
      <c r="N2" s="558" t="inlineStr">
        <is>
          <t>QA / Weijiang Liu</t>
        </is>
      </c>
      <c r="O2" s="17" t="n"/>
      <c r="P2" s="558" t="inlineStr">
        <is>
          <t>Cleaning</t>
        </is>
      </c>
    </row>
    <row r="3" ht="43" customHeight="1" s="557">
      <c r="A3" s="18" t="n">
        <v>2</v>
      </c>
      <c r="B3" s="284" t="inlineStr">
        <is>
          <t>Technical</t>
        </is>
      </c>
      <c r="C3" s="285" t="inlineStr">
        <is>
          <t>Install or verify nameplate on rupture disk</t>
        </is>
      </c>
      <c r="D3" s="286" t="inlineStr">
        <is>
          <t>Prior to Demo</t>
        </is>
      </c>
      <c r="E3" s="287" t="inlineStr">
        <is>
          <t>Low &lt; 1 week</t>
        </is>
      </c>
      <c r="F3" s="265" t="inlineStr">
        <is>
          <t>Has been completed.</t>
        </is>
      </c>
      <c r="G3" s="265" t="inlineStr">
        <is>
          <t>N/A</t>
        </is>
      </c>
      <c r="H3" s="265" t="inlineStr">
        <is>
          <t>N/A</t>
        </is>
      </c>
      <c r="I3" s="265" t="inlineStr">
        <is>
          <t>N/A</t>
        </is>
      </c>
      <c r="J3" s="288" t="inlineStr">
        <is>
          <t>Purification</t>
        </is>
      </c>
      <c r="K3" s="267" t="inlineStr">
        <is>
          <t>Completed</t>
        </is>
      </c>
      <c r="L3" s="248" t="n"/>
      <c r="M3" s="559" t="inlineStr">
        <is>
          <t>Production / Yanlong Li</t>
        </is>
      </c>
      <c r="N3" s="559" t="inlineStr">
        <is>
          <t>N/A</t>
        </is>
      </c>
      <c r="P3" s="559" t="inlineStr">
        <is>
          <t>Other</t>
        </is>
      </c>
    </row>
    <row r="4" ht="43" customHeight="1" s="557">
      <c r="A4" s="18" t="n">
        <v>3</v>
      </c>
      <c r="B4" s="289" t="inlineStr">
        <is>
          <t>Technical</t>
        </is>
      </c>
      <c r="C4" s="290" t="inlineStr">
        <is>
          <t>Confirm inlet line sizing meets the 200 L/h process requirement</t>
        </is>
      </c>
      <c r="D4" s="291" t="inlineStr">
        <is>
          <t>Prior to Demo</t>
        </is>
      </c>
      <c r="E4" s="292" t="inlineStr">
        <is>
          <t>Low &lt; 1 week</t>
        </is>
      </c>
      <c r="F4" s="262" t="n">
        <v>46295</v>
      </c>
      <c r="G4" s="264" t="inlineStr">
        <is>
          <t>N/A</t>
        </is>
      </c>
      <c r="H4" s="264" t="inlineStr">
        <is>
          <t>Theoretical calculation by IEPE; on-site testing.</t>
        </is>
      </c>
      <c r="I4" s="264" t="inlineStr">
        <is>
          <t>N/A</t>
        </is>
      </c>
      <c r="J4" s="293" t="inlineStr">
        <is>
          <t>Purification</t>
        </is>
      </c>
      <c r="K4" s="266" t="inlineStr">
        <is>
          <t>Open</t>
        </is>
      </c>
      <c r="L4" s="253" t="n"/>
      <c r="M4" s="558" t="inlineStr">
        <is>
          <t>Production / Linchong Liu</t>
        </is>
      </c>
      <c r="N4" s="558" t="inlineStr">
        <is>
          <t>N/A</t>
        </is>
      </c>
      <c r="O4" s="17" t="n"/>
      <c r="P4" s="558" t="inlineStr">
        <is>
          <t>Other</t>
        </is>
      </c>
    </row>
    <row r="5" ht="191.5" customHeight="1" s="557">
      <c r="A5" s="18" t="n">
        <v>4</v>
      </c>
      <c r="B5" s="202" t="inlineStr">
        <is>
          <t>BLA</t>
        </is>
      </c>
      <c r="C5" s="294" t="inlineStr">
        <is>
          <t>During field walkthroughs several lines visual appeard slopped in undesired location. Confirm all lines are sloped (including flexible hoses) to appropriate low points with proper drain point.</t>
        </is>
      </c>
      <c r="D5" s="295" t="inlineStr">
        <is>
          <t>Prior to Pre-PPQ</t>
        </is>
      </c>
      <c r="E5" s="296" t="inlineStr">
        <is>
          <t>Med &gt; 1 week &lt; 1 Month</t>
        </is>
      </c>
      <c r="F5" s="297" t="inlineStr">
        <is>
          <t>step1:
step2:
step3A:
step3B:</t>
        </is>
      </c>
      <c r="G5" s="24" t="inlineStr">
        <is>
          <t>Modification and installation of the C3 and C4 lines are complete, and slope verification is in progress. The C1 and C2 lines were previously assessed as having no slope requirement, and only drain points were provided; the slope requirement needs to be re-discussed and confirmed.</t>
        </is>
      </c>
      <c r="H5" s="24" t="inlineStr">
        <is>
          <t>Assess and inspect each process step and each line individually.</t>
        </is>
      </c>
      <c r="I5" s="24" t="inlineStr">
        <is>
          <t>The requirement for the C1 and C2 lines is drainability, with no specific slope requirement. How should the slope be confirmed?</t>
        </is>
      </c>
      <c r="J5" s="298" t="inlineStr">
        <is>
          <t>All Steps</t>
        </is>
      </c>
      <c r="K5" s="267" t="inlineStr">
        <is>
          <t>Open</t>
        </is>
      </c>
      <c r="L5" s="248" t="n"/>
      <c r="M5" s="559" t="inlineStr">
        <is>
          <t>Engineering / Hongjie Guo
Production / Junfeng Zhang</t>
        </is>
      </c>
      <c r="N5" s="559" t="inlineStr">
        <is>
          <t>QA / Meijia Liu</t>
        </is>
      </c>
      <c r="P5" s="559" t="inlineStr">
        <is>
          <t>Equipment modification</t>
        </is>
      </c>
    </row>
    <row r="6" ht="76" customHeight="1" s="557">
      <c r="A6" s="18" t="n">
        <v>5</v>
      </c>
      <c r="B6" s="300" t="inlineStr">
        <is>
          <t>Technical</t>
        </is>
      </c>
      <c r="C6" s="251" t="inlineStr">
        <is>
          <t>Missing sight-glass lights</t>
        </is>
      </c>
      <c r="D6" s="301" t="inlineStr">
        <is>
          <t>Post PPQ</t>
        </is>
      </c>
      <c r="E6" s="302" t="inlineStr">
        <is>
          <t>Med &gt; 1 week &lt; 1 Month</t>
        </is>
      </c>
      <c r="F6" s="25" t="inlineStr">
        <is>
          <t>11/30/2026</t>
        </is>
      </c>
      <c r="G6" s="25" t="inlineStr">
        <is>
          <t>The entire equipment train is being reviewed; any missing sight-glass lights will be procured.</t>
        </is>
      </c>
      <c r="H6" s="25" t="inlineStr">
        <is>
          <t>An inspection checklist is being established.</t>
        </is>
      </c>
      <c r="I6" s="25" t="inlineStr">
        <is>
          <t>N/A</t>
        </is>
      </c>
      <c r="J6" s="303" t="inlineStr">
        <is>
          <t>All Steps</t>
        </is>
      </c>
      <c r="K6" s="268" t="inlineStr">
        <is>
          <t>Open</t>
        </is>
      </c>
      <c r="L6" s="304" t="inlineStr">
        <is>
          <t>Interim measure recommended to use flashlights through sight glasses to perform visual inspections</t>
        </is>
      </c>
      <c r="M6" s="558" t="inlineStr">
        <is>
          <t>Engineering / Hongjie Guo</t>
        </is>
      </c>
      <c r="N6" s="558" t="inlineStr">
        <is>
          <t>N/A</t>
        </is>
      </c>
      <c r="O6" s="17" t="n"/>
      <c r="P6" s="558" t="inlineStr">
        <is>
          <t>Equipment modification</t>
        </is>
      </c>
    </row>
    <row r="7" ht="76" customHeight="1" s="557">
      <c r="A7" s="18" t="n">
        <v>6</v>
      </c>
      <c r="B7" s="305" t="inlineStr">
        <is>
          <t>Technical</t>
        </is>
      </c>
      <c r="C7" s="306" t="inlineStr">
        <is>
          <t>Review HCl charging dip-tube arrangement and confirm material of construction</t>
        </is>
      </c>
      <c r="D7" s="307" t="inlineStr">
        <is>
          <t>Prior to Demo</t>
        </is>
      </c>
      <c r="E7" s="308" t="inlineStr">
        <is>
          <t>Low &lt; 1 week</t>
        </is>
      </c>
      <c r="F7" s="24" t="inlineStr">
        <is>
          <t>10/01/2026</t>
        </is>
      </c>
      <c r="G7" s="24" t="inlineStr">
        <is>
          <t>N/A</t>
        </is>
      </c>
      <c r="H7" s="24" t="inlineStr">
        <is>
          <t>Provide the material-of-construction certificate and adjust the current dip-tube length.</t>
        </is>
      </c>
      <c r="I7" s="24" t="inlineStr">
        <is>
          <t>N/A</t>
        </is>
      </c>
      <c r="J7" s="309" t="inlineStr">
        <is>
          <t>Purification</t>
        </is>
      </c>
      <c r="K7" s="267" t="inlineStr">
        <is>
          <t>Open</t>
        </is>
      </c>
      <c r="L7" s="310" t="inlineStr">
        <is>
          <t>Source note suggests HC; confirm exact alloy/specification</t>
        </is>
      </c>
      <c r="M7" s="559" t="inlineStr">
        <is>
          <t>IEPE / Mingzhi Zheng
Production / Xingtao Fan</t>
        </is>
      </c>
      <c r="N7" s="559" t="inlineStr">
        <is>
          <t>QA / Qi Wang</t>
        </is>
      </c>
      <c r="P7" s="559" t="inlineStr">
        <is>
          <t>Equipment modification</t>
        </is>
      </c>
    </row>
    <row r="8" ht="43" customHeight="1" s="557">
      <c r="A8" s="18" t="n">
        <v>7</v>
      </c>
      <c r="B8" s="312" t="inlineStr">
        <is>
          <t>Technical</t>
        </is>
      </c>
      <c r="C8" s="313" t="inlineStr">
        <is>
          <t>Update MOR or SOP to require mobile-scale reading after the peristaltic pump empties the flexible connection</t>
        </is>
      </c>
      <c r="D8" s="314" t="inlineStr">
        <is>
          <t>Prior to Demo</t>
        </is>
      </c>
      <c r="E8" s="315" t="inlineStr">
        <is>
          <t>Low &lt; 1 week</t>
        </is>
      </c>
      <c r="F8" s="25" t="inlineStr">
        <is>
          <t>10/03/2026</t>
        </is>
      </c>
      <c r="G8" s="25" t="inlineStr">
        <is>
          <t>No detailed requirement in the MOR or SOP.</t>
        </is>
      </c>
      <c r="H8" s="25" t="inlineStr">
        <is>
          <t>Update the MOR to include the detailed requirement.</t>
        </is>
      </c>
      <c r="I8" s="25" t="n"/>
      <c r="J8" s="316" t="inlineStr">
        <is>
          <t>Purification</t>
        </is>
      </c>
      <c r="K8" s="266" t="inlineStr">
        <is>
          <t>Open</t>
        </is>
      </c>
      <c r="L8" s="317" t="inlineStr">
        <is>
          <t>Follow up with Peter to clarify this item</t>
        </is>
      </c>
      <c r="M8" s="558" t="inlineStr">
        <is>
          <t>Production / Yanlong Li</t>
        </is>
      </c>
      <c r="N8" s="558" t="inlineStr">
        <is>
          <t>QA / Qi Wang</t>
        </is>
      </c>
      <c r="O8" s="17" t="n"/>
      <c r="P8" s="558" t="inlineStr">
        <is>
          <t>Other</t>
        </is>
      </c>
    </row>
    <row r="9" ht="59.5" customHeight="1" s="557">
      <c r="A9" s="18" t="n">
        <v>8</v>
      </c>
      <c r="B9" s="318" t="inlineStr">
        <is>
          <t>Technical</t>
        </is>
      </c>
      <c r="C9" s="319" t="inlineStr">
        <is>
          <t>Observed waste header from process without check valves. Assess process piping connections for back flow risk and install check valves as necessary</t>
        </is>
      </c>
      <c r="D9" s="320" t="inlineStr">
        <is>
          <t>Prior to Pre-PPQ</t>
        </is>
      </c>
      <c r="E9" s="321" t="inlineStr">
        <is>
          <t>Med &gt; 1 week &lt; 1 Month</t>
        </is>
      </c>
      <c r="F9" s="24" t="inlineStr">
        <is>
          <t>11/03/2026</t>
        </is>
      </c>
      <c r="G9" s="24" t="n"/>
      <c r="H9" s="24" t="inlineStr">
        <is>
          <t>To be carried out together with the overall piping construction.</t>
        </is>
      </c>
      <c r="I9" s="24" t="n"/>
      <c r="J9" s="322" t="inlineStr">
        <is>
          <t>All Steps</t>
        </is>
      </c>
      <c r="K9" s="267" t="inlineStr">
        <is>
          <t>Open</t>
        </is>
      </c>
      <c r="L9" s="248" t="n"/>
      <c r="M9" s="559" t="inlineStr">
        <is>
          <t>Production / Yanlong Li</t>
        </is>
      </c>
      <c r="N9" s="559" t="inlineStr">
        <is>
          <t>N/A</t>
        </is>
      </c>
      <c r="P9" s="559" t="inlineStr">
        <is>
          <t>Other</t>
        </is>
      </c>
    </row>
    <row r="10" ht="109" customHeight="1" s="557">
      <c r="A10" s="11" t="n">
        <v>9</v>
      </c>
      <c r="B10" s="253" t="inlineStr">
        <is>
          <t>BLA</t>
        </is>
      </c>
      <c r="C10" s="323" t="inlineStr">
        <is>
          <t>CNC raw material staging area lacks appropriate controls. Evaluate options and implement  short term safeguards to reduce risk associated with the lack of a CNC material-flow buffer zone and differential-pressure interlock in Workshop 12</t>
        </is>
      </c>
      <c r="D10" s="324" t="inlineStr">
        <is>
          <t>Prior to Pre-PPQ</t>
        </is>
      </c>
      <c r="E10" s="325" t="inlineStr">
        <is>
          <t>Med &gt; 1 week &lt; 1 Month</t>
        </is>
      </c>
      <c r="F10" s="257" t="inlineStr">
        <is>
          <t>10/20/2026</t>
        </is>
      </c>
      <c r="G10" s="25" t="n"/>
      <c r="H10" s="25" t="inlineStr">
        <is>
          <t>Submit the change document to carry out renovation on the factory logistics passage. An airlock will be added before raw materials are transferred into the CNC area.</t>
        </is>
      </c>
      <c r="I10" s="25" t="inlineStr">
        <is>
          <t>Prior to Pre-PPQ for which specific step? Step 1 starts on 10/05/2026, so this timing cannot be met.</t>
        </is>
      </c>
      <c r="J10" s="326" t="inlineStr">
        <is>
          <t>All Steps</t>
        </is>
      </c>
      <c r="K10" s="266" t="inlineStr">
        <is>
          <t>Open</t>
        </is>
      </c>
      <c r="L10" s="253" t="n"/>
      <c r="M10" s="558" t="inlineStr">
        <is>
          <t>Engineering / Hongjie Guo
Production / Hui Ma</t>
        </is>
      </c>
      <c r="N10" s="558" t="inlineStr">
        <is>
          <t>QA / Meijia Liu</t>
        </is>
      </c>
      <c r="O10" s="17" t="n"/>
      <c r="P10" s="558" t="inlineStr">
        <is>
          <t>Material logistics corridor</t>
        </is>
      </c>
    </row>
    <row r="11" ht="76" customHeight="1" s="557">
      <c r="A11" s="18" t="n">
        <v>10</v>
      </c>
      <c r="B11" s="328" t="inlineStr">
        <is>
          <t>Technical</t>
        </is>
      </c>
      <c r="C11" s="329" t="inlineStr">
        <is>
          <t>Justify the one-month service life for dedicated PW hoses</t>
        </is>
      </c>
      <c r="D11" s="330" t="inlineStr">
        <is>
          <t>Post PPQ</t>
        </is>
      </c>
      <c r="E11" s="331" t="inlineStr">
        <is>
          <t>Low &lt; 1 week</t>
        </is>
      </c>
      <c r="F11" s="24" t="inlineStr">
        <is>
          <t>11/30/2026</t>
        </is>
      </c>
      <c r="G11" s="24" t="inlineStr">
        <is>
          <t>One-month service life for dedicated PW hoses.</t>
        </is>
      </c>
      <c r="H11" s="24" t="inlineStr">
        <is>
          <t>Perform a use/disinfection-period study on dedicated PW hoses and redefine their lifecycle.</t>
        </is>
      </c>
      <c r="I11" s="24" t="inlineStr">
        <is>
          <t>N/A</t>
        </is>
      </c>
      <c r="J11" s="332" t="inlineStr">
        <is>
          <t>All Steps</t>
        </is>
      </c>
      <c r="K11" s="267" t="inlineStr">
        <is>
          <t>Open</t>
        </is>
      </c>
      <c r="L11" s="333" t="inlineStr">
        <is>
          <t>Is 1 month replacement too conservative? Could lifetime be extended? What was basis for 1 month replacement frequency?</t>
        </is>
      </c>
      <c r="M11" s="559" t="inlineStr">
        <is>
          <t>Production / Chunpeng Hu</t>
        </is>
      </c>
      <c r="N11" s="559" t="inlineStr">
        <is>
          <t>QA / Xiong Xiong</t>
        </is>
      </c>
      <c r="P11" s="559" t="inlineStr">
        <is>
          <t>Purified water (PW)</t>
        </is>
      </c>
    </row>
    <row r="12" ht="59.5" customHeight="1" s="557">
      <c r="A12" s="18" t="n">
        <v>11</v>
      </c>
      <c r="B12" s="334" t="inlineStr">
        <is>
          <t>BLA/technical</t>
        </is>
      </c>
      <c r="C12" s="335" t="inlineStr">
        <is>
          <t>Review lifecycle management for dedicated product contact and solvent hoses. Recommend visual inspection of hoses with some frequency regardless of campaign length.</t>
        </is>
      </c>
      <c r="D12" s="336" t="inlineStr">
        <is>
          <t>Prior to Pre-PPQ</t>
        </is>
      </c>
      <c r="E12" s="337" t="inlineStr">
        <is>
          <t>Low &lt; 1 week</t>
        </is>
      </c>
      <c r="F12" s="25" t="inlineStr">
        <is>
          <t>11/30/2026</t>
        </is>
      </c>
      <c r="G12" s="25" t="inlineStr">
        <is>
          <t>N/A</t>
        </is>
      </c>
      <c r="H12" s="25" t="inlineStr">
        <is>
          <t>Revise the SOP to define the corresponding requirements.</t>
        </is>
      </c>
      <c r="I12" s="25" t="inlineStr">
        <is>
          <t>N/A</t>
        </is>
      </c>
      <c r="J12" s="338" t="inlineStr">
        <is>
          <t>All Steps</t>
        </is>
      </c>
      <c r="K12" s="266" t="inlineStr">
        <is>
          <t>Open</t>
        </is>
      </c>
      <c r="L12" s="253" t="n"/>
      <c r="M12" s="558" t="inlineStr">
        <is>
          <t>Production / Kai Liu</t>
        </is>
      </c>
      <c r="N12" s="558" t="inlineStr">
        <is>
          <t>QA / Xiong Xiong</t>
        </is>
      </c>
      <c r="O12" s="17" t="n"/>
      <c r="P12" s="558" t="inlineStr">
        <is>
          <t>Cleaning</t>
        </is>
      </c>
    </row>
    <row r="13" ht="76" customHeight="1" s="557">
      <c r="A13" s="18" t="n">
        <v>12</v>
      </c>
      <c r="B13" s="339" t="inlineStr">
        <is>
          <t>BLA/technical</t>
        </is>
      </c>
      <c r="C13" s="340" t="inlineStr">
        <is>
          <t>Review pre-use cleaning for solvent transfer and process-solution transfer hoses. Current practice to rinse new product contact hoses with methanol followed by water and dry with nitrogen after 1st installation. Recommend using process solvent in place of water and methanol.</t>
        </is>
      </c>
      <c r="D13" s="341" t="inlineStr">
        <is>
          <t>Prior to Demo</t>
        </is>
      </c>
      <c r="E13" s="342" t="inlineStr">
        <is>
          <t>Med &gt; 1 week &lt; 1 Month</t>
        </is>
      </c>
      <c r="F13" s="258" t="inlineStr">
        <is>
          <t>To be confirmed by Linchong Liu</t>
        </is>
      </c>
      <c r="G13" s="24" t="n"/>
      <c r="H13" s="24" t="inlineStr">
        <is>
          <t>Before Step 3 Demo production, perform one rinse with process solvent and document it in the corresponding record.</t>
        </is>
      </c>
      <c r="I13" s="24" t="inlineStr">
        <is>
          <t>N/A</t>
        </is>
      </c>
      <c r="J13" s="343" t="inlineStr">
        <is>
          <t>All Steps</t>
        </is>
      </c>
      <c r="K13" s="267" t="inlineStr">
        <is>
          <t>Open</t>
        </is>
      </c>
      <c r="L13" s="344" t="inlineStr">
        <is>
          <t>Prevent contamination of demo batch that could impact representativeness.</t>
        </is>
      </c>
      <c r="M13" s="559" t="inlineStr">
        <is>
          <t>Production / Yanlong Li
Linchong Liu</t>
        </is>
      </c>
      <c r="N13" s="559" t="inlineStr">
        <is>
          <t>QA / Weijiang Liu</t>
        </is>
      </c>
      <c r="P13" s="559" t="inlineStr">
        <is>
          <t>Cleaning</t>
        </is>
      </c>
    </row>
    <row r="14" ht="76" customHeight="1" s="557">
      <c r="A14" s="18" t="n">
        <v>13</v>
      </c>
      <c r="B14" s="253" t="inlineStr">
        <is>
          <t>BLA</t>
        </is>
      </c>
      <c r="C14" s="346" t="inlineStr">
        <is>
          <t>Curently site uses corrugated hoses for process and solvent transers. Upgrade to smooth-bore internal design, considering Pharmaline N hoses.</t>
        </is>
      </c>
      <c r="D14" s="347" t="inlineStr">
        <is>
          <t>Prior to Pre-PPQ</t>
        </is>
      </c>
      <c r="E14" s="348" t="inlineStr">
        <is>
          <t>Med &gt; 1 week &lt; 1 Month</t>
        </is>
      </c>
      <c r="F14" s="349" t="inlineStr">
        <is>
          <t>Domestic: 3 weeks
Imported: 2 months</t>
        </is>
      </c>
      <c r="G14" s="25" t="inlineStr">
        <is>
          <t>Platinum-cured silicone hoses are used.</t>
        </is>
      </c>
      <c r="H14" s="25" t="inlineStr">
        <is>
          <t>Replacement is planned.</t>
        </is>
      </c>
      <c r="I14" s="25" t="inlineStr">
        <is>
          <t>Confirm whether domestic hoses meet the requirements.</t>
        </is>
      </c>
      <c r="J14" s="350" t="inlineStr">
        <is>
          <t>All Steps</t>
        </is>
      </c>
      <c r="K14" s="266" t="inlineStr">
        <is>
          <t>Open</t>
        </is>
      </c>
      <c r="L14" s="351" t="inlineStr">
        <is>
          <t>Effort is dependent on lead time for new hoses</t>
        </is>
      </c>
      <c r="M14" s="558" t="inlineStr">
        <is>
          <t>Production / Yanlong Li</t>
        </is>
      </c>
      <c r="N14" s="558" t="inlineStr">
        <is>
          <t>QA / Zhiqiang Sun</t>
        </is>
      </c>
      <c r="O14" s="17" t="n"/>
      <c r="P14" s="558" t="inlineStr">
        <is>
          <t>Other</t>
        </is>
      </c>
    </row>
    <row r="15" ht="92.5" customHeight="1" s="557">
      <c r="A15" s="18" t="n">
        <v>14</v>
      </c>
      <c r="B15" s="352" t="inlineStr">
        <is>
          <t>Impurity Investigation</t>
        </is>
      </c>
      <c r="C15" s="353" t="inlineStr">
        <is>
          <t>Review supplier options for reliable sourcing of DIPEA containing less than 50 ppm acetaldehyde</t>
        </is>
      </c>
      <c r="D15" s="354" t="inlineStr">
        <is>
          <t>Prior to Pre-PPQ</t>
        </is>
      </c>
      <c r="E15" s="355" t="inlineStr">
        <is>
          <t>Med &gt; 1 week &lt; 1 Month</t>
        </is>
      </c>
      <c r="F15" s="260" t="inlineStr">
        <is>
          <t>09/30/2026 (after confirmation of analytical methods)</t>
        </is>
      </c>
      <c r="G15" s="260" t="inlineStr">
        <is>
          <t>Supplier samples received. Preliminary testing passed (&lt; 50 ppm). Waiting for analytical method alignment for final release.</t>
        </is>
      </c>
      <c r="H15" s="260" t="inlineStr">
        <is>
          <t>Purchase (completed), then analyze.</t>
        </is>
      </c>
      <c r="I15" s="260" t="inlineStr">
        <is>
          <t>Analytical method TBD.</t>
        </is>
      </c>
      <c r="J15" s="265" t="inlineStr">
        <is>
          <t>SPPS</t>
        </is>
      </c>
      <c r="K15" s="267" t="inlineStr">
        <is>
          <t>In Progress</t>
        </is>
      </c>
      <c r="L15" s="248" t="n"/>
      <c r="M15" s="559" t="inlineStr">
        <is>
          <t>Project Team / Xinyi Zhu</t>
        </is>
      </c>
      <c r="N15" s="559" t="inlineStr">
        <is>
          <t>N/A</t>
        </is>
      </c>
      <c r="P15" s="559" t="inlineStr">
        <is>
          <t>DIPEA</t>
        </is>
      </c>
    </row>
    <row r="16" ht="92.5" customHeight="1" s="557">
      <c r="A16" s="18" t="n">
        <v>15</v>
      </c>
      <c r="B16" s="356" t="inlineStr">
        <is>
          <t>Impurity Investigation</t>
        </is>
      </c>
      <c r="C16" s="357" t="inlineStr">
        <is>
          <t>Complete evaluation of internal DIPEA processing options to further reduce acetaldehyde content</t>
        </is>
      </c>
      <c r="D16" s="358" t="inlineStr">
        <is>
          <t>Prior to Pre-PPQ</t>
        </is>
      </c>
      <c r="E16" s="359" t="inlineStr">
        <is>
          <t>Med &gt; 1 week &lt; 1 Month</t>
        </is>
      </c>
      <c r="F16" s="261" t="inlineStr">
        <is>
          <t>N/A</t>
        </is>
      </c>
      <c r="G16" s="261" t="inlineStr">
        <is>
          <t>Lab-scale trials showed some effectiveness in reducing acetaldehyde.</t>
        </is>
      </c>
      <c r="H16" s="261" t="inlineStr">
        <is>
          <t>We will directly purchase the low-acetaldehyde DIPEA from the supplier; no further purification will be performed at Asymchem.</t>
        </is>
      </c>
      <c r="I16" s="261" t="inlineStr">
        <is>
          <t>N/A</t>
        </is>
      </c>
      <c r="J16" s="264" t="inlineStr">
        <is>
          <t>SPPS</t>
        </is>
      </c>
      <c r="K16" s="266" t="inlineStr">
        <is>
          <t>Completed</t>
        </is>
      </c>
      <c r="L16" s="253" t="n"/>
      <c r="M16" s="558" t="inlineStr">
        <is>
          <t>Project Team / Xinyi Zhu</t>
        </is>
      </c>
      <c r="N16" s="558" t="inlineStr">
        <is>
          <t>N/A</t>
        </is>
      </c>
      <c r="O16" s="17" t="n"/>
      <c r="P16" s="558" t="inlineStr">
        <is>
          <t>DIPEA</t>
        </is>
      </c>
    </row>
    <row r="17" ht="224.5" customHeight="1" s="557">
      <c r="A17" s="18" t="n">
        <v>16</v>
      </c>
      <c r="B17" s="360" t="inlineStr">
        <is>
          <t>Impurity Investigation</t>
        </is>
      </c>
      <c r="C17" s="361" t="inlineStr">
        <is>
          <t>Evaluate options to reduce DIPEA exposure time during washing steps (such as larger DIPEA containers and/or addition of a larger dedicated makeup tank)</t>
        </is>
      </c>
      <c r="D17" s="362" t="inlineStr">
        <is>
          <t>Prior to Pre-PPQ</t>
        </is>
      </c>
      <c r="E17" s="363" t="inlineStr">
        <is>
          <t>Low &lt; 1 week</t>
        </is>
      </c>
      <c r="F17" s="260" t="inlineStr">
        <is>
          <t>N/A</t>
        </is>
      </c>
      <c r="G17" s="260" t="inlineStr">
        <is>
          <t>i) Experimental results show that a long washing time does not cause DIPEA decomposition. ii) Compared with the RS batch, the main difference in exposure time came from the smaller DIPEA packages used in the RS batch; frequent container changes extended the operation time. Larger DIPEA containers (200 L) will be used to reduce DIPEA exposure time.</t>
        </is>
      </c>
      <c r="H17" s="260" t="inlineStr">
        <is>
          <t>The DIPEA package will be changed to larger drums.</t>
        </is>
      </c>
      <c r="I17" s="260" t="inlineStr">
        <is>
          <t>N/A</t>
        </is>
      </c>
      <c r="J17" s="265" t="inlineStr">
        <is>
          <t>SPPS</t>
        </is>
      </c>
      <c r="K17" s="267" t="inlineStr">
        <is>
          <t>Completed</t>
        </is>
      </c>
      <c r="L17" s="248" t="n"/>
      <c r="M17" s="559" t="inlineStr">
        <is>
          <t>Project Team / Xinyi Zhu</t>
        </is>
      </c>
      <c r="N17" s="559" t="inlineStr">
        <is>
          <t>N/A</t>
        </is>
      </c>
      <c r="P17" s="559" t="inlineStr">
        <is>
          <t>DIPEA</t>
        </is>
      </c>
    </row>
    <row r="18" ht="92.5" customHeight="1" s="557">
      <c r="A18" s="18" t="n">
        <v>17</v>
      </c>
      <c r="B18" s="364" t="inlineStr">
        <is>
          <t>Impurity Investigation</t>
        </is>
      </c>
      <c r="C18" s="365" t="inlineStr">
        <is>
          <t>Evaluate feasability to increase nitrogen sparge rates for SC coupling to reduce HCN concentration. Confirm equipment limitations and establish the qualified operating envelope for higher nitrogen sparging rates</t>
        </is>
      </c>
      <c r="D18" s="366" t="inlineStr">
        <is>
          <t>Prior to Pre-PPQ</t>
        </is>
      </c>
      <c r="E18" s="367" t="inlineStr">
        <is>
          <t>Low &lt; 1 week</t>
        </is>
      </c>
      <c r="F18" s="261" t="inlineStr">
        <is>
          <t>N/A</t>
        </is>
      </c>
      <c r="G18" s="261" t="inlineStr">
        <is>
          <t>17 m³/h has been proven effective for HCN removal at the 22 kg batch scale, and the flow rate can be adjusted up to 30 m³/h.</t>
        </is>
      </c>
      <c r="H18" s="261" t="inlineStr">
        <is>
          <t>Relevant documents will be updated accordingly.</t>
        </is>
      </c>
      <c r="I18" s="261" t="inlineStr">
        <is>
          <t>N/A</t>
        </is>
      </c>
      <c r="J18" s="264" t="inlineStr">
        <is>
          <t>SPPS</t>
        </is>
      </c>
      <c r="K18" s="266" t="inlineStr">
        <is>
          <t>Completed</t>
        </is>
      </c>
      <c r="L18" s="368" t="inlineStr">
        <is>
          <t>Current equipment reportedly supports up to ~40 m³/h; current operating limit ~20 m³/h</t>
        </is>
      </c>
      <c r="M18" s="558" t="inlineStr">
        <is>
          <t>Project Team / Xinyi Zhu</t>
        </is>
      </c>
      <c r="N18" s="558" t="inlineStr">
        <is>
          <t>N/A</t>
        </is>
      </c>
      <c r="O18" s="17" t="n"/>
      <c r="P18" s="558" t="inlineStr">
        <is>
          <t>DIPEA</t>
        </is>
      </c>
    </row>
    <row r="19" ht="59.5" customHeight="1" s="557">
      <c r="A19" s="18" t="n">
        <v>18</v>
      </c>
      <c r="B19" s="369" t="inlineStr">
        <is>
          <t>Impurity Investigation</t>
        </is>
      </c>
      <c r="C19" s="370" t="inlineStr">
        <is>
          <t>Assess feasibility and effectiveness of nitrogen sweep operation during SC coupling to reduce HCN concentration.</t>
        </is>
      </c>
      <c r="D19" s="371" t="inlineStr">
        <is>
          <t>Prior to Pre-PPQ</t>
        </is>
      </c>
      <c r="E19" s="372" t="inlineStr">
        <is>
          <t>Low &lt; 1 week</t>
        </is>
      </c>
      <c r="F19" s="260" t="inlineStr">
        <is>
          <t>N/A</t>
        </is>
      </c>
      <c r="G19" s="260" t="inlineStr">
        <is>
          <t>Agreement has been reached that sweeping/vacuum is not recommended.</t>
        </is>
      </c>
      <c r="H19" s="260" t="inlineStr">
        <is>
          <t>N/A</t>
        </is>
      </c>
      <c r="I19" s="260" t="inlineStr">
        <is>
          <t>N/A</t>
        </is>
      </c>
      <c r="J19" s="265" t="inlineStr">
        <is>
          <t>SPPS</t>
        </is>
      </c>
      <c r="K19" s="267" t="inlineStr">
        <is>
          <t>Completed</t>
        </is>
      </c>
      <c r="L19" s="248" t="n"/>
      <c r="M19" s="559" t="inlineStr">
        <is>
          <t>Project Team / Xinyi Zhu</t>
        </is>
      </c>
      <c r="N19" s="559" t="inlineStr">
        <is>
          <t>N/A</t>
        </is>
      </c>
      <c r="P19" s="559" t="inlineStr">
        <is>
          <t>DIPEA</t>
        </is>
      </c>
    </row>
    <row r="20" ht="142" customHeight="1" s="557">
      <c r="A20" s="18" t="n">
        <v>19</v>
      </c>
      <c r="B20" s="373" t="inlineStr">
        <is>
          <t>Impurity Investigation</t>
        </is>
      </c>
      <c r="C20" s="374" t="inlineStr">
        <is>
          <t>Complete planned passivation of GG917 and LAARA process lines. Confirm there are not similar gaps on cleavage and purification process lines for GG917 steps.</t>
        </is>
      </c>
      <c r="D20" s="375" t="inlineStr">
        <is>
          <t>Prior to Pre-PPQ</t>
        </is>
      </c>
      <c r="E20" s="376" t="inlineStr">
        <is>
          <t>Low &lt; 1 week</t>
        </is>
      </c>
      <c r="F20" s="25" t="inlineStr">
        <is>
          <t>For details, refer to the Notes for each project.</t>
        </is>
      </c>
      <c r="G20" s="25" t="inlineStr">
        <is>
          <t>No passivation on the inner surface of process lines.</t>
        </is>
      </c>
      <c r="H20" s="25" t="inlineStr">
        <is>
          <t>Perform passivation of GG917 and LAARA process lines.</t>
        </is>
      </c>
      <c r="I20" s="25" t="n"/>
      <c r="J20" s="377" t="inlineStr">
        <is>
          <t>All Steps</t>
        </is>
      </c>
      <c r="K20" s="266" t="inlineStr">
        <is>
          <t>Open</t>
        </is>
      </c>
      <c r="L20" s="378" t="inlineStr">
        <is>
          <t>L1 Step 1 Completed; Step 2: 09/29/2026
L2 Step 1 Completed; Step 2: 09/29/2026
L3 Step 1 Completed; Step 2: 09/29/2026; Step 3: 10/07/2026
GG917 Step 1 Completed; Step 2: 10/02/2026; Step 3: Completed</t>
        </is>
      </c>
      <c r="M20" s="558" t="inlineStr">
        <is>
          <t>Production / Zhongyao Zhang, Fan Wang</t>
        </is>
      </c>
      <c r="N20" s="558" t="inlineStr">
        <is>
          <t>QA / Mingyang Yang</t>
        </is>
      </c>
      <c r="O20" s="17" t="n"/>
      <c r="P20" s="558" t="inlineStr">
        <is>
          <t>Passivation</t>
        </is>
      </c>
    </row>
    <row r="21" ht="109" customHeight="1" s="557">
      <c r="A21" s="18" t="n">
        <v>20</v>
      </c>
      <c r="B21" s="379" t="inlineStr">
        <is>
          <t>Impurity Investigation</t>
        </is>
      </c>
      <c r="C21" s="380" t="inlineStr">
        <is>
          <t>Provide a remediation plan and timeline for passivation of all bulk solvent tanks and headers</t>
        </is>
      </c>
      <c r="D21" s="381" t="inlineStr">
        <is>
          <t>Prior to Pre-PPQ</t>
        </is>
      </c>
      <c r="E21" s="382" t="inlineStr">
        <is>
          <t>High &gt; 1 month</t>
        </is>
      </c>
      <c r="F21" s="27" t="n">
        <v>46435</v>
      </c>
      <c r="G21" s="260" t="inlineStr">
        <is>
          <t>The Phase I tank farm will not be passivated for now; metal-ion testing is performed instead.</t>
        </is>
      </c>
      <c r="H21" s="260" t="inlineStr">
        <is>
          <t>After the Phase II tank farm is handed over, its lines and tanks will be passivated, and all subsequent projects will use solvents from the Phase II tank farm.</t>
        </is>
      </c>
      <c r="I21" s="260" t="inlineStr">
        <is>
          <t>None</t>
        </is>
      </c>
      <c r="J21" s="383" t="inlineStr">
        <is>
          <t>All Steps</t>
        </is>
      </c>
      <c r="K21" s="267" t="inlineStr">
        <is>
          <t>Open</t>
        </is>
      </c>
      <c r="L21" s="248" t="n"/>
      <c r="M21" s="559" t="inlineStr">
        <is>
          <t>Tank Farm / Wenyi Zhang</t>
        </is>
      </c>
      <c r="N21" s="559" t="inlineStr">
        <is>
          <t>QA / Meijia Liu</t>
        </is>
      </c>
      <c r="P21" s="559" t="inlineStr">
        <is>
          <t>Passivation</t>
        </is>
      </c>
    </row>
    <row r="22" ht="109" customHeight="1" s="557">
      <c r="A22" s="18" t="n">
        <v>21</v>
      </c>
      <c r="B22" s="384" t="inlineStr">
        <is>
          <t>Impurity Investigation</t>
        </is>
      </c>
      <c r="C22" s="385" t="inlineStr">
        <is>
          <t>Implement administrative controls for raw material receipt and transfer into CNC areas to minimize potential exposure to outdoor conditions.</t>
        </is>
      </c>
      <c r="D22" s="386" t="inlineStr">
        <is>
          <t>Prior to Pre-PPQ</t>
        </is>
      </c>
      <c r="E22" s="387" t="inlineStr">
        <is>
          <t>Med &gt; 1 week &lt; 1 Month</t>
        </is>
      </c>
      <c r="F22" s="25" t="inlineStr">
        <is>
          <t>10/20/2026</t>
        </is>
      </c>
      <c r="G22" s="25" t="inlineStr">
        <is>
          <t>There is an administrative requirement that, once material arrives at the production workshop, a dedicated operator must transfer it to the CNC area.</t>
        </is>
      </c>
      <c r="H22" s="25" t="inlineStr">
        <is>
          <t>Update the SOP to include detailed material lifecycle management to avoid gaps during material transfer.</t>
        </is>
      </c>
      <c r="I22" s="25" t="n"/>
      <c r="J22" s="388" t="inlineStr">
        <is>
          <t>All Steps</t>
        </is>
      </c>
      <c r="K22" s="266" t="inlineStr">
        <is>
          <t>Open</t>
        </is>
      </c>
      <c r="L22" s="253" t="n"/>
      <c r="M22" s="558" t="inlineStr">
        <is>
          <t>Production / Hui Ma</t>
        </is>
      </c>
      <c r="N22" s="558" t="inlineStr">
        <is>
          <t>QA / Zhiqiang Sun</t>
        </is>
      </c>
      <c r="O22" s="17" t="n"/>
      <c r="P22" s="558" t="inlineStr">
        <is>
          <t>Material logistics corridor</t>
        </is>
      </c>
    </row>
    <row r="23" ht="59.5" customHeight="1" s="557">
      <c r="A23" s="22" t="n">
        <v>22</v>
      </c>
      <c r="B23" s="248" t="inlineStr">
        <is>
          <t>BLA</t>
        </is>
      </c>
      <c r="C23" s="389" t="inlineStr">
        <is>
          <t>Define long-term facility modifications to provide an airlock or physical segregation for transer of raw materials into CNC area for stagging.</t>
        </is>
      </c>
      <c r="D23" s="390" t="inlineStr">
        <is>
          <t>Post PPQ</t>
        </is>
      </c>
      <c r="E23" s="391" t="inlineStr">
        <is>
          <t>High &gt; 1 month</t>
        </is>
      </c>
      <c r="F23" s="27" t="n">
        <v>46315</v>
      </c>
      <c r="G23" s="24" t="n"/>
      <c r="H23" s="24" t="inlineStr">
        <is>
          <t>Submit a change control to add a buffer room.</t>
        </is>
      </c>
      <c r="I23" s="24" t="n"/>
      <c r="J23" s="392" t="inlineStr">
        <is>
          <t>All Steps</t>
        </is>
      </c>
      <c r="K23" s="267" t="inlineStr">
        <is>
          <t>Open</t>
        </is>
      </c>
      <c r="L23" s="248" t="n"/>
      <c r="M23" s="559" t="inlineStr">
        <is>
          <t>Engineering / Hongjie Guo
Production / TBD</t>
        </is>
      </c>
      <c r="N23" s="559" t="inlineStr">
        <is>
          <t>QA / Meijia Liu</t>
        </is>
      </c>
      <c r="P23" s="559" t="inlineStr">
        <is>
          <t>Material logistics corridor</t>
        </is>
      </c>
    </row>
    <row r="24" ht="59.5" customHeight="1" s="557">
      <c r="A24" s="18" t="n">
        <v>23</v>
      </c>
      <c r="B24" s="253" t="inlineStr">
        <is>
          <t>BLA</t>
        </is>
      </c>
      <c r="C24" s="394" t="inlineStr">
        <is>
          <t>Complete review of the site multiproduct cross-contamination risk assessment and incorporate high level summary of risk and mitigations into the process specific CCS docments for each process steps</t>
        </is>
      </c>
      <c r="D24" s="395" t="inlineStr">
        <is>
          <t>Prior to Pre-PPQ</t>
        </is>
      </c>
      <c r="E24" s="396" t="inlineStr">
        <is>
          <t>Med &gt; 1 week &lt; 1 Month</t>
        </is>
      </c>
      <c r="F24" s="25" t="inlineStr">
        <is>
          <t>10/20/2026</t>
        </is>
      </c>
      <c r="G24" s="25" t="inlineStr">
        <is>
          <t>The CCS document lacks a detailed description.</t>
        </is>
      </c>
      <c r="H24" s="25" t="inlineStr">
        <is>
          <t>Add a detailed description to the CCS document.</t>
        </is>
      </c>
      <c r="I24" s="25" t="n"/>
      <c r="J24" s="397" t="inlineStr">
        <is>
          <t>All Steps</t>
        </is>
      </c>
      <c r="K24" s="266" t="inlineStr">
        <is>
          <t>Open</t>
        </is>
      </c>
      <c r="L24" s="253" t="n"/>
      <c r="M24" s="558" t="inlineStr">
        <is>
          <t>QA / Qi Wang</t>
        </is>
      </c>
      <c r="N24" s="221" t="n"/>
      <c r="O24" s="17" t="n"/>
      <c r="P24" s="558" t="inlineStr">
        <is>
          <t>CCS</t>
        </is>
      </c>
    </row>
    <row r="25" ht="59.5" customHeight="1" s="557">
      <c r="A25" s="18" t="n">
        <v>24</v>
      </c>
      <c r="B25" s="398" t="inlineStr">
        <is>
          <t>Technical</t>
        </is>
      </c>
      <c r="C25" s="399" t="inlineStr">
        <is>
          <t>Replace silicone water hoses with PTFE hoses or provide a documented technical justification</t>
        </is>
      </c>
      <c r="D25" s="400" t="inlineStr">
        <is>
          <t>Post PPQ</t>
        </is>
      </c>
      <c r="E25" s="401" t="inlineStr">
        <is>
          <t>Med &gt; 1 week &lt; 1 Month</t>
        </is>
      </c>
      <c r="F25" s="24" t="inlineStr">
        <is>
          <t>10/20/2026</t>
        </is>
      </c>
      <c r="G25" s="24" t="inlineStr">
        <is>
          <t>Silicone water hoses are currently used.</t>
        </is>
      </c>
      <c r="H25" s="24" t="inlineStr">
        <is>
          <t>Replace silicone hoses with PTFE hoses.</t>
        </is>
      </c>
      <c r="I25" s="24" t="n"/>
      <c r="J25" s="402" t="inlineStr">
        <is>
          <t>Purification</t>
        </is>
      </c>
      <c r="K25" s="267" t="inlineStr">
        <is>
          <t>Open</t>
        </is>
      </c>
      <c r="L25" s="403" t="inlineStr">
        <is>
          <t>Silicone could pose risk to process if shedding occurs as PTFE is inherient and more inert</t>
        </is>
      </c>
      <c r="M25" s="559" t="inlineStr">
        <is>
          <t>Production / Chunpeng Hu</t>
        </is>
      </c>
      <c r="N25" s="559" t="inlineStr">
        <is>
          <t>QA / Xiong Xiong</t>
        </is>
      </c>
      <c r="P25" s="559" t="inlineStr">
        <is>
          <t>Purified water (PW)</t>
        </is>
      </c>
    </row>
    <row r="26" ht="76" customHeight="1" s="557">
      <c r="A26" s="18" t="n">
        <v>25</v>
      </c>
      <c r="B26" s="253" t="inlineStr">
        <is>
          <t>BLA</t>
        </is>
      </c>
      <c r="C26" s="404" t="inlineStr">
        <is>
          <t>Update procedure to ensure immediate water hose disconnection and controlled storage after use</t>
        </is>
      </c>
      <c r="D26" s="405" t="inlineStr">
        <is>
          <t>Prior to Demo</t>
        </is>
      </c>
      <c r="E26" s="406" t="inlineStr">
        <is>
          <t>Med &gt; 1 week &lt; 1 Month</t>
        </is>
      </c>
      <c r="F26" s="25" t="inlineStr">
        <is>
          <t>10/04/2026</t>
        </is>
      </c>
      <c r="G26" s="25" t="inlineStr">
        <is>
          <t>No clear time requirement in the SOP for disconnecting water hoses after use.</t>
        </is>
      </c>
      <c r="H26" s="25" t="inlineStr">
        <is>
          <t>Update the SOP to require that water hoses be disconnected immediately once water charging is finished.</t>
        </is>
      </c>
      <c r="I26" s="25" t="n"/>
      <c r="J26" s="407" t="inlineStr">
        <is>
          <t>Purification</t>
        </is>
      </c>
      <c r="K26" s="266" t="inlineStr">
        <is>
          <t>Open</t>
        </is>
      </c>
      <c r="L26" s="408" t="inlineStr">
        <is>
          <t>Prevent biofilm formation during Demo processing that could impact PPQ.</t>
        </is>
      </c>
      <c r="M26" s="558" t="inlineStr">
        <is>
          <t>Production / Chunpeng Hu</t>
        </is>
      </c>
      <c r="N26" s="558" t="inlineStr">
        <is>
          <t>QA / Xiong Xiong</t>
        </is>
      </c>
      <c r="O26" s="17" t="n"/>
      <c r="P26" s="558" t="inlineStr">
        <is>
          <t>Purified water (PW)</t>
        </is>
      </c>
    </row>
    <row r="27" ht="76" customHeight="1" s="557">
      <c r="A27" s="11" t="n">
        <v>26</v>
      </c>
      <c r="B27" s="248" t="inlineStr">
        <is>
          <t>BLA</t>
        </is>
      </c>
      <c r="C27" s="409" t="inlineStr">
        <is>
          <t>Update CCS for each process step to clearly define the filtration strategy in alignment with the corporate filtration gudiance. Include filtration location, type, replacement criteria, justification and diagrams or tables to CCS documentation for each process step</t>
        </is>
      </c>
      <c r="D27" s="410" t="inlineStr">
        <is>
          <t>Prior to Pre-PPQ</t>
        </is>
      </c>
      <c r="E27" s="411" t="inlineStr">
        <is>
          <t>Med &gt; 1 week &lt; 1 Month</t>
        </is>
      </c>
      <c r="F27" s="24" t="inlineStr">
        <is>
          <t>10/04/2026</t>
        </is>
      </c>
      <c r="G27" s="24" t="inlineStr">
        <is>
          <t>The detailed filtration principle is not included in the SOP or CCS document.</t>
        </is>
      </c>
      <c r="H27" s="24" t="inlineStr">
        <is>
          <t>Update the SOP and CCS document to include the detailed filtration principle.</t>
        </is>
      </c>
      <c r="I27" s="24" t="n"/>
      <c r="J27" s="412" t="inlineStr">
        <is>
          <t>All Steps</t>
        </is>
      </c>
      <c r="K27" s="267" t="inlineStr">
        <is>
          <t>Open</t>
        </is>
      </c>
      <c r="L27" s="248" t="n"/>
      <c r="M27" s="559" t="inlineStr">
        <is>
          <t>Project Team / Xinyi Zhu</t>
        </is>
      </c>
      <c r="N27" s="559" t="inlineStr">
        <is>
          <t>QA / Shenghui Yu</t>
        </is>
      </c>
      <c r="P27" s="559" t="inlineStr">
        <is>
          <t>Filtration strategy</t>
        </is>
      </c>
    </row>
    <row r="28" ht="76" customHeight="1" s="557">
      <c r="A28" s="18" t="n">
        <v>27</v>
      </c>
      <c r="B28" s="253" t="inlineStr">
        <is>
          <t>BLA</t>
        </is>
      </c>
      <c r="C28" s="413" t="inlineStr">
        <is>
          <t>Filtration of liquid raw materials is required for all process steps. Reassess and document justification for 75-micron filtration of SPPS raw material drum charging.</t>
        </is>
      </c>
      <c r="D28" s="414" t="inlineStr">
        <is>
          <t>Prior to Demo</t>
        </is>
      </c>
      <c r="E28" s="415" t="inlineStr">
        <is>
          <t>Med &gt; 1 week &lt; 1 Month</t>
        </is>
      </c>
      <c r="F28" s="25" t="inlineStr">
        <is>
          <t>10/04/2026</t>
        </is>
      </c>
      <c r="G28" s="25" t="inlineStr">
        <is>
          <t>No detailed requirement or assessment for liquid material filtration.</t>
        </is>
      </c>
      <c r="H28" s="25" t="inlineStr">
        <is>
          <t>Add a detailed description of liquid material filtration to the SOP and CCS.</t>
        </is>
      </c>
      <c r="I28" s="25" t="n"/>
      <c r="J28" s="416" t="inlineStr">
        <is>
          <t>All Steps</t>
        </is>
      </c>
      <c r="K28" s="266" t="inlineStr">
        <is>
          <t>Open</t>
        </is>
      </c>
      <c r="L28" s="417" t="inlineStr">
        <is>
          <t>Prevent particulate contamination of equipment which may impact PPQ (particualte can be challenging to remove once introduced).</t>
        </is>
      </c>
      <c r="M28" s="558" t="inlineStr">
        <is>
          <t>Production / Fan Wang</t>
        </is>
      </c>
      <c r="N28" s="558" t="inlineStr">
        <is>
          <t>QA / Shenghui Yu</t>
        </is>
      </c>
      <c r="O28" s="17" t="n"/>
      <c r="P28" s="558" t="inlineStr">
        <is>
          <t>Filtration strategy</t>
        </is>
      </c>
    </row>
    <row r="29" ht="59.5" customHeight="1" s="557">
      <c r="A29" s="18" t="n">
        <v>28</v>
      </c>
      <c r="B29" s="245" t="inlineStr">
        <is>
          <t>BLA</t>
        </is>
      </c>
      <c r="C29" s="246" t="inlineStr">
        <is>
          <t>Revise glovebox cleaning practices to use approved alcohol wipes rather than water wipes in dispensing areas.</t>
        </is>
      </c>
      <c r="D29" s="418" t="inlineStr">
        <is>
          <t>Prior to Demo</t>
        </is>
      </c>
      <c r="E29" s="419" t="inlineStr">
        <is>
          <t>Low &lt; 1 week</t>
        </is>
      </c>
      <c r="F29" s="24" t="inlineStr">
        <is>
          <t>10/04/2026</t>
        </is>
      </c>
      <c r="G29" s="24" t="inlineStr">
        <is>
          <t>Water is used for glovebox cleaning.</t>
        </is>
      </c>
      <c r="H29" s="24" t="inlineStr">
        <is>
          <t>After water cleaning, an alcohol wipe shall be performed to avoid any water residue.</t>
        </is>
      </c>
      <c r="I29" s="24" t="n"/>
      <c r="J29" s="420" t="inlineStr">
        <is>
          <t>All Steps</t>
        </is>
      </c>
      <c r="K29" s="267" t="inlineStr">
        <is>
          <t>Open</t>
        </is>
      </c>
      <c r="L29" s="248" t="n"/>
      <c r="M29" s="559" t="inlineStr">
        <is>
          <t>Production / Kai Liu</t>
        </is>
      </c>
      <c r="N29" s="559" t="inlineStr">
        <is>
          <t>QA / Zhiqiang Sun</t>
        </is>
      </c>
      <c r="P29" s="559" t="inlineStr">
        <is>
          <t>Cleaning</t>
        </is>
      </c>
    </row>
    <row r="30" ht="92.5" customHeight="1" s="557">
      <c r="A30" s="22" t="n">
        <v>29</v>
      </c>
      <c r="B30" s="202" t="inlineStr">
        <is>
          <t>BLA</t>
        </is>
      </c>
      <c r="C30" s="421" t="inlineStr">
        <is>
          <t>Complete planned upgrades and demonstrate CNC area relative humidity remains below 60% during summer conditions</t>
        </is>
      </c>
      <c r="D30" s="422" t="inlineStr">
        <is>
          <t>Post PPQ</t>
        </is>
      </c>
      <c r="E30" s="423" t="inlineStr">
        <is>
          <t>High &gt; 1 month</t>
        </is>
      </c>
      <c r="F30" s="262" t="n">
        <v>46537</v>
      </c>
      <c r="G30" s="261" t="n"/>
      <c r="H30" s="261" t="inlineStr">
        <is>
          <t>Modify the air handling units by adding cooling coils, and complete qualification during a production gap.</t>
        </is>
      </c>
      <c r="I30" s="261" t="inlineStr">
        <is>
          <t>The affected rooms must stop production during the air handling unit modification.</t>
        </is>
      </c>
      <c r="J30" s="424" t="inlineStr">
        <is>
          <t>All Steps</t>
        </is>
      </c>
      <c r="K30" s="266" t="inlineStr">
        <is>
          <t>Open</t>
        </is>
      </c>
      <c r="L30" s="425" t="inlineStr">
        <is>
          <t>Confirm procedure in place to use protable dehumidifiers in the short term until all upgrades are complete to allow for robust control iof humidity in CNC areas.</t>
        </is>
      </c>
      <c r="M30" s="558" t="inlineStr">
        <is>
          <t>Production Equipment Dept. / Wenyi Zhang</t>
        </is>
      </c>
      <c r="N30" s="558" t="inlineStr">
        <is>
          <t>QA / Meijia Liu</t>
        </is>
      </c>
      <c r="O30" s="17" t="n"/>
      <c r="P30" s="558" t="inlineStr">
        <is>
          <t>CNC humidity</t>
        </is>
      </c>
    </row>
    <row r="31" ht="76" customHeight="1" s="557">
      <c r="A31" s="18" t="n">
        <v>30</v>
      </c>
      <c r="B31" s="245" t="inlineStr">
        <is>
          <t>BLA</t>
        </is>
      </c>
      <c r="C31" s="426" t="inlineStr">
        <is>
          <t>Asymchem to provide vent header drawings and designs to Lilly for review.</t>
        </is>
      </c>
      <c r="D31" s="427" t="inlineStr">
        <is>
          <t>Prior to Demo</t>
        </is>
      </c>
      <c r="E31" s="428" t="inlineStr">
        <is>
          <t>Low &lt; 1 week</t>
        </is>
      </c>
      <c r="F31" s="24" t="inlineStr">
        <is>
          <t>To be uploaded before the end of this week</t>
        </is>
      </c>
      <c r="G31" s="24" t="n"/>
      <c r="H31" s="24" t="n"/>
      <c r="I31" s="24" t="n"/>
      <c r="J31" s="429" t="inlineStr">
        <is>
          <t>All Steps</t>
        </is>
      </c>
      <c r="K31" s="267" t="inlineStr">
        <is>
          <t>Open</t>
        </is>
      </c>
      <c r="L31" s="248" t="n"/>
      <c r="M31" s="559" t="inlineStr">
        <is>
          <t>Engineering / Hongjie Guo
IEPE / Guorui Zhang</t>
        </is>
      </c>
      <c r="N31" s="559" t="inlineStr">
        <is>
          <t>QA / Meijia Liu</t>
        </is>
      </c>
      <c r="P31" s="559" t="inlineStr">
        <is>
          <t>Other</t>
        </is>
      </c>
    </row>
    <row r="32" ht="76" customHeight="1" s="557">
      <c r="A32" s="11" t="n">
        <v>31</v>
      </c>
      <c r="B32" s="431" t="inlineStr">
        <is>
          <t>BLA/technical</t>
        </is>
      </c>
      <c r="C32" s="432" t="inlineStr">
        <is>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t>
        </is>
      </c>
      <c r="D32" s="433" t="inlineStr">
        <is>
          <t>Prior to Demo</t>
        </is>
      </c>
      <c r="E32" s="434" t="inlineStr">
        <is>
          <t>Med &gt; 1 week &lt; 1 Month</t>
        </is>
      </c>
      <c r="F32" s="25" t="inlineStr">
        <is>
          <t>10/04/2026</t>
        </is>
      </c>
      <c r="G32" s="25" t="inlineStr">
        <is>
          <t>No detailed assessment in the CCS document.</t>
        </is>
      </c>
      <c r="H32" s="25" t="inlineStr">
        <is>
          <t>Add a detailed assessment to the CCS document.</t>
        </is>
      </c>
      <c r="I32" s="25" t="n"/>
      <c r="J32" s="435" t="inlineStr">
        <is>
          <t>All Steps</t>
        </is>
      </c>
      <c r="K32" s="266" t="inlineStr">
        <is>
          <t>Open</t>
        </is>
      </c>
      <c r="L32" s="253" t="n"/>
      <c r="M32" s="558" t="inlineStr">
        <is>
          <t>Production / Linchong Liu</t>
        </is>
      </c>
      <c r="N32" s="558" t="inlineStr">
        <is>
          <t>QA / Qi Wang, Mingyang Yang</t>
        </is>
      </c>
      <c r="O32" s="17" t="n"/>
      <c r="P32" s="558" t="inlineStr">
        <is>
          <t>CCS</t>
        </is>
      </c>
    </row>
    <row r="33" ht="59.5" customHeight="1" s="557">
      <c r="A33" s="18" t="n">
        <v>32</v>
      </c>
      <c r="B33" s="248" t="inlineStr">
        <is>
          <t>BLA</t>
        </is>
      </c>
      <c r="C33" s="436" t="inlineStr">
        <is>
          <t>Implement the use of permeable film to cover the ends of process and water hoses while stored for drying</t>
        </is>
      </c>
      <c r="D33" s="437" t="inlineStr">
        <is>
          <t>Prior to Demo</t>
        </is>
      </c>
      <c r="E33" s="438" t="inlineStr">
        <is>
          <t>Med &gt; 1 week &lt; 1 Month</t>
        </is>
      </c>
      <c r="F33" s="24" t="inlineStr">
        <is>
          <t>10/04/2026</t>
        </is>
      </c>
      <c r="G33" s="24" t="inlineStr">
        <is>
          <t>No permeable film is used to cover the ends of process and water hoses.</t>
        </is>
      </c>
      <c r="H33" s="24" t="inlineStr">
        <is>
          <t>Use permeable film to cover the ends of process and water hoses.</t>
        </is>
      </c>
      <c r="I33" s="24" t="n"/>
      <c r="J33" s="439" t="inlineStr">
        <is>
          <t>All Steps</t>
        </is>
      </c>
      <c r="K33" s="267" t="inlineStr">
        <is>
          <t>Open</t>
        </is>
      </c>
      <c r="L33" s="440" t="inlineStr">
        <is>
          <t>Prevent hose contamination during Demo processing that could impact PPQ.</t>
        </is>
      </c>
      <c r="M33" s="559" t="inlineStr">
        <is>
          <t>Production / Chunpeng Hu</t>
        </is>
      </c>
      <c r="N33" s="559" t="inlineStr">
        <is>
          <t>N/A</t>
        </is>
      </c>
      <c r="P33" s="559" t="inlineStr">
        <is>
          <t>Purified water (PW)</t>
        </is>
      </c>
    </row>
    <row r="34" ht="59.5" customHeight="1" s="557">
      <c r="A34" s="18" t="n">
        <v>33</v>
      </c>
      <c r="B34" s="226" t="inlineStr">
        <is>
          <t>BLA</t>
        </is>
      </c>
      <c r="C34" s="441" t="inlineStr">
        <is>
          <t>Install low-point drains on the inlet and outlet of all PD pumps used in Category 4 systems, and add pre- and post-cleaning steps to drain from these points and nitrogen-purge through the pump to the outlet drain</t>
        </is>
      </c>
      <c r="D34" s="442" t="inlineStr">
        <is>
          <t>Prior to Pre-PPQ</t>
        </is>
      </c>
      <c r="E34" s="443" t="inlineStr">
        <is>
          <t>Med &gt; 1 week &lt; 1 Month</t>
        </is>
      </c>
      <c r="F34" s="25" t="inlineStr">
        <is>
          <t>Completed</t>
        </is>
      </c>
      <c r="G34" s="25" t="inlineStr">
        <is>
          <t>This capability is already in place.</t>
        </is>
      </c>
      <c r="H34" s="25" t="n"/>
      <c r="I34" s="25" t="n"/>
      <c r="J34" s="444" t="inlineStr">
        <is>
          <t>Purification</t>
        </is>
      </c>
      <c r="K34" s="266" t="inlineStr">
        <is>
          <t>Open</t>
        </is>
      </c>
      <c r="L34" s="253" t="n"/>
      <c r="M34" s="558" t="inlineStr">
        <is>
          <t>Production / Yanlong Li</t>
        </is>
      </c>
      <c r="N34" s="558" t="inlineStr">
        <is>
          <t>QA / Weijiang Liu</t>
        </is>
      </c>
      <c r="O34" s="17" t="n"/>
      <c r="P34" s="558" t="inlineStr">
        <is>
          <t>Cleaning</t>
        </is>
      </c>
    </row>
    <row r="35" ht="59.5" customHeight="1" s="557">
      <c r="A35" s="18" t="n">
        <v>34</v>
      </c>
      <c r="B35" s="202" t="inlineStr">
        <is>
          <t>BLA</t>
        </is>
      </c>
      <c r="C35" s="445" t="inlineStr">
        <is>
          <t>Update the cleaning program for PD pumps so recovery factors account for large-area soft parts and include a representative pump swab location for product-contact applications</t>
        </is>
      </c>
      <c r="D35" s="446" t="inlineStr">
        <is>
          <t>Prior to Pre-PPQ</t>
        </is>
      </c>
      <c r="E35" s="447" t="inlineStr">
        <is>
          <t>Med &gt; 1 week &lt; 1 Month</t>
        </is>
      </c>
      <c r="F35" s="24" t="inlineStr">
        <is>
          <t>10/04/2026</t>
        </is>
      </c>
      <c r="G35" s="24" t="inlineStr">
        <is>
          <t>The PD pump is rinse-sampled for residue testing.</t>
        </is>
      </c>
      <c r="H35" s="24" t="inlineStr">
        <is>
          <t>Update the SOP to include swab sampling for residue testing.</t>
        </is>
      </c>
      <c r="I35" s="24" t="n"/>
      <c r="J35" s="448" t="inlineStr">
        <is>
          <t>Purification</t>
        </is>
      </c>
      <c r="K35" s="267" t="inlineStr">
        <is>
          <t>Open</t>
        </is>
      </c>
      <c r="L35" s="248" t="n"/>
      <c r="M35" s="559" t="inlineStr">
        <is>
          <t>Production / Kai Liu</t>
        </is>
      </c>
      <c r="N35" s="559" t="inlineStr">
        <is>
          <t>QA / Meijia Liu</t>
        </is>
      </c>
      <c r="P35" s="559" t="inlineStr">
        <is>
          <t>Cleaning</t>
        </is>
      </c>
    </row>
    <row r="36" ht="76" customHeight="1" s="557">
      <c r="A36" s="22" t="n">
        <v>35</v>
      </c>
      <c r="B36" s="226" t="inlineStr">
        <is>
          <t>BLA</t>
        </is>
      </c>
      <c r="C36" s="449" t="inlineStr">
        <is>
          <t>Evaluate long-term replacement of PD pumps with pressure transfer or hygienic centrifugal pumps with low-point casing drains; where PD pumps remain necessary, assess more drainable designs</t>
        </is>
      </c>
      <c r="D36" s="450" t="inlineStr">
        <is>
          <t>Post PPQ</t>
        </is>
      </c>
      <c r="E36" s="451" t="inlineStr">
        <is>
          <t>High &gt; 1 month</t>
        </is>
      </c>
      <c r="F36" s="25" t="inlineStr">
        <is>
          <t>01/30/2027</t>
        </is>
      </c>
      <c r="G36" s="25" t="inlineStr">
        <is>
          <t>After use, both ends of the pump are drained and blown dry; a detailed operating procedure will be provided.</t>
        </is>
      </c>
      <c r="H36" s="25" t="inlineStr">
        <is>
          <t>The corresponding hygienic centrifugal pumps are being procured.</t>
        </is>
      </c>
      <c r="I36" s="25" t="inlineStr">
        <is>
          <t>N/A</t>
        </is>
      </c>
      <c r="J36" s="452" t="inlineStr">
        <is>
          <t>All Steps</t>
        </is>
      </c>
      <c r="K36" s="266" t="inlineStr">
        <is>
          <t>Open</t>
        </is>
      </c>
      <c r="L36" s="253" t="n"/>
      <c r="M36" s="558" t="inlineStr">
        <is>
          <t>Engineering / Hongjie Guo
Production / Junfeng Zhang</t>
        </is>
      </c>
      <c r="N36" s="558" t="inlineStr">
        <is>
          <t>QA / Meijia Liu</t>
        </is>
      </c>
      <c r="O36" s="17" t="n"/>
      <c r="P36" s="558" t="inlineStr">
        <is>
          <t>Equipment modification</t>
        </is>
      </c>
    </row>
    <row r="37" ht="191.5" customHeight="1" s="557">
      <c r="A37" s="11" t="n">
        <v>36</v>
      </c>
      <c r="B37" s="202" t="inlineStr">
        <is>
          <t>BLA</t>
        </is>
      </c>
      <c r="C37" s="454" t="inlineStr">
        <is>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is>
      </c>
      <c r="D37" s="455" t="inlineStr">
        <is>
          <t>Prior to Pre-PPQ</t>
        </is>
      </c>
      <c r="E37" s="456" t="inlineStr">
        <is>
          <t>High &gt; 1 month</t>
        </is>
      </c>
      <c r="F37" s="457" t="inlineStr">
        <is>
          <t>step1:
step2:
step3A:
step3B:</t>
        </is>
      </c>
      <c r="G37" s="24" t="inlineStr">
        <is>
          <t>N/A</t>
        </is>
      </c>
      <c r="H37" s="24" t="inlineStr">
        <is>
          <t>Redesign is in progress. Once the design is confirmed, the key items will be discussed with the Lilly team before execution.</t>
        </is>
      </c>
      <c r="I37" s="24" t="inlineStr">
        <is>
          <t>Does the drainability design of the material lines need to meet 2D or 3D? For some tanks, the modification plan has been confirmed; we would like the Lilly team to help confirm these plans.</t>
        </is>
      </c>
      <c r="J37" s="458" t="inlineStr">
        <is>
          <t>All Steps</t>
        </is>
      </c>
      <c r="K37" s="267" t="inlineStr">
        <is>
          <t>Open</t>
        </is>
      </c>
      <c r="L37" s="248" t="n"/>
      <c r="M37" s="559" t="inlineStr">
        <is>
          <t>Engineering / Hongjie Guo
Production / Junfeng Zhang</t>
        </is>
      </c>
      <c r="N37" s="559" t="inlineStr">
        <is>
          <t>QA / Mingzhi Chen</t>
        </is>
      </c>
      <c r="P37" s="559" t="inlineStr">
        <is>
          <t>Equipment modification</t>
        </is>
      </c>
    </row>
    <row r="38" ht="59.5" customHeight="1" s="557">
      <c r="A38" s="18" t="n">
        <v>37</v>
      </c>
      <c r="B38" s="253" t="inlineStr">
        <is>
          <t>BLA</t>
        </is>
      </c>
      <c r="C38" s="460" t="inlineStr">
        <is>
          <t>For equipment and piping gaps not remediated before production, establish direct traceability in cleaning documentation, including manual cleaning, targeted inspection, and cleaning or draining instructions for dead legs</t>
        </is>
      </c>
      <c r="D38" s="461" t="inlineStr">
        <is>
          <t>Prior to Pre-PPQ</t>
        </is>
      </c>
      <c r="E38" s="462" t="inlineStr">
        <is>
          <t>Med &gt; 1 week &lt; 1 Month</t>
        </is>
      </c>
      <c r="F38" s="25" t="inlineStr">
        <is>
          <t>Same as Item 1.</t>
        </is>
      </c>
      <c r="G38" s="25" t="inlineStr">
        <is>
          <t>N/A</t>
        </is>
      </c>
      <c r="H38" s="25" t="inlineStr">
        <is>
          <t>N/A</t>
        </is>
      </c>
      <c r="I38" s="25" t="inlineStr">
        <is>
          <t>N/A</t>
        </is>
      </c>
      <c r="J38" s="463" t="inlineStr">
        <is>
          <t>All Steps</t>
        </is>
      </c>
      <c r="K38" s="266" t="inlineStr">
        <is>
          <t>Open</t>
        </is>
      </c>
      <c r="L38" s="253" t="n"/>
      <c r="M38" s="558" t="inlineStr">
        <is>
          <t>Production / Anyao Tang</t>
        </is>
      </c>
      <c r="N38" s="558" t="inlineStr">
        <is>
          <t>QA / Weijiang Liu</t>
        </is>
      </c>
      <c r="O38" s="17" t="n"/>
      <c r="P38" s="558" t="inlineStr">
        <is>
          <t>Cleaning</t>
        </is>
      </c>
    </row>
    <row r="39" ht="158.5" customHeight="1" s="557">
      <c r="A39" s="11" t="n">
        <v>38</v>
      </c>
      <c r="B39" s="464" t="inlineStr">
        <is>
          <t>BLA/technical</t>
        </is>
      </c>
      <c r="C39" s="465" t="inlineStr">
        <is>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t>
        </is>
      </c>
      <c r="D39" s="466" t="inlineStr">
        <is>
          <t>Prior to Pre-PPQ</t>
        </is>
      </c>
      <c r="E39" s="467" t="inlineStr">
        <is>
          <t>High &gt; 1 month</t>
        </is>
      </c>
      <c r="F39" s="468" t="inlineStr">
        <is>
          <t>Lead time: 6 weeks
Modification: 3 weeks
Passivation: 1 week
Validation: 3 weeks</t>
        </is>
      </c>
      <c r="G39" s="24" t="inlineStr">
        <is>
          <t>Temporary hoses are used to connect water outlets to the points of use.</t>
        </is>
      </c>
      <c r="H39" s="24" t="n"/>
      <c r="I39" s="24" t="inlineStr">
        <is>
          <t>Completing this before Pre-PPQ is tight. Could it be completed after PPQ, with water used per the current practice in the meantime?</t>
        </is>
      </c>
      <c r="J39" s="469" t="inlineStr">
        <is>
          <t>All Steps</t>
        </is>
      </c>
      <c r="K39" s="267" t="inlineStr">
        <is>
          <t>Open</t>
        </is>
      </c>
      <c r="L39" s="248" t="n"/>
      <c r="M39" s="559" t="inlineStr">
        <is>
          <t>Production / Chunpeng Hu
Engineering / Hongjie Guo</t>
        </is>
      </c>
      <c r="N39" s="559" t="inlineStr">
        <is>
          <t>QA / Mingzhi Chen</t>
        </is>
      </c>
      <c r="P39" s="559" t="inlineStr">
        <is>
          <t>Purified water (PW)</t>
        </is>
      </c>
    </row>
    <row r="40" ht="59.5" customHeight="1" s="557">
      <c r="A40" s="18" t="n">
        <v>39</v>
      </c>
      <c r="B40" s="202" t="inlineStr">
        <is>
          <t>BLA</t>
        </is>
      </c>
      <c r="C40" s="471" t="inlineStr">
        <is>
          <t>Install point-of-use filters for purified water supplied by hose to growth-promoting solutions, track time in use, and replace filters no later than 24 hours</t>
        </is>
      </c>
      <c r="D40" s="472" t="inlineStr">
        <is>
          <t>Prior to Pre-PPQ</t>
        </is>
      </c>
      <c r="E40" s="473" t="inlineStr">
        <is>
          <t>Med &gt; 1 week &lt; 1 Month</t>
        </is>
      </c>
      <c r="F40" s="25" t="inlineStr">
        <is>
          <t>10/20/2026</t>
        </is>
      </c>
      <c r="G40" s="25" t="inlineStr">
        <is>
          <t>No requirement for filtration of purified water supplied by hose.</t>
        </is>
      </c>
      <c r="H40" s="25" t="inlineStr">
        <is>
          <t>Add filtration and filter replacement-interval requirements to the MOR.</t>
        </is>
      </c>
      <c r="I40" s="25" t="n"/>
      <c r="J40" s="474" t="inlineStr">
        <is>
          <t>Purification</t>
        </is>
      </c>
      <c r="K40" s="266" t="inlineStr">
        <is>
          <t>Open</t>
        </is>
      </c>
      <c r="L40" s="253" t="n"/>
      <c r="M40" s="558" t="inlineStr">
        <is>
          <t>Production / Chunpeng Hu</t>
        </is>
      </c>
      <c r="N40" s="558" t="inlineStr">
        <is>
          <t>QA / Qi Wang</t>
        </is>
      </c>
      <c r="O40" s="17" t="n"/>
      <c r="P40" s="558" t="inlineStr">
        <is>
          <t>Purified water (PW)</t>
        </is>
      </c>
    </row>
    <row r="41" ht="59.5" customHeight="1" s="557">
      <c r="A41" s="18" t="n">
        <v>40</v>
      </c>
      <c r="B41" s="245" t="inlineStr">
        <is>
          <t>BLA</t>
        </is>
      </c>
      <c r="C41" s="475" t="inlineStr">
        <is>
          <t>Assess representative sampling from new point-of-use drains and determine whether formal revalidation or an informal verification study is required to confirm water-system quality</t>
        </is>
      </c>
      <c r="D41" s="476" t="inlineStr">
        <is>
          <t>Prior to Pre-PPQ</t>
        </is>
      </c>
      <c r="E41" s="477" t="inlineStr">
        <is>
          <t>High &gt; 1 month</t>
        </is>
      </c>
      <c r="F41" s="24" t="inlineStr">
        <is>
          <t>Same as row 39 (Item 38).</t>
        </is>
      </c>
      <c r="G41" s="24" t="n"/>
      <c r="H41" s="24" t="n"/>
      <c r="I41" s="24" t="n"/>
      <c r="J41" s="478" t="inlineStr">
        <is>
          <t>All Steps</t>
        </is>
      </c>
      <c r="K41" s="267" t="inlineStr">
        <is>
          <t>Open</t>
        </is>
      </c>
      <c r="L41" s="248" t="n"/>
      <c r="M41" s="559" t="inlineStr">
        <is>
          <t>Production / Chunpeng Hu</t>
        </is>
      </c>
      <c r="N41" s="559" t="inlineStr">
        <is>
          <t>QA / Mingzhi Chen</t>
        </is>
      </c>
      <c r="P41" s="559" t="inlineStr">
        <is>
          <t>Purified water (PW)</t>
        </is>
      </c>
    </row>
    <row r="42" ht="125.5" customHeight="1" s="557">
      <c r="A42" s="11" t="n">
        <v>41</v>
      </c>
      <c r="B42" s="226" t="inlineStr">
        <is>
          <t>BLA</t>
        </is>
      </c>
      <c r="C42" s="479" t="inlineStr">
        <is>
          <t>Provide Lilly with the changeover strategy and governance for reused equipment, including cleaning limits, normally uncleaned lines, soft and hard-to-clean components, and replacement of filters, membranes, and resins</t>
        </is>
      </c>
      <c r="D42" s="480" t="inlineStr">
        <is>
          <t>Prior to Pre-PPQ</t>
        </is>
      </c>
      <c r="E42" s="481" t="inlineStr">
        <is>
          <t>Med &gt; 1 week &lt; 1 Month</t>
        </is>
      </c>
      <c r="F42" s="25" t="inlineStr">
        <is>
          <t>Zhiqiang Sun to prepare a PPT and assess whether swabbing is required.</t>
        </is>
      </c>
      <c r="G42" s="25" t="inlineStr">
        <is>
          <t>Equipment is disassembled for cleaning, and ARL performs Level 2 testing of the reflux solvent. The line from the activation tank to the synthesizer is reused after solvent flushing.</t>
        </is>
      </c>
      <c r="H42" s="25" t="n"/>
      <c r="I42" s="25" t="n"/>
      <c r="J42" s="482" t="inlineStr">
        <is>
          <t>All Steps</t>
        </is>
      </c>
      <c r="K42" s="266" t="inlineStr">
        <is>
          <t>Open</t>
        </is>
      </c>
      <c r="L42" s="253" t="n"/>
      <c r="M42" s="558" t="inlineStr">
        <is>
          <t>Production / Yanlong Li
Fan Wang
Linchong Liu</t>
        </is>
      </c>
      <c r="N42" s="558" t="inlineStr">
        <is>
          <t>QA / Zhiqiang Sun</t>
        </is>
      </c>
      <c r="O42" s="17" t="n"/>
      <c r="P42" s="558" t="inlineStr">
        <is>
          <t>Cleaning</t>
        </is>
      </c>
    </row>
    <row r="43" ht="59.5" customHeight="1" s="557">
      <c r="A43" s="11" t="n">
        <v>42</v>
      </c>
      <c r="B43" s="484" t="inlineStr">
        <is>
          <t>BLA/technical</t>
        </is>
      </c>
      <c r="C43" s="485" t="inlineStr">
        <is>
          <t>Define and document release controls for new equipment that demonstrate removal of fabrication and construction residues, debris and particulates, and acceptable bioburden before production use</t>
        </is>
      </c>
      <c r="D43" s="486" t="inlineStr">
        <is>
          <t>Prior to Pre-PPQ</t>
        </is>
      </c>
      <c r="E43" s="487" t="inlineStr">
        <is>
          <t>Med &gt; 1 week &lt; 1 Month</t>
        </is>
      </c>
      <c r="F43" s="24" t="n"/>
      <c r="G43" s="24" t="n"/>
      <c r="H43" s="24" t="inlineStr">
        <is>
          <t>The SOP will be revised.</t>
        </is>
      </c>
      <c r="I43" s="24" t="n"/>
      <c r="J43" s="488" t="inlineStr">
        <is>
          <t>All Steps</t>
        </is>
      </c>
      <c r="K43" s="267" t="inlineStr">
        <is>
          <t>Open</t>
        </is>
      </c>
      <c r="L43" s="248" t="n"/>
      <c r="M43" s="559" t="inlineStr">
        <is>
          <t>Production / Yanlong Li
Kai Liu</t>
        </is>
      </c>
      <c r="N43" s="559" t="inlineStr">
        <is>
          <t>QA / Zhiqiang Sun</t>
        </is>
      </c>
      <c r="P43" s="559" t="inlineStr">
        <is>
          <t>Cleaning</t>
        </is>
      </c>
    </row>
    <row r="44" ht="76" customHeight="1" s="557">
      <c r="A44" s="11" t="n">
        <v>43</v>
      </c>
      <c r="B44" s="490" t="inlineStr">
        <is>
          <t>BLA/technical</t>
        </is>
      </c>
      <c r="C44" s="491" t="inlineStr">
        <is>
          <t>Execute spray coverage testing for all product-contact and growth-promoting equipment and incorporate qualified pressure, time, alarm limits, flow durations, and manual cleaning or swabbing of hard-to-clean areas into operating instructions</t>
        </is>
      </c>
      <c r="D44" s="492" t="inlineStr">
        <is>
          <t>Prior to Pre-PPQ</t>
        </is>
      </c>
      <c r="E44" s="493" t="inlineStr">
        <is>
          <t>Med &gt; 1 week &lt; 1 Month</t>
        </is>
      </c>
      <c r="F44" s="25" t="n"/>
      <c r="G44" s="25" t="inlineStr">
        <is>
          <t>Spray coverage testing is performed on the equipment.</t>
        </is>
      </c>
      <c r="H44" s="25" t="n"/>
      <c r="I44" s="25" t="n"/>
      <c r="J44" s="494" t="inlineStr">
        <is>
          <t>All Steps</t>
        </is>
      </c>
      <c r="K44" s="266" t="inlineStr">
        <is>
          <t>Open</t>
        </is>
      </c>
      <c r="L44" s="253" t="n"/>
      <c r="M44" s="558" t="inlineStr">
        <is>
          <t>Production / Yanlong Li</t>
        </is>
      </c>
      <c r="N44" s="558" t="inlineStr">
        <is>
          <t>QA / Meijia Liu</t>
        </is>
      </c>
      <c r="O44" s="17" t="n"/>
      <c r="P44" s="558" t="inlineStr">
        <is>
          <t>Cleaning</t>
        </is>
      </c>
    </row>
    <row r="45" ht="76" customHeight="1" s="557">
      <c r="A45" s="18" t="n">
        <v>44</v>
      </c>
      <c r="B45" s="245" t="inlineStr">
        <is>
          <t>BLA</t>
        </is>
      </c>
      <c r="C45" s="495" t="inlineStr">
        <is>
          <t>Determine and implement a means for visitors/support staff to wear a dedicated base layer in classified areas</t>
        </is>
      </c>
      <c r="D45" s="496" t="inlineStr">
        <is>
          <t>Post PPQ</t>
        </is>
      </c>
      <c r="E45" s="497" t="inlineStr">
        <is>
          <t>High &gt; 1 month</t>
        </is>
      </c>
      <c r="F45" s="24" t="inlineStr">
        <is>
          <t>11/10/2026</t>
        </is>
      </c>
      <c r="G45" s="24" t="inlineStr">
        <is>
          <t>Asymchem has an internal gowning procedure for classified areas. The gowning procedure needs to be revisited.</t>
        </is>
      </c>
      <c r="H45" s="24" t="inlineStr">
        <is>
          <t>Update the gowning procedure for classified areas.</t>
        </is>
      </c>
      <c r="I45" s="24" t="n"/>
      <c r="J45" s="498" t="inlineStr">
        <is>
          <t>All Steps</t>
        </is>
      </c>
      <c r="K45" s="267" t="inlineStr">
        <is>
          <t>Open</t>
        </is>
      </c>
      <c r="L45" s="499" t="inlineStr">
        <is>
          <t>Follow up with Marie to understand acceptability.</t>
        </is>
      </c>
      <c r="M45" s="559" t="inlineStr">
        <is>
          <t>Production / Kai Liu</t>
        </is>
      </c>
      <c r="N45" s="559" t="inlineStr">
        <is>
          <t>QA / Zhiqiang Sun</t>
        </is>
      </c>
      <c r="P45" s="559" t="inlineStr">
        <is>
          <t>Other</t>
        </is>
      </c>
    </row>
    <row r="46" ht="59.5" customHeight="1" s="557">
      <c r="A46" s="18" t="n">
        <v>45</v>
      </c>
      <c r="B46" s="226" t="inlineStr">
        <is>
          <t>BLA</t>
        </is>
      </c>
      <c r="C46" s="500" t="inlineStr">
        <is>
          <t>Provide Lilly with the operations access-control strategy and governance, including required training, approval criteria, and periodic roster review to remove or flag inappropriate access</t>
        </is>
      </c>
      <c r="D46" s="501" t="inlineStr">
        <is>
          <t>Post PPQ</t>
        </is>
      </c>
      <c r="E46" s="502" t="inlineStr">
        <is>
          <t>Med &gt; 1 week &lt; 1 Month</t>
        </is>
      </c>
      <c r="F46" s="25" t="inlineStr">
        <is>
          <t>11/10/2026</t>
        </is>
      </c>
      <c r="G46" s="25" t="inlineStr">
        <is>
          <t>Asymchem has an internal procedure for access control.</t>
        </is>
      </c>
      <c r="H46" s="25" t="inlineStr">
        <is>
          <t>Present the Asymchem access-control procedure to Lilly.</t>
        </is>
      </c>
      <c r="I46" s="25" t="n"/>
      <c r="J46" s="503" t="inlineStr">
        <is>
          <t>All Steps</t>
        </is>
      </c>
      <c r="K46" s="266" t="inlineStr">
        <is>
          <t>Open</t>
        </is>
      </c>
      <c r="L46" s="253" t="n"/>
      <c r="M46" s="558" t="inlineStr">
        <is>
          <t>Production / Kai Liu</t>
        </is>
      </c>
      <c r="N46" s="558" t="inlineStr">
        <is>
          <t>QA / Meijia Liu</t>
        </is>
      </c>
      <c r="O46" s="17" t="n"/>
      <c r="P46" s="558" t="inlineStr">
        <is>
          <t>Other</t>
        </is>
      </c>
    </row>
    <row r="47" ht="59.5" customHeight="1" s="557">
      <c r="A47" s="18" t="n">
        <v>46</v>
      </c>
      <c r="B47" s="245" t="inlineStr">
        <is>
          <t>BLA</t>
        </is>
      </c>
      <c r="C47" s="504" t="inlineStr">
        <is>
          <t>Conduct hold-time studies for all portable vessels used for temporary water or growth-promoting solution storage, confirm complete drainability, and incorporate hold-time and draining requirements into operating documents</t>
        </is>
      </c>
      <c r="D47" s="505" t="inlineStr">
        <is>
          <t>Prior to Pre-PPQ</t>
        </is>
      </c>
      <c r="E47" s="506" t="inlineStr">
        <is>
          <t>Med &gt; 1 week &lt; 1 Month</t>
        </is>
      </c>
      <c r="F47" s="24" t="n"/>
      <c r="G47" s="24" t="n"/>
      <c r="H47" s="24" t="n"/>
      <c r="I47" s="24" t="n"/>
      <c r="J47" s="507" t="inlineStr">
        <is>
          <t>All Steps</t>
        </is>
      </c>
      <c r="K47" s="267" t="inlineStr">
        <is>
          <t>Open</t>
        </is>
      </c>
      <c r="L47" s="508" t="inlineStr">
        <is>
          <t>Limit refresh time to 48 hours, even if hold time is demonstrated to be longer.</t>
        </is>
      </c>
      <c r="M47" s="559" t="inlineStr">
        <is>
          <t>R&amp;D / Xinyi Zhu
Production / Hui Ma</t>
        </is>
      </c>
      <c r="N47" s="559" t="inlineStr">
        <is>
          <t>QA / Qi Wang</t>
        </is>
      </c>
      <c r="P47" s="559" t="inlineStr">
        <is>
          <t>Purified water (PW)</t>
        </is>
      </c>
    </row>
    <row r="48" ht="274" customHeight="1" s="557">
      <c r="A48" s="18" t="n">
        <v>47</v>
      </c>
      <c r="B48" s="510" t="inlineStr">
        <is>
          <t>Technical</t>
        </is>
      </c>
      <c r="C48" s="511" t="inlineStr">
        <is>
          <t>Define controls that ensure only acceptable mobile phase is supplied to the process and specify the system response to out-of-range temperature, composition, or pH</t>
        </is>
      </c>
      <c r="D48" s="512" t="inlineStr">
        <is>
          <t>Prior to Pre-PPQ</t>
        </is>
      </c>
      <c r="E48" s="513" t="inlineStr">
        <is>
          <t>Low &lt; 1 week</t>
        </is>
      </c>
      <c r="F48" s="25" t="inlineStr">
        <is>
          <t>N/A</t>
        </is>
      </c>
      <c r="G48" s="25" t="inlineStr">
        <is>
          <t>Conductivity is monitored downstream of the solution-preparation mixer: acceptable mobile phase is routed to the mobile-phase tank, and out-of-range mobile phase is diverted to waste. Solution preparation is metered by mass flow meters, so temperature changes have little effect on the metered composition before mixing. pH probes are installed at the mixer and on the receiving mobile-phase tank for monitoring.</t>
        </is>
      </c>
      <c r="H48" s="25" t="n"/>
      <c r="I48" s="25" t="n"/>
      <c r="J48" s="514" t="inlineStr">
        <is>
          <t>Purification</t>
        </is>
      </c>
      <c r="K48" s="266" t="inlineStr">
        <is>
          <t>Open</t>
        </is>
      </c>
      <c r="L48" s="253" t="n"/>
      <c r="M48" s="558" t="inlineStr">
        <is>
          <t>Production / Linchong Liu
IEPE / Zhiheng Wang</t>
        </is>
      </c>
      <c r="N48" s="558" t="inlineStr">
        <is>
          <t>QA / Meijia Liu</t>
        </is>
      </c>
      <c r="O48" s="17" t="n"/>
      <c r="P48" s="558" t="inlineStr">
        <is>
          <t>Other</t>
        </is>
      </c>
    </row>
    <row r="49" ht="59.5" customHeight="1" s="557">
      <c r="A49" s="18" t="n">
        <v>48</v>
      </c>
      <c r="B49" s="516" t="inlineStr">
        <is>
          <t>BLA/technical</t>
        </is>
      </c>
      <c r="C49" s="517" t="inlineStr">
        <is>
          <t>Provide the final pre-use and post-use filter integrity testing strategy</t>
        </is>
      </c>
      <c r="D49" s="518" t="inlineStr">
        <is>
          <t>Prior to Pre-PPQ</t>
        </is>
      </c>
      <c r="E49" s="519" t="inlineStr">
        <is>
          <t>Med &gt; 1 week &lt; 1 Month</t>
        </is>
      </c>
      <c r="F49" s="24" t="inlineStr">
        <is>
          <t>10/20/2026</t>
        </is>
      </c>
      <c r="G49" s="24" t="inlineStr">
        <is>
          <t>Asymchem has an internal procedure for filter integrity testing.</t>
        </is>
      </c>
      <c r="H49" s="24" t="inlineStr">
        <is>
          <t>Present the Asymchem filter integrity testing strategy to Lilly.</t>
        </is>
      </c>
      <c r="I49" s="24" t="n"/>
      <c r="J49" s="520" t="inlineStr">
        <is>
          <t>Purification</t>
        </is>
      </c>
      <c r="K49" s="267" t="inlineStr">
        <is>
          <t>Open</t>
        </is>
      </c>
      <c r="L49" s="248" t="n"/>
      <c r="M49" s="559" t="inlineStr">
        <is>
          <t>Production / Yonggang Shi</t>
        </is>
      </c>
      <c r="N49" s="559" t="inlineStr">
        <is>
          <t>QA / Qi Wang</t>
        </is>
      </c>
      <c r="P49" s="559" t="inlineStr">
        <is>
          <t>Filtration strategy</t>
        </is>
      </c>
    </row>
    <row r="50" ht="59.5" customHeight="1" s="557">
      <c r="A50" s="18" t="n">
        <v>49</v>
      </c>
      <c r="B50" s="521" t="inlineStr">
        <is>
          <t>Technical</t>
        </is>
      </c>
      <c r="C50" s="522" t="inlineStr">
        <is>
          <t>Confirm AFD stroke height prevents blades from being submerged during displacement washes</t>
        </is>
      </c>
      <c r="D50" s="523" t="inlineStr">
        <is>
          <t>Prior to Demo</t>
        </is>
      </c>
      <c r="E50" s="524" t="inlineStr">
        <is>
          <t>Low &lt; 1 week</t>
        </is>
      </c>
      <c r="F50" s="25" t="inlineStr">
        <is>
          <t>Timing to be provided by Zepeng Guo</t>
        </is>
      </c>
      <c r="G50" s="25" t="n"/>
      <c r="H50" s="25" t="n"/>
      <c r="I50" s="25" t="n"/>
      <c r="J50" s="525" t="inlineStr">
        <is>
          <t>Purification</t>
        </is>
      </c>
      <c r="K50" s="266" t="inlineStr">
        <is>
          <t>Open</t>
        </is>
      </c>
      <c r="L50" s="253" t="n"/>
      <c r="M50" s="558" t="inlineStr">
        <is>
          <t>Production / Yanlong Li</t>
        </is>
      </c>
      <c r="N50" s="558" t="inlineStr">
        <is>
          <t>N/A</t>
        </is>
      </c>
      <c r="O50" s="17" t="n"/>
      <c r="P50" s="558" t="inlineStr">
        <is>
          <t>Other</t>
        </is>
      </c>
    </row>
    <row r="51" ht="59.5" customHeight="1" s="557">
      <c r="A51" s="18" t="n">
        <v>50</v>
      </c>
      <c r="B51" s="526" t="inlineStr">
        <is>
          <t>Technical</t>
        </is>
      </c>
      <c r="C51" s="527" t="inlineStr">
        <is>
          <t>Define the mill operating strategy for final drug-substance sampling, inerting, target drum weight without overfill, screen-temperature monitoring, and operator ergonomics</t>
        </is>
      </c>
      <c r="D51" s="528" t="inlineStr">
        <is>
          <t>Prior to Demo</t>
        </is>
      </c>
      <c r="E51" s="529" t="inlineStr">
        <is>
          <t>Med &gt; 1 week &lt; 1 Month</t>
        </is>
      </c>
      <c r="F51" s="24" t="inlineStr">
        <is>
          <t>09/27/2026</t>
        </is>
      </c>
      <c r="G51" s="24" t="n"/>
      <c r="H51" s="24" t="n"/>
      <c r="I51" s="24" t="n"/>
      <c r="J51" s="530" t="inlineStr">
        <is>
          <t>Purification</t>
        </is>
      </c>
      <c r="K51" s="267" t="inlineStr">
        <is>
          <t>Open</t>
        </is>
      </c>
      <c r="L51" s="248" t="n"/>
      <c r="M51" s="559" t="inlineStr">
        <is>
          <t>Production / Yanlong Li</t>
        </is>
      </c>
      <c r="N51" s="559" t="inlineStr">
        <is>
          <t>N/A</t>
        </is>
      </c>
      <c r="P51" s="559" t="inlineStr">
        <is>
          <t>Other</t>
        </is>
      </c>
    </row>
    <row r="52" ht="59.5" customHeight="1" s="557">
      <c r="A52" s="18" t="n">
        <v>51</v>
      </c>
      <c r="B52" s="531" t="inlineStr">
        <is>
          <t>BLA/technical</t>
        </is>
      </c>
      <c r="C52" s="532" t="inlineStr">
        <is>
          <t>Store hose ends at least 6 inches off the floor and provide a clear visual indicator confirming compliant storage position</t>
        </is>
      </c>
      <c r="D52" s="533" t="inlineStr">
        <is>
          <t>Prior to Pre-PPQ</t>
        </is>
      </c>
      <c r="E52" s="534" t="inlineStr">
        <is>
          <t>Med &gt; 1 week &lt; 1 Month</t>
        </is>
      </c>
      <c r="F52" s="25" t="inlineStr">
        <is>
          <t>10/04/2026</t>
        </is>
      </c>
      <c r="G52" s="25" t="inlineStr">
        <is>
          <t>No requirement for the height of purified water hose ends above the floor.</t>
        </is>
      </c>
      <c r="H52" s="25" t="inlineStr">
        <is>
          <t>Update the SOP to add a minimum height requirement of 6 inches.</t>
        </is>
      </c>
      <c r="I52" s="25" t="n"/>
      <c r="J52" s="535" t="inlineStr">
        <is>
          <t>Purification</t>
        </is>
      </c>
      <c r="K52" s="266" t="inlineStr">
        <is>
          <t>Open</t>
        </is>
      </c>
      <c r="L52" s="253" t="n"/>
      <c r="M52" s="558" t="inlineStr">
        <is>
          <t>Production / Chunpeng Hu</t>
        </is>
      </c>
      <c r="N52" s="558" t="inlineStr">
        <is>
          <t>QA / Xiong Xiong</t>
        </is>
      </c>
      <c r="O52" s="17" t="n"/>
      <c r="P52" s="558" t="inlineStr">
        <is>
          <t>Purified water (PW)</t>
        </is>
      </c>
    </row>
    <row r="53" ht="59.5" customHeight="1" s="557">
      <c r="A53" s="18" t="n">
        <v>52</v>
      </c>
      <c r="B53" s="536" t="inlineStr">
        <is>
          <t>BLA/technical</t>
        </is>
      </c>
      <c r="C53" s="537" t="inlineStr">
        <is>
          <t>Require contained devices for all solids-charging operations to prevent residual powder exposure to rooms and personnel. Require split valve charging strategy for all steps (including SPPS and cleavage).</t>
        </is>
      </c>
      <c r="D53" s="538" t="inlineStr">
        <is>
          <t>Prior to Pre-PPQ</t>
        </is>
      </c>
      <c r="E53" s="539" t="inlineStr">
        <is>
          <t>Med &gt; 1 week &lt; 1 Month</t>
        </is>
      </c>
      <c r="F53" s="24" t="inlineStr">
        <is>
          <t>To be provided by Linchong Liu</t>
        </is>
      </c>
      <c r="G53" s="24" t="n"/>
      <c r="H53" s="24" t="n"/>
      <c r="I53" s="24" t="n"/>
      <c r="J53" s="540" t="inlineStr">
        <is>
          <t>All Steps</t>
        </is>
      </c>
      <c r="K53" s="267" t="inlineStr">
        <is>
          <t>Open</t>
        </is>
      </c>
      <c r="L53" s="248" t="n"/>
      <c r="M53" s="559" t="inlineStr">
        <is>
          <t>Production / Yanlong Li</t>
        </is>
      </c>
      <c r="N53" s="559" t="inlineStr">
        <is>
          <t>N/A</t>
        </is>
      </c>
      <c r="P53" s="559" t="inlineStr">
        <is>
          <t>Other</t>
        </is>
      </c>
    </row>
    <row r="54" ht="208" customHeight="1" s="557">
      <c r="A54" s="18" t="n">
        <v>53</v>
      </c>
      <c r="B54" s="253" t="inlineStr">
        <is>
          <t>BLA</t>
        </is>
      </c>
      <c r="C54" s="541" t="inlineStr">
        <is>
          <t>Walk down all lines containing diaphragm valves, verify correct installation angle for drainability, and correct noncompliant installations</t>
        </is>
      </c>
      <c r="D54" s="542" t="inlineStr">
        <is>
          <t>Prior to Pre-PPQ</t>
        </is>
      </c>
      <c r="E54" s="543" t="inlineStr">
        <is>
          <t>Med &gt; 1 week &lt; 1 Month</t>
        </is>
      </c>
      <c r="F54" s="544" t="inlineStr">
        <is>
          <t>2D:
step1:
step2:
step3A:11/18/2026
step3B:
3D:
step1:
step2:
step3A:11/18/2026
step3B:</t>
        </is>
      </c>
      <c r="G54" s="25" t="n"/>
      <c r="H54" s="25" t="n"/>
      <c r="I54" s="25" t="n"/>
      <c r="J54" s="545" t="inlineStr">
        <is>
          <t>All Steps</t>
        </is>
      </c>
      <c r="K54" s="266" t="inlineStr">
        <is>
          <t>Open</t>
        </is>
      </c>
      <c r="L54" s="253" t="n"/>
      <c r="M54" s="558" t="inlineStr">
        <is>
          <t>Engineering / Hongjie Guo</t>
        </is>
      </c>
      <c r="N54" s="558" t="inlineStr">
        <is>
          <t>QA / Mingzhi Chen</t>
        </is>
      </c>
      <c r="O54" s="17" t="n"/>
      <c r="P54" s="558" t="inlineStr">
        <is>
          <t>Equipment modification</t>
        </is>
      </c>
    </row>
    <row r="55" ht="76" customHeight="1" s="557">
      <c r="A55" s="18" t="n">
        <v>54</v>
      </c>
      <c r="B55" s="546" t="inlineStr">
        <is>
          <t>Technical</t>
        </is>
      </c>
      <c r="C55" s="547" t="inlineStr">
        <is>
          <t>Ensure representative sampling capability exists for every required process sample while minimizing product loss</t>
        </is>
      </c>
      <c r="D55" s="548" t="inlineStr">
        <is>
          <t>Prior to Pre-PPQ</t>
        </is>
      </c>
      <c r="E55" s="549" t="inlineStr">
        <is>
          <t>Low &lt; 1 week</t>
        </is>
      </c>
      <c r="F55" s="24" t="inlineStr">
        <is>
          <t>Timing to be provided by Zepeng Guo</t>
        </is>
      </c>
      <c r="G55" s="24" t="inlineStr">
        <is>
          <t>N/A</t>
        </is>
      </c>
      <c r="H55" s="24" t="inlineStr">
        <is>
          <t>Install a sampling valve on the 100 L preparation vessel.</t>
        </is>
      </c>
      <c r="I55" s="24" t="inlineStr">
        <is>
          <t>N/A</t>
        </is>
      </c>
      <c r="J55" s="550" t="inlineStr">
        <is>
          <t>Purification</t>
        </is>
      </c>
      <c r="K55" s="267" t="inlineStr">
        <is>
          <t>Open</t>
        </is>
      </c>
      <c r="L55" s="248" t="n"/>
      <c r="M55" s="559" t="inlineStr">
        <is>
          <t>Engineering / Hongjie Guo
Production / Yanlong Li</t>
        </is>
      </c>
      <c r="N55" s="559" t="inlineStr">
        <is>
          <t>QA / Qi Wang</t>
        </is>
      </c>
      <c r="P55" s="559" t="inlineStr">
        <is>
          <t>Equipment modification</t>
        </is>
      </c>
    </row>
    <row r="56" ht="59.5" customHeight="1" s="557">
      <c r="A56" s="18" t="n">
        <v>55</v>
      </c>
      <c r="B56" s="552" t="inlineStr">
        <is>
          <t>BLA/technical</t>
        </is>
      </c>
      <c r="C56" s="553" t="inlineStr">
        <is>
          <t>Update calibration instructions to keep tanks capped while non-retractable pH probes are calibrated, and evaluate replacement with retractable probe housings</t>
        </is>
      </c>
      <c r="D56" s="554" t="inlineStr">
        <is>
          <t>Prior to Pre-PPQ</t>
        </is>
      </c>
      <c r="E56" s="555" t="inlineStr">
        <is>
          <t>Med &gt; 1 week &lt; 1 Month</t>
        </is>
      </c>
      <c r="F56" s="25" t="inlineStr">
        <is>
          <t>Procurement lead time: 6 weeks</t>
        </is>
      </c>
      <c r="G56" s="25" t="n"/>
      <c r="H56" s="25" t="n"/>
      <c r="I56" s="25" t="n"/>
      <c r="J56" s="556" t="inlineStr">
        <is>
          <t>Purification</t>
        </is>
      </c>
      <c r="K56" s="266" t="inlineStr">
        <is>
          <t>Open</t>
        </is>
      </c>
      <c r="L56" s="253" t="n"/>
      <c r="M56" s="558" t="inlineStr">
        <is>
          <t>Production / Yanlong Li</t>
        </is>
      </c>
      <c r="N56" s="558" t="inlineStr">
        <is>
          <t>QA / Mingzhi Chen</t>
        </is>
      </c>
      <c r="O56" s="17" t="n"/>
      <c r="P56" s="558" t="inlineStr">
        <is>
          <t>Other</t>
        </is>
      </c>
    </row>
    <row r="57" ht="14.0025" customHeight="1" s="557">
      <c r="K57" s="7" t="n"/>
    </row>
    <row r="58" ht="14.0025" customHeight="1" s="557">
      <c r="K58" s="7" t="n"/>
    </row>
    <row r="59" ht="14.0025" customHeight="1" s="557">
      <c r="K59" s="7" t="n"/>
    </row>
    <row r="60" ht="14.0025" customHeight="1" s="557">
      <c r="K60" s="7" t="n"/>
    </row>
    <row r="61" ht="14.0025" customHeight="1" s="557">
      <c r="K61" s="7" t="n"/>
    </row>
    <row r="62" ht="14.0025" customHeight="1" s="557">
      <c r="K62" s="7" t="n"/>
    </row>
    <row r="63" ht="14.0025" customHeight="1" s="557">
      <c r="K63" s="7" t="n"/>
    </row>
    <row r="64" ht="14.0025" customHeight="1" s="557">
      <c r="K64" s="7" t="n"/>
    </row>
    <row r="65" ht="14.0025" customHeight="1" s="557">
      <c r="K65" s="7" t="n"/>
    </row>
    <row r="66" ht="14.0025" customHeight="1" s="557">
      <c r="K66" s="7" t="n"/>
    </row>
    <row r="67" ht="14.0025" customHeight="1" s="557">
      <c r="K67" s="7" t="n"/>
    </row>
    <row r="68" ht="14.0025" customHeight="1" s="557">
      <c r="K68" s="7" t="n"/>
    </row>
    <row r="69" ht="14.0025" customHeight="1" s="557">
      <c r="K69" s="7" t="n"/>
    </row>
    <row r="70" ht="14.0025" customHeight="1" s="557">
      <c r="K70" s="7" t="n"/>
    </row>
    <row r="71" ht="14.0025" customHeight="1" s="557">
      <c r="K71" s="7" t="n"/>
    </row>
    <row r="72" ht="14.0025" customHeight="1" s="557">
      <c r="K72" s="7" t="n"/>
    </row>
    <row r="73" ht="14.0025" customHeight="1" s="557">
      <c r="K73" s="7" t="n"/>
    </row>
    <row r="74" ht="14.0025" customHeight="1" s="557">
      <c r="K74" s="7" t="n"/>
    </row>
    <row r="75" ht="14.0025" customHeight="1" s="557">
      <c r="K75" s="7" t="n"/>
    </row>
    <row r="76" ht="14.0025" customHeight="1" s="557">
      <c r="K76" s="7" t="n"/>
    </row>
    <row r="77" ht="14.0025" customHeight="1" s="557">
      <c r="K77" s="7" t="n"/>
    </row>
    <row r="78" ht="14.0025" customHeight="1" s="557">
      <c r="K78" s="7" t="n"/>
    </row>
    <row r="79" ht="14.0025" customHeight="1" s="557">
      <c r="K79" s="7" t="n"/>
    </row>
    <row r="80" ht="14.0025" customHeight="1" s="557">
      <c r="K80" s="7" t="n"/>
    </row>
    <row r="81" ht="14.0025" customHeight="1" s="557">
      <c r="K81" s="7" t="n"/>
    </row>
    <row r="82" ht="14.0025" customHeight="1" s="557">
      <c r="K82" s="7" t="n"/>
    </row>
    <row r="83" ht="14.0025" customHeight="1" s="557">
      <c r="K83" s="7" t="n"/>
    </row>
    <row r="84" ht="14.0025" customHeight="1" s="557">
      <c r="K84" s="7" t="n"/>
    </row>
    <row r="85" ht="14.0025" customHeight="1" s="557">
      <c r="K85" s="7" t="n"/>
    </row>
    <row r="86" ht="14.0025" customHeight="1" s="557">
      <c r="K86" s="7" t="n"/>
    </row>
    <row r="87" ht="14.0025" customHeight="1" s="557">
      <c r="K87" s="7" t="n"/>
    </row>
    <row r="88" ht="14.0025" customHeight="1" s="557">
      <c r="K88" s="7" t="n"/>
    </row>
    <row r="89" ht="14.0025" customHeight="1" s="557">
      <c r="K89" s="7" t="n"/>
    </row>
    <row r="90" ht="14.0025" customHeight="1" s="557">
      <c r="K90" s="7" t="n"/>
    </row>
    <row r="91" ht="14.0025" customHeight="1" s="557">
      <c r="K91" s="7" t="n"/>
    </row>
    <row r="92" ht="14.0025" customHeight="1" s="557">
      <c r="K92" s="7" t="n"/>
    </row>
    <row r="93" ht="14.0025" customHeight="1" s="557">
      <c r="K93" s="7" t="n"/>
    </row>
    <row r="94" ht="14.0025" customHeight="1" s="557">
      <c r="K94" s="7" t="n"/>
    </row>
    <row r="95" ht="14.0025" customHeight="1" s="557">
      <c r="K95" s="7" t="n"/>
    </row>
    <row r="96" ht="14.0025" customHeight="1" s="557">
      <c r="K96" s="7" t="n"/>
    </row>
    <row r="97" ht="14.0025" customHeight="1" s="557">
      <c r="K97" s="7" t="n"/>
    </row>
    <row r="98" ht="14.0025" customHeight="1" s="557">
      <c r="K98" s="7" t="n"/>
    </row>
    <row r="99" ht="14.0025" customHeight="1" s="557">
      <c r="K99" s="7" t="n"/>
    </row>
    <row r="100" ht="14.0025" customHeight="1" s="557">
      <c r="K100" s="7" t="n"/>
    </row>
    <row r="101" ht="14.0025" customHeight="1" s="557">
      <c r="K101" s="7" t="n"/>
    </row>
    <row r="102" ht="14.0025" customHeight="1" s="557">
      <c r="K102" s="7" t="n"/>
    </row>
    <row r="103" ht="14.0025" customHeight="1" s="557">
      <c r="K103" s="7" t="n"/>
    </row>
    <row r="104" ht="14.0025" customHeight="1" s="557">
      <c r="K104" s="7" t="n"/>
    </row>
    <row r="105" ht="14.0025" customHeight="1" s="557">
      <c r="K105" s="7" t="n"/>
    </row>
    <row r="106" ht="14.0025" customHeight="1" s="557">
      <c r="K106" s="7" t="n"/>
    </row>
    <row r="107" ht="14.0025" customHeight="1" s="557">
      <c r="K107" s="7" t="n"/>
    </row>
    <row r="108" ht="14.0025" customHeight="1" s="557">
      <c r="K108" s="7" t="n"/>
    </row>
    <row r="109" ht="14.0025" customHeight="1" s="557">
      <c r="K109" s="7" t="n"/>
    </row>
    <row r="110" ht="14.0025" customHeight="1" s="557">
      <c r="K110" s="7" t="n"/>
    </row>
    <row r="111" ht="14.0025" customHeight="1" s="557">
      <c r="K111" s="7" t="n"/>
    </row>
    <row r="112" ht="14.0025" customHeight="1" s="557">
      <c r="K112" s="7" t="n"/>
    </row>
    <row r="113" ht="14.0025" customHeight="1" s="557">
      <c r="K113" s="7" t="n"/>
    </row>
    <row r="114" ht="14.0025" customHeight="1" s="557">
      <c r="K114" s="7" t="n"/>
    </row>
    <row r="115" ht="14.0025" customHeight="1" s="557">
      <c r="K115" s="7" t="n"/>
    </row>
    <row r="116" ht="14.0025" customHeight="1" s="557">
      <c r="K116" s="7" t="n"/>
    </row>
    <row r="117" ht="14.0025" customHeight="1" s="557">
      <c r="K117" s="7" t="n"/>
    </row>
    <row r="118" ht="14.0025" customHeight="1" s="557">
      <c r="K118" s="7" t="n"/>
    </row>
    <row r="119" ht="14.0025" customHeight="1" s="557">
      <c r="K119" s="7" t="n"/>
    </row>
    <row r="120" ht="14.0025" customHeight="1" s="557">
      <c r="K120" s="7" t="n"/>
    </row>
    <row r="121" ht="14.0025" customHeight="1" s="557">
      <c r="K121" s="7" t="n"/>
    </row>
    <row r="122" ht="14.0025" customHeight="1" s="557">
      <c r="K122" s="7" t="n"/>
    </row>
    <row r="123" ht="14.0025" customHeight="1" s="557">
      <c r="K123" s="7" t="n"/>
    </row>
    <row r="124" ht="14.0025" customHeight="1" s="557">
      <c r="K124" s="7" t="n"/>
    </row>
    <row r="125" ht="14.0025" customHeight="1" s="557">
      <c r="K125" s="7" t="n"/>
    </row>
    <row r="126" ht="14.0025" customHeight="1" s="557">
      <c r="K126" s="7" t="n"/>
    </row>
    <row r="127" ht="14.0025" customHeight="1" s="557">
      <c r="K127" s="7" t="n"/>
    </row>
    <row r="128" ht="14.0025" customHeight="1" s="557">
      <c r="K128" s="7" t="n"/>
    </row>
    <row r="129" ht="14.0025" customHeight="1" s="557">
      <c r="K129" s="7" t="n"/>
    </row>
    <row r="130" ht="14.0025" customHeight="1" s="557">
      <c r="K130" s="7" t="n"/>
    </row>
    <row r="131" ht="14.0025" customHeight="1" s="557">
      <c r="K131" s="7" t="n"/>
    </row>
    <row r="132" ht="14.0025" customHeight="1" s="557">
      <c r="K132" s="7" t="n"/>
    </row>
    <row r="133" ht="14.0025" customHeight="1" s="557">
      <c r="K133" s="7" t="n"/>
    </row>
    <row r="134" ht="14.0025" customHeight="1" s="557">
      <c r="K134" s="7" t="n"/>
    </row>
    <row r="135" ht="14.0025" customHeight="1" s="557">
      <c r="K135" s="7" t="n"/>
    </row>
    <row r="136" ht="14.0025" customHeight="1" s="557">
      <c r="K136" s="7" t="n"/>
    </row>
    <row r="137" ht="14.0025" customHeight="1" s="557">
      <c r="K137" s="7" t="n"/>
    </row>
    <row r="138" ht="14.0025" customHeight="1" s="557">
      <c r="K138" s="7" t="n"/>
    </row>
    <row r="139" ht="14.0025" customHeight="1" s="557">
      <c r="K139" s="7" t="n"/>
    </row>
    <row r="140" ht="14.0025" customHeight="1" s="557">
      <c r="K140" s="7" t="n"/>
    </row>
    <row r="141" ht="14.0025" customHeight="1" s="557">
      <c r="K141" s="7" t="n"/>
    </row>
    <row r="142" ht="14.0025" customHeight="1" s="557">
      <c r="K142" s="7" t="n"/>
    </row>
    <row r="143" ht="14.0025" customHeight="1" s="557">
      <c r="K143" s="7" t="n"/>
    </row>
    <row r="144" ht="14.0025" customHeight="1" s="557">
      <c r="K144" s="7" t="n"/>
    </row>
    <row r="145" ht="14.0025" customHeight="1" s="557">
      <c r="K145" s="7" t="n"/>
    </row>
    <row r="146" ht="14.0025" customHeight="1" s="557">
      <c r="K146" s="7" t="n"/>
    </row>
    <row r="147" ht="14.0025" customHeight="1" s="557">
      <c r="K147" s="7" t="n"/>
    </row>
    <row r="148" ht="14.0025" customHeight="1" s="557">
      <c r="K148" s="7" t="n"/>
    </row>
    <row r="149" ht="14.0025" customHeight="1" s="557">
      <c r="K149" s="7" t="n"/>
    </row>
    <row r="150" ht="14.0025" customHeight="1" s="557">
      <c r="K150" s="7" t="n"/>
    </row>
    <row r="151" ht="14.0025" customHeight="1" s="557">
      <c r="K151" s="7" t="n"/>
    </row>
    <row r="152" ht="14.0025" customHeight="1" s="557">
      <c r="K152" s="7" t="n"/>
    </row>
    <row r="153" ht="14.0025" customHeight="1" s="557">
      <c r="K153" s="7" t="n"/>
    </row>
    <row r="154" ht="14.0025" customHeight="1" s="557">
      <c r="K154" s="7" t="n"/>
    </row>
    <row r="155" ht="14.0025" customHeight="1" s="557">
      <c r="K155" s="7" t="n"/>
    </row>
    <row r="156" ht="14.0025" customHeight="1" s="557">
      <c r="K156" s="7" t="n"/>
    </row>
    <row r="157" ht="14.0025" customHeight="1" s="557">
      <c r="K157" s="7" t="n"/>
    </row>
    <row r="158" ht="14.0025" customHeight="1" s="557">
      <c r="K158" s="7" t="n"/>
    </row>
    <row r="159" ht="14.0025" customHeight="1" s="557">
      <c r="K159" s="7" t="n"/>
    </row>
    <row r="160" ht="14.0025" customHeight="1" s="557">
      <c r="K160" s="7" t="n"/>
    </row>
    <row r="161" ht="14.0025" customHeight="1" s="557">
      <c r="K161" s="7" t="n"/>
    </row>
    <row r="162" ht="14.0025" customHeight="1" s="557">
      <c r="K162" s="7" t="n"/>
    </row>
    <row r="163" ht="14.0025" customHeight="1" s="557">
      <c r="K163" s="7" t="n"/>
    </row>
    <row r="164" ht="14.0025" customHeight="1" s="557">
      <c r="K164" s="7" t="n"/>
    </row>
    <row r="165" ht="14.0025" customHeight="1" s="557">
      <c r="K165" s="7" t="n"/>
    </row>
    <row r="166" ht="14.0025" customHeight="1" s="557">
      <c r="K166" s="7" t="n"/>
    </row>
    <row r="167" ht="14.0025" customHeight="1" s="557">
      <c r="K167" s="7" t="n"/>
    </row>
    <row r="168" ht="14.0025" customHeight="1" s="557">
      <c r="K168" s="7" t="n"/>
    </row>
    <row r="169" ht="14.0025" customHeight="1" s="557">
      <c r="K169" s="7" t="n"/>
    </row>
    <row r="170" ht="14.0025" customHeight="1" s="557">
      <c r="K170" s="7" t="n"/>
    </row>
    <row r="171" ht="14.0025" customHeight="1" s="557">
      <c r="K171" s="7" t="n"/>
    </row>
    <row r="172" ht="14.0025" customHeight="1" s="557">
      <c r="K172" s="7" t="n"/>
    </row>
    <row r="173" ht="14.0025" customHeight="1" s="557">
      <c r="K173" s="7" t="n"/>
    </row>
    <row r="174" ht="14.0025" customHeight="1" s="557">
      <c r="K174" s="7" t="n"/>
    </row>
    <row r="175" ht="14.0025" customHeight="1" s="557">
      <c r="K175" s="7" t="n"/>
    </row>
    <row r="176" ht="14.0025" customHeight="1" s="557">
      <c r="K176" s="7" t="n"/>
    </row>
    <row r="177" ht="14.0025" customHeight="1" s="557">
      <c r="K177" s="7" t="n"/>
    </row>
    <row r="178" ht="14.0025" customHeight="1" s="557">
      <c r="K178" s="7" t="n"/>
    </row>
    <row r="179" ht="14.0025" customHeight="1" s="557">
      <c r="K179" s="7" t="n"/>
    </row>
    <row r="180" ht="14.0025" customHeight="1" s="557">
      <c r="K180" s="7" t="n"/>
    </row>
    <row r="181" ht="14.0025" customHeight="1" s="557">
      <c r="K181" s="7" t="n"/>
    </row>
    <row r="182" ht="14.0025" customHeight="1" s="557">
      <c r="K182" s="7" t="n"/>
    </row>
    <row r="183" ht="14.0025" customHeight="1" s="557">
      <c r="K183" s="7" t="n"/>
    </row>
    <row r="184" ht="14.0025" customHeight="1" s="557">
      <c r="K184" s="7" t="n"/>
    </row>
    <row r="185" ht="14.0025" customHeight="1" s="557">
      <c r="K185" s="7" t="n"/>
    </row>
    <row r="186" ht="14.0025" customHeight="1" s="557">
      <c r="K186" s="7" t="n"/>
    </row>
    <row r="187" ht="14.0025" customHeight="1" s="557">
      <c r="K187" s="7" t="n"/>
    </row>
    <row r="188" ht="14.0025" customHeight="1" s="557">
      <c r="K188" s="7" t="n"/>
    </row>
    <row r="189" ht="14.0025" customHeight="1" s="557">
      <c r="K189" s="7" t="n"/>
    </row>
    <row r="190" ht="14.0025" customHeight="1" s="557">
      <c r="K190" s="7" t="n"/>
    </row>
    <row r="191" ht="14.0025" customHeight="1" s="557">
      <c r="K191" s="7" t="n"/>
    </row>
    <row r="192" ht="14.0025" customHeight="1" s="557">
      <c r="K192" s="7" t="n"/>
    </row>
    <row r="193" ht="14.0025" customHeight="1" s="557">
      <c r="K193" s="7" t="n"/>
    </row>
    <row r="194" ht="14.0025" customHeight="1" s="557">
      <c r="K194" s="7" t="n"/>
    </row>
    <row r="195" ht="14.0025" customHeight="1" s="557">
      <c r="K195" s="7" t="n"/>
    </row>
    <row r="196" ht="14.0025" customHeight="1" s="557">
      <c r="K196" s="7" t="n"/>
    </row>
    <row r="197" ht="14.0025" customHeight="1" s="557">
      <c r="K197" s="7" t="n"/>
    </row>
    <row r="198" ht="14.0025" customHeight="1" s="557">
      <c r="K198" s="7" t="n"/>
    </row>
    <row r="199" ht="14.0025" customHeight="1" s="557">
      <c r="K199" s="7" t="n"/>
    </row>
    <row r="200" ht="14.0025" customHeight="1" s="557">
      <c r="K200" s="7" t="n"/>
    </row>
  </sheetData>
  <conditionalFormatting sqref="D2:J56">
    <cfRule type="expression" priority="1" dxfId="0">
      <formula>D2="High"</formula>
    </cfRule>
    <cfRule type="expression" priority="2" dxfId="0">
      <formula>D2="Medium"</formula>
    </cfRule>
  </conditionalFormatting>
  <conditionalFormatting sqref="K2:K56">
    <cfRule type="expression" priority="5" dxfId="0">
      <formula>$K2="Completed"</formula>
    </cfRule>
    <cfRule type="expression" priority="6" dxfId="0">
      <formula>$K2="Blocked"</formula>
    </cfRule>
  </conditionalFormatting>
  <dataValidations count="1">
    <dataValidation sqref="K2:K56" showDropDown="0" showInputMessage="0" showErrorMessage="0" allowBlank="0" type="list">
      <formula1>"Open,In Progress,Blocked,Completed,Cancelled"</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E9"/>
  <sheetViews>
    <sheetView showGridLines="0" workbookViewId="0">
      <pane ySplit="2" topLeftCell="A3" activePane="bottomRight" state="frozen"/>
      <selection activeCell="A1" sqref="A1"/>
    </sheetView>
  </sheetViews>
  <sheetFormatPr baseColWidth="10" defaultColWidth="9" defaultRowHeight="14.0025" customHeight="1"/>
  <cols>
    <col width="24" customWidth="1" style="255" min="1" max="1"/>
    <col width="13.998046875" customWidth="1" style="255" min="2" max="2"/>
    <col width="18" customWidth="1" style="255" min="4" max="4"/>
    <col width="13.998046875" customWidth="1" style="255" min="5" max="5"/>
  </cols>
  <sheetData>
    <row r="1" ht="23.25" customHeight="1" s="557">
      <c r="A1" s="254" t="inlineStr">
        <is>
          <t>BLA Visit Action Tracker Summary</t>
        </is>
      </c>
    </row>
    <row r="3" ht="14" customHeight="1" s="557">
      <c r="A3" s="259" t="inlineStr">
        <is>
          <t>Metric</t>
        </is>
      </c>
      <c r="B3" s="259" t="inlineStr">
        <is>
          <t>Count</t>
        </is>
      </c>
      <c r="C3" s="259" t="n"/>
      <c r="D3" s="259" t="inlineStr">
        <is>
          <t>Priority</t>
        </is>
      </c>
      <c r="E3" s="259" t="inlineStr">
        <is>
          <t>Count</t>
        </is>
      </c>
    </row>
    <row r="4" ht="14" customHeight="1" s="557">
      <c r="A4" s="255" t="inlineStr">
        <is>
          <t>Total Actions</t>
        </is>
      </c>
      <c r="B4" s="255">
        <f>COUNTA('Action Tracker'!C2:C56)</f>
        <v>55</v>
      </c>
      <c r="D4" s="255" t="inlineStr">
        <is>
          <t>High</t>
        </is>
      </c>
      <c r="E4" s="255">
        <f>COUNTIF('Action Tracker'!E2:E56,"High*")</f>
        <v>9</v>
      </c>
    </row>
    <row r="5" ht="14" customHeight="1" s="557">
      <c r="A5" s="255" t="inlineStr">
        <is>
          <t>High Priority</t>
        </is>
      </c>
      <c r="B5" s="255">
        <f>COUNTIF('Action Tracker'!E2:E56,"High*")</f>
        <v>9</v>
      </c>
      <c r="D5" s="255" t="inlineStr">
        <is>
          <t>Medium</t>
        </is>
      </c>
      <c r="E5" s="255">
        <f>COUNTIF('Action Tracker'!E2:E56,"Med*")</f>
        <v>31</v>
      </c>
    </row>
    <row r="6" ht="14" customHeight="1" s="557">
      <c r="A6" s="255" t="inlineStr">
        <is>
          <t>Open</t>
        </is>
      </c>
      <c r="B6" s="255">
        <f>COUNTIF('Action Tracker'!K2:K56,"Open")</f>
        <v>49</v>
      </c>
      <c r="D6" s="255" t="inlineStr">
        <is>
          <t>Low</t>
        </is>
      </c>
      <c r="E6" s="255">
        <f>COUNTIF('Action Tracker'!E2:E56,"Low*")</f>
        <v>15</v>
      </c>
    </row>
    <row r="7" ht="14" customHeight="1" s="557">
      <c r="A7" s="255" t="inlineStr">
        <is>
          <t>In Progress</t>
        </is>
      </c>
      <c r="B7" s="255">
        <f>COUNTIF('Action Tracker'!K2:K56,"In Progress")</f>
        <v>1</v>
      </c>
    </row>
    <row r="8" ht="14" customHeight="1" s="557">
      <c r="A8" s="255" t="inlineStr">
        <is>
          <t>Blocked</t>
        </is>
      </c>
      <c r="B8" s="255">
        <f>COUNTIF('Action Tracker'!K2:K56,"Blocked")</f>
        <v>0</v>
      </c>
    </row>
    <row r="9" ht="14" customHeight="1" s="557">
      <c r="A9" s="255" t="inlineStr">
        <is>
          <t>Completed</t>
        </is>
      </c>
      <c r="B9" s="255">
        <f>COUNTIF('Action Tracker'!K2:K56,"Completed")</f>
        <v>5</v>
      </c>
    </row>
  </sheetData>
  <mergeCells count="1">
    <mergeCell ref="A1:D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F7"/>
  <sheetViews>
    <sheetView showGridLines="0" workbookViewId="0">
      <selection activeCell="A1" sqref="A1"/>
    </sheetView>
  </sheetViews>
  <sheetFormatPr baseColWidth="10" defaultColWidth="9" defaultRowHeight="14.0025" customHeight="1"/>
  <cols>
    <col width="24.9990234375" customWidth="1" style="255" min="1" max="1"/>
  </cols>
  <sheetData>
    <row r="1" ht="23.25" customHeight="1" s="557">
      <c r="A1" s="254" t="inlineStr">
        <is>
          <t>How to Use This Tracker</t>
        </is>
      </c>
    </row>
    <row r="3" ht="32.15" customHeight="1" s="557">
      <c r="A3" s="256" t="inlineStr">
        <is>
          <t>• Assign a named owner in the Suggested Owner column, replacing the suggested function if appropriate.</t>
        </is>
      </c>
    </row>
    <row r="4" ht="32.15" customHeight="1" s="557">
      <c r="A4" s="256" t="inlineStr">
        <is>
          <t>• Set a due date for every High-priority item.</t>
        </is>
      </c>
    </row>
    <row r="5" ht="32.15" customHeight="1" s="557">
      <c r="A5" s="256" t="inlineStr">
        <is>
          <t>• Use the Status dropdown to update progress.</t>
        </is>
      </c>
    </row>
    <row r="6" ht="32.15" customHeight="1" s="557">
      <c r="A6" s="256" t="inlineStr">
        <is>
          <t>• Use table filters to review actions by day, area, priority, owner, or status.</t>
        </is>
      </c>
    </row>
    <row r="7" ht="32.15" customHeight="1" s="557">
      <c r="A7" s="256" t="inlineStr">
        <is>
          <t>• Priorities and owners are suggested organizational fields derived from the visit notes and should be confirmed by the project team.</t>
        </is>
      </c>
    </row>
  </sheetData>
  <mergeCells count="6">
    <mergeCell ref="A1:F1"/>
    <mergeCell ref="A5:F5"/>
    <mergeCell ref="A6:F6"/>
    <mergeCell ref="A4:F4"/>
    <mergeCell ref="A3:F3"/>
    <mergeCell ref="A7:F7"/>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B2:E6"/>
  <sheetViews>
    <sheetView workbookViewId="0">
      <selection activeCell="A1" sqref="A1"/>
    </sheetView>
  </sheetViews>
  <sheetFormatPr baseColWidth="10" defaultColWidth="9" defaultRowHeight="14.0025" customHeight="1"/>
  <cols>
    <col width="20.4990234375" customWidth="1" style="255" min="2" max="2"/>
    <col width="23.4990234375" customWidth="1" style="255" min="3" max="3"/>
    <col width="24.498046875" customWidth="1" style="255" min="4" max="4"/>
    <col width="10.6640625" customWidth="1" style="255" min="5" max="5"/>
  </cols>
  <sheetData>
    <row r="2" ht="14" customHeight="1" s="557">
      <c r="B2" s="255" t="inlineStr">
        <is>
          <t>Category</t>
        </is>
      </c>
      <c r="C2" s="255" t="inlineStr">
        <is>
          <t>Implementation Timing</t>
        </is>
      </c>
      <c r="D2" s="255" t="inlineStr">
        <is>
          <t>Implementation Effort</t>
        </is>
      </c>
      <c r="E2" s="255" t="inlineStr">
        <is>
          <t xml:space="preserve">Scope </t>
        </is>
      </c>
    </row>
    <row r="3" ht="14" customHeight="1" s="557">
      <c r="B3" s="255" t="inlineStr">
        <is>
          <t>BLA</t>
        </is>
      </c>
      <c r="C3" s="255" t="inlineStr">
        <is>
          <t>Prior to Pre-PPQ</t>
        </is>
      </c>
      <c r="D3" s="255" t="inlineStr">
        <is>
          <t>Low &lt; 1 week</t>
        </is>
      </c>
      <c r="E3" s="255" t="inlineStr">
        <is>
          <t>All Steps</t>
        </is>
      </c>
    </row>
    <row r="4" ht="14" customHeight="1" s="557">
      <c r="B4" s="255" t="inlineStr">
        <is>
          <t>Technical</t>
        </is>
      </c>
      <c r="C4" s="255" t="inlineStr">
        <is>
          <t>Prior to Demo</t>
        </is>
      </c>
      <c r="D4" s="255" t="inlineStr">
        <is>
          <t>Med &gt; 1 week &lt; 1 Month</t>
        </is>
      </c>
      <c r="E4" s="255" t="inlineStr">
        <is>
          <t>SPPS</t>
        </is>
      </c>
    </row>
    <row r="5" ht="14" customHeight="1" s="557">
      <c r="B5" s="255" t="inlineStr">
        <is>
          <t>BLA/technical</t>
        </is>
      </c>
      <c r="C5" s="255" t="inlineStr">
        <is>
          <t>Post PPQ</t>
        </is>
      </c>
      <c r="D5" s="255" t="inlineStr">
        <is>
          <t>High &gt; 1 month</t>
        </is>
      </c>
      <c r="E5" s="255" t="inlineStr">
        <is>
          <t>Cleavage</t>
        </is>
      </c>
    </row>
    <row r="6" ht="14" customHeight="1" s="557">
      <c r="B6" s="255" t="inlineStr">
        <is>
          <t xml:space="preserve">Impurity Investigation </t>
        </is>
      </c>
      <c r="E6" s="255" t="inlineStr">
        <is>
          <t>Purification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2026-09-25T03:08:13Z</dcterms:modified>
  <cp:lastModifiedBy>DingTalk</cp:lastModifiedBy>
</cp:coreProperties>
</file>