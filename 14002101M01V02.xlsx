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f\"/>
    </mc:Choice>
  </mc:AlternateContent>
  <bookViews>
    <workbookView xWindow="2685" yWindow="1500" windowWidth="28245" windowHeight="17445"/>
  </bookViews>
  <sheets>
    <sheet name="配方" sheetId="1" r:id="rId1"/>
    <sheet name="树脂信息" sheetId="2" state="hidden" r:id="rId2"/>
    <sheet name="氨基酸和溶剂信息" sheetId="3" state="hidden" r:id="rId3"/>
    <sheet name="MOR投料表" sheetId="4" state="hidden" r:id="rId4"/>
  </sheets>
  <definedNames>
    <definedName name="_xlnm._FilterDatabase" localSheetId="2">氨基酸和溶剂信息!$A$1:$AE$179</definedName>
    <definedName name="_xlnm._FilterDatabase" localSheetId="0">配方!$A$1:$V$1064</definedName>
    <definedName name="_xlnm._FilterDatabase">#REF!</definedName>
    <definedName name="_Toc179363803" localSheetId="0">#REF!</definedName>
    <definedName name="_Toc179363803">#REF!</definedName>
    <definedName name="_Toc224162412" localSheetId="0">#REF!</definedName>
    <definedName name="_Toc224162412">#REF!</definedName>
    <definedName name="_xlnm.Criteria">#REF!</definedName>
    <definedName name="_xlnm.Print_Titles" localSheetId="0">配方!$1:$1</definedName>
    <definedName name="_xlnm.Print_Titles">配方!$1:$1</definedName>
    <definedName name="_xlnm.Extract">#REF!</definedName>
    <definedName name="选中400" localSheetId="2">#REF!</definedName>
    <definedName name="选中401" localSheetId="2">#REF!</definedName>
    <definedName name="选中402" localSheetId="2">#REF!</definedName>
    <definedName name="选中403" localSheetId="2">#REF!</definedName>
  </definedNames>
  <calcPr calcId="162913" refMode="R1C1"/>
</workbook>
</file>

<file path=xl/calcChain.xml><?xml version="1.0" encoding="utf-8"?>
<calcChain xmlns="http://schemas.openxmlformats.org/spreadsheetml/2006/main">
  <c r="A131" i="4" l="1"/>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79" i="3"/>
  <c r="A178" i="3"/>
  <c r="H177" i="3"/>
  <c r="J177" i="3" s="1"/>
  <c r="A177" i="3"/>
  <c r="A176" i="3"/>
  <c r="H175" i="3"/>
  <c r="J175" i="3" s="1"/>
  <c r="A175" i="3"/>
  <c r="A174" i="3"/>
  <c r="A173" i="3"/>
  <c r="H172" i="3"/>
  <c r="J172" i="3" s="1"/>
  <c r="A172" i="3"/>
  <c r="A171" i="3"/>
  <c r="H170" i="3"/>
  <c r="J170" i="3" s="1"/>
  <c r="A170" i="3"/>
  <c r="H169" i="3"/>
  <c r="J169" i="3" s="1"/>
  <c r="A169" i="3"/>
  <c r="AC168" i="3"/>
  <c r="AB168" i="3"/>
  <c r="W168" i="3"/>
  <c r="U168" i="3"/>
  <c r="Z168" i="3" s="1"/>
  <c r="T168" i="3"/>
  <c r="Q168" i="3"/>
  <c r="F168" i="3"/>
  <c r="A168" i="3"/>
  <c r="H167" i="3"/>
  <c r="J167" i="3" s="1"/>
  <c r="A167" i="3"/>
  <c r="A165" i="3"/>
  <c r="A164" i="3"/>
  <c r="H163" i="3"/>
  <c r="J163" i="3" s="1"/>
  <c r="A163" i="3"/>
  <c r="A162" i="3"/>
  <c r="H161" i="3"/>
  <c r="J161" i="3" s="1"/>
  <c r="A161" i="3"/>
  <c r="J160" i="3"/>
  <c r="H160" i="3"/>
  <c r="A160" i="3"/>
  <c r="AC159" i="3"/>
  <c r="AB159" i="3"/>
  <c r="W159" i="3"/>
  <c r="U159" i="3"/>
  <c r="Z159" i="3" s="1"/>
  <c r="T159" i="3"/>
  <c r="Q159" i="3"/>
  <c r="F159" i="3"/>
  <c r="A159" i="3"/>
  <c r="H158" i="3"/>
  <c r="J158" i="3" s="1"/>
  <c r="A158" i="3"/>
  <c r="A156" i="3"/>
  <c r="J155" i="3"/>
  <c r="H155" i="3"/>
  <c r="A155" i="3"/>
  <c r="H154" i="3"/>
  <c r="J154" i="3" s="1"/>
  <c r="A154" i="3"/>
  <c r="H153" i="3"/>
  <c r="F153" i="3"/>
  <c r="A153" i="3"/>
  <c r="H152" i="3"/>
  <c r="J152" i="3" s="1"/>
  <c r="A152" i="3"/>
  <c r="AC151" i="3"/>
  <c r="AB151" i="3"/>
  <c r="Z151" i="3"/>
  <c r="W151" i="3"/>
  <c r="V151" i="3"/>
  <c r="U151" i="3"/>
  <c r="T151" i="3"/>
  <c r="Q151" i="3"/>
  <c r="F151" i="3"/>
  <c r="A151" i="3"/>
  <c r="AC150" i="3"/>
  <c r="AB150" i="3"/>
  <c r="W150" i="3"/>
  <c r="U150" i="3"/>
  <c r="V150" i="3" s="1"/>
  <c r="T150" i="3"/>
  <c r="Q150" i="3"/>
  <c r="F150" i="3"/>
  <c r="A150" i="3"/>
  <c r="AC149" i="3"/>
  <c r="AB149" i="3"/>
  <c r="W149" i="3"/>
  <c r="V149" i="3"/>
  <c r="U149" i="3"/>
  <c r="Z149" i="3" s="1"/>
  <c r="T149" i="3"/>
  <c r="Q149" i="3"/>
  <c r="F149" i="3"/>
  <c r="A149" i="3"/>
  <c r="H148" i="3"/>
  <c r="J148" i="3" s="1"/>
  <c r="A148" i="3"/>
  <c r="J147" i="3"/>
  <c r="H147" i="3"/>
  <c r="A147" i="3"/>
  <c r="H146" i="3"/>
  <c r="J146" i="3" s="1"/>
  <c r="A146" i="3"/>
  <c r="A145" i="3"/>
  <c r="A144" i="3"/>
  <c r="H143" i="3"/>
  <c r="J143" i="3" s="1"/>
  <c r="A143" i="3"/>
  <c r="J142" i="3"/>
  <c r="H142" i="3"/>
  <c r="A142" i="3"/>
  <c r="A141" i="3"/>
  <c r="A140" i="3"/>
  <c r="H139" i="3"/>
  <c r="J139" i="3" s="1"/>
  <c r="A139" i="3"/>
  <c r="AB138" i="3"/>
  <c r="Z138" i="3"/>
  <c r="W138" i="3"/>
  <c r="U138" i="3"/>
  <c r="V138" i="3" s="1"/>
  <c r="T138" i="3"/>
  <c r="Q138" i="3"/>
  <c r="F138" i="3"/>
  <c r="A138" i="3"/>
  <c r="AB137" i="3"/>
  <c r="Z137" i="3"/>
  <c r="W137" i="3"/>
  <c r="U137" i="3"/>
  <c r="V137" i="3" s="1"/>
  <c r="T137" i="3"/>
  <c r="Q137" i="3"/>
  <c r="H137" i="3"/>
  <c r="J137" i="3" s="1"/>
  <c r="A137" i="3"/>
  <c r="H136" i="3"/>
  <c r="J136" i="3" s="1"/>
  <c r="A136" i="3"/>
  <c r="H135" i="3"/>
  <c r="J135" i="3" s="1"/>
  <c r="A135" i="3"/>
  <c r="AC134" i="3"/>
  <c r="AB134" i="3"/>
  <c r="W134" i="3"/>
  <c r="U134" i="3"/>
  <c r="V134" i="3" s="1"/>
  <c r="T134" i="3"/>
  <c r="Q134" i="3"/>
  <c r="F134" i="3"/>
  <c r="A134" i="3"/>
  <c r="AC133" i="3"/>
  <c r="AB133" i="3"/>
  <c r="W133" i="3"/>
  <c r="V133" i="3"/>
  <c r="U133" i="3"/>
  <c r="Z133" i="3" s="1"/>
  <c r="T133" i="3"/>
  <c r="Q133" i="3"/>
  <c r="F133" i="3"/>
  <c r="A133" i="3"/>
  <c r="H132" i="3"/>
  <c r="J132" i="3" s="1"/>
  <c r="A132" i="3"/>
  <c r="J131" i="3"/>
  <c r="H131" i="3"/>
  <c r="A131" i="3"/>
  <c r="H130" i="3"/>
  <c r="J130" i="3" s="1"/>
  <c r="A130" i="3"/>
  <c r="A129" i="3"/>
  <c r="A128" i="3"/>
  <c r="H127" i="3"/>
  <c r="J127" i="3" s="1"/>
  <c r="A127" i="3"/>
  <c r="J126" i="3"/>
  <c r="H126" i="3"/>
  <c r="A126" i="3"/>
  <c r="A125" i="3"/>
  <c r="A124" i="3"/>
  <c r="J123" i="3"/>
  <c r="H123" i="3"/>
  <c r="A123" i="3"/>
  <c r="J122" i="3"/>
  <c r="H122" i="3"/>
  <c r="A122" i="3"/>
  <c r="F121" i="3"/>
  <c r="A121" i="3"/>
  <c r="H120" i="3"/>
  <c r="J120" i="3" s="1"/>
  <c r="A120" i="3"/>
  <c r="AC119" i="3"/>
  <c r="AB119" i="3"/>
  <c r="W119" i="3"/>
  <c r="U119" i="3"/>
  <c r="Z119" i="3" s="1"/>
  <c r="T119" i="3"/>
  <c r="Q119" i="3"/>
  <c r="F119" i="3"/>
  <c r="A119" i="3"/>
  <c r="AC118" i="3"/>
  <c r="AB118" i="3"/>
  <c r="W118" i="3"/>
  <c r="U118" i="3"/>
  <c r="V118" i="3" s="1"/>
  <c r="T118" i="3"/>
  <c r="Q118" i="3"/>
  <c r="F118" i="3"/>
  <c r="A118" i="3"/>
  <c r="J117" i="3"/>
  <c r="H117" i="3"/>
  <c r="A117" i="3"/>
  <c r="J116" i="3"/>
  <c r="H116" i="3"/>
  <c r="A116" i="3"/>
  <c r="J115" i="3"/>
  <c r="H115" i="3"/>
  <c r="A115" i="3"/>
  <c r="A114" i="3"/>
  <c r="A113" i="3"/>
  <c r="H112" i="3"/>
  <c r="J112" i="3" s="1"/>
  <c r="A112" i="3"/>
  <c r="H111" i="3"/>
  <c r="J111" i="3" s="1"/>
  <c r="A111" i="3"/>
  <c r="A110" i="3"/>
  <c r="A109" i="3"/>
  <c r="J108" i="3"/>
  <c r="H108" i="3"/>
  <c r="A108" i="3"/>
  <c r="H107" i="3"/>
  <c r="J107" i="3" s="1"/>
  <c r="A107" i="3"/>
  <c r="F106" i="3"/>
  <c r="A106" i="3"/>
  <c r="J105" i="3"/>
  <c r="H105" i="3"/>
  <c r="A105" i="3"/>
  <c r="AC104" i="3"/>
  <c r="AB104" i="3"/>
  <c r="Z104" i="3"/>
  <c r="W104" i="3"/>
  <c r="U104" i="3"/>
  <c r="V104" i="3" s="1"/>
  <c r="T104" i="3"/>
  <c r="Q104" i="3"/>
  <c r="F104" i="3"/>
  <c r="A104" i="3"/>
  <c r="AC103" i="3"/>
  <c r="AB103" i="3"/>
  <c r="Z103" i="3"/>
  <c r="W103" i="3"/>
  <c r="V103" i="3"/>
  <c r="U103" i="3"/>
  <c r="T103" i="3"/>
  <c r="Q103" i="3"/>
  <c r="F103" i="3"/>
  <c r="A103" i="3"/>
  <c r="J102" i="3"/>
  <c r="H102" i="3"/>
  <c r="A102" i="3"/>
  <c r="J101" i="3"/>
  <c r="H101" i="3"/>
  <c r="A101" i="3"/>
  <c r="J100" i="3"/>
  <c r="H100" i="3"/>
  <c r="A100" i="3"/>
  <c r="A99" i="3"/>
  <c r="A98" i="3"/>
  <c r="J97" i="3"/>
  <c r="H97" i="3"/>
  <c r="A97" i="3"/>
  <c r="H96" i="3"/>
  <c r="J96" i="3" s="1"/>
  <c r="A96" i="3"/>
  <c r="A95" i="3"/>
  <c r="A94" i="3"/>
  <c r="H93" i="3"/>
  <c r="J93" i="3" s="1"/>
  <c r="A93" i="3"/>
  <c r="H92" i="3"/>
  <c r="J92" i="3" s="1"/>
  <c r="A92" i="3"/>
  <c r="F91" i="3"/>
  <c r="A91" i="3"/>
  <c r="J90" i="3"/>
  <c r="H90" i="3"/>
  <c r="A90" i="3"/>
  <c r="AC89" i="3"/>
  <c r="AB89" i="3"/>
  <c r="Z89" i="3"/>
  <c r="W89" i="3"/>
  <c r="U89" i="3"/>
  <c r="V89" i="3" s="1"/>
  <c r="T89" i="3"/>
  <c r="Q89" i="3"/>
  <c r="F89" i="3"/>
  <c r="A89" i="3"/>
  <c r="AC88" i="3"/>
  <c r="AB88" i="3"/>
  <c r="W88" i="3"/>
  <c r="U88" i="3"/>
  <c r="V88" i="3" s="1"/>
  <c r="T88" i="3"/>
  <c r="Q88" i="3"/>
  <c r="F88" i="3"/>
  <c r="A88" i="3"/>
  <c r="H87" i="3"/>
  <c r="J87" i="3" s="1"/>
  <c r="A87" i="3"/>
  <c r="H86" i="3"/>
  <c r="J86" i="3" s="1"/>
  <c r="A86" i="3"/>
  <c r="H85" i="3"/>
  <c r="J85" i="3" s="1"/>
  <c r="A85" i="3"/>
  <c r="A84" i="3"/>
  <c r="A83" i="3"/>
  <c r="H82" i="3"/>
  <c r="J82" i="3" s="1"/>
  <c r="A82" i="3"/>
  <c r="H81" i="3"/>
  <c r="J81" i="3" s="1"/>
  <c r="A81" i="3"/>
  <c r="A80" i="3"/>
  <c r="A79" i="3"/>
  <c r="J78" i="3"/>
  <c r="H78" i="3"/>
  <c r="A78" i="3"/>
  <c r="J77" i="3"/>
  <c r="H77" i="3"/>
  <c r="A77" i="3"/>
  <c r="F76" i="3"/>
  <c r="A76" i="3"/>
  <c r="H75" i="3"/>
  <c r="J75" i="3" s="1"/>
  <c r="A75" i="3"/>
  <c r="AC74" i="3"/>
  <c r="AB74" i="3"/>
  <c r="Z74" i="3"/>
  <c r="W74" i="3"/>
  <c r="V74" i="3"/>
  <c r="U74" i="3"/>
  <c r="T74" i="3"/>
  <c r="Q74" i="3"/>
  <c r="F74" i="3"/>
  <c r="A74" i="3"/>
  <c r="AC73" i="3"/>
  <c r="AB73" i="3"/>
  <c r="W73" i="3"/>
  <c r="U73" i="3"/>
  <c r="Z73" i="3" s="1"/>
  <c r="T73" i="3"/>
  <c r="Q73" i="3"/>
  <c r="F73" i="3"/>
  <c r="A73" i="3"/>
  <c r="H72" i="3"/>
  <c r="J72" i="3" s="1"/>
  <c r="A72" i="3"/>
  <c r="H71" i="3"/>
  <c r="J71" i="3" s="1"/>
  <c r="A71" i="3"/>
  <c r="J70" i="3"/>
  <c r="H70" i="3"/>
  <c r="A70" i="3"/>
  <c r="A69" i="3"/>
  <c r="A68" i="3"/>
  <c r="J67" i="3"/>
  <c r="H67" i="3"/>
  <c r="A67" i="3"/>
  <c r="J66" i="3"/>
  <c r="H66" i="3"/>
  <c r="A66" i="3"/>
  <c r="A65" i="3"/>
  <c r="A64" i="3"/>
  <c r="J63" i="3"/>
  <c r="H63" i="3"/>
  <c r="A63" i="3"/>
  <c r="AB62" i="3"/>
  <c r="W62" i="3"/>
  <c r="U62" i="3"/>
  <c r="T62" i="3"/>
  <c r="Q62" i="3"/>
  <c r="F62" i="3"/>
  <c r="A62" i="3"/>
  <c r="AB61" i="3"/>
  <c r="Z61" i="3"/>
  <c r="W61" i="3"/>
  <c r="U61" i="3"/>
  <c r="V61" i="3" s="1"/>
  <c r="T61" i="3"/>
  <c r="Q61" i="3"/>
  <c r="H61" i="3"/>
  <c r="J61" i="3" s="1"/>
  <c r="A61" i="3"/>
  <c r="H60" i="3"/>
  <c r="J60" i="3" s="1"/>
  <c r="A60" i="3"/>
  <c r="H59" i="3"/>
  <c r="J59" i="3" s="1"/>
  <c r="A59" i="3"/>
  <c r="AC58" i="3"/>
  <c r="AB58" i="3"/>
  <c r="W58" i="3"/>
  <c r="U58" i="3"/>
  <c r="T58" i="3"/>
  <c r="Q58" i="3"/>
  <c r="F58" i="3"/>
  <c r="A58" i="3"/>
  <c r="AC57" i="3"/>
  <c r="AB57" i="3"/>
  <c r="Z57" i="3"/>
  <c r="W57" i="3"/>
  <c r="V57" i="3"/>
  <c r="U57" i="3"/>
  <c r="T57" i="3"/>
  <c r="Q57" i="3"/>
  <c r="H57" i="3"/>
  <c r="F57" i="3"/>
  <c r="A57" i="3"/>
  <c r="J56" i="3"/>
  <c r="H56" i="3"/>
  <c r="A56" i="3"/>
  <c r="H55" i="3"/>
  <c r="J55" i="3" s="1"/>
  <c r="A55" i="3"/>
  <c r="H54" i="3"/>
  <c r="J54" i="3" s="1"/>
  <c r="A54" i="3"/>
  <c r="A53" i="3"/>
  <c r="A52" i="3"/>
  <c r="H51" i="3"/>
  <c r="J51" i="3" s="1"/>
  <c r="A51" i="3"/>
  <c r="H50" i="3"/>
  <c r="J50" i="3" s="1"/>
  <c r="A50" i="3"/>
  <c r="A49" i="3"/>
  <c r="A48" i="3"/>
  <c r="H47" i="3"/>
  <c r="J47" i="3" s="1"/>
  <c r="A47" i="3"/>
  <c r="J46" i="3"/>
  <c r="H46" i="3"/>
  <c r="A46" i="3"/>
  <c r="F45" i="3"/>
  <c r="A45" i="3"/>
  <c r="H44" i="3"/>
  <c r="J44" i="3" s="1"/>
  <c r="A44" i="3"/>
  <c r="AC43" i="3"/>
  <c r="AB43" i="3"/>
  <c r="Z43" i="3"/>
  <c r="W43" i="3"/>
  <c r="V43" i="3"/>
  <c r="U43" i="3"/>
  <c r="T43" i="3"/>
  <c r="Q43" i="3"/>
  <c r="M43" i="3"/>
  <c r="H43" i="3"/>
  <c r="F43" i="3"/>
  <c r="A43" i="3"/>
  <c r="AC42" i="3"/>
  <c r="AB42" i="3"/>
  <c r="Z42" i="3"/>
  <c r="W42" i="3"/>
  <c r="V42" i="3"/>
  <c r="U42" i="3"/>
  <c r="T42" i="3"/>
  <c r="Q42" i="3"/>
  <c r="F42" i="3"/>
  <c r="A42" i="3"/>
  <c r="J41" i="3"/>
  <c r="H41" i="3"/>
  <c r="A41" i="3"/>
  <c r="J40" i="3"/>
  <c r="H40" i="3"/>
  <c r="A40" i="3"/>
  <c r="J39" i="3"/>
  <c r="H39" i="3"/>
  <c r="A39" i="3"/>
  <c r="A38" i="3"/>
  <c r="A37" i="3"/>
  <c r="J36" i="3"/>
  <c r="H36" i="3"/>
  <c r="A36" i="3"/>
  <c r="H35" i="3"/>
  <c r="J35" i="3" s="1"/>
  <c r="A35" i="3"/>
  <c r="A34" i="3"/>
  <c r="A33" i="3"/>
  <c r="H32" i="3"/>
  <c r="J32" i="3" s="1"/>
  <c r="A32" i="3"/>
  <c r="H31" i="3"/>
  <c r="J31" i="3" s="1"/>
  <c r="A31" i="3"/>
  <c r="J30" i="3"/>
  <c r="H30" i="3"/>
  <c r="A30" i="3"/>
  <c r="Z29" i="3"/>
  <c r="W29" i="3"/>
  <c r="V29" i="3"/>
  <c r="U29" i="3"/>
  <c r="T29" i="3"/>
  <c r="Q29" i="3"/>
  <c r="F29" i="3"/>
  <c r="A29" i="3"/>
  <c r="J28" i="3"/>
  <c r="H28" i="3"/>
  <c r="A28" i="3"/>
  <c r="AC27" i="3"/>
  <c r="AB27" i="3"/>
  <c r="Z27" i="3"/>
  <c r="W27" i="3"/>
  <c r="U27" i="3"/>
  <c r="V27" i="3" s="1"/>
  <c r="T27" i="3"/>
  <c r="Q27" i="3"/>
  <c r="F27" i="3"/>
  <c r="A27" i="3"/>
  <c r="AC26" i="3"/>
  <c r="AB26" i="3"/>
  <c r="W26" i="3"/>
  <c r="V26" i="3"/>
  <c r="U26" i="3"/>
  <c r="Z26" i="3" s="1"/>
  <c r="T26" i="3"/>
  <c r="Q26" i="3"/>
  <c r="F26" i="3"/>
  <c r="A26" i="3"/>
  <c r="AC25" i="3"/>
  <c r="AB25" i="3"/>
  <c r="Z25" i="3"/>
  <c r="W25" i="3"/>
  <c r="V25" i="3"/>
  <c r="U25" i="3"/>
  <c r="T25" i="3"/>
  <c r="Q25" i="3"/>
  <c r="F25" i="3"/>
  <c r="A25" i="3"/>
  <c r="J24" i="3"/>
  <c r="H24" i="3"/>
  <c r="A24" i="3"/>
  <c r="J23" i="3"/>
  <c r="H23" i="3"/>
  <c r="A23" i="3"/>
  <c r="J22" i="3"/>
  <c r="H22" i="3"/>
  <c r="A22" i="3"/>
  <c r="A21" i="3"/>
  <c r="H20" i="3"/>
  <c r="J20" i="3" s="1"/>
  <c r="A20" i="3"/>
  <c r="J19" i="3"/>
  <c r="H19" i="3"/>
  <c r="A19" i="3"/>
  <c r="A18" i="3"/>
  <c r="A17" i="3"/>
  <c r="J16" i="3"/>
  <c r="H16" i="3"/>
  <c r="A16" i="3"/>
  <c r="AB15" i="3"/>
  <c r="W15" i="3"/>
  <c r="U15" i="3"/>
  <c r="T15" i="3"/>
  <c r="Q15" i="3"/>
  <c r="M15" i="3"/>
  <c r="J15" i="3"/>
  <c r="H15" i="3"/>
  <c r="K15" i="3" s="1"/>
  <c r="F15" i="3"/>
  <c r="A15" i="3"/>
  <c r="AB14" i="3"/>
  <c r="Z14" i="3"/>
  <c r="W14" i="3"/>
  <c r="U14" i="3"/>
  <c r="V14" i="3" s="1"/>
  <c r="T14" i="3"/>
  <c r="Q14" i="3"/>
  <c r="F14" i="3"/>
  <c r="A14" i="3"/>
  <c r="H13" i="3"/>
  <c r="J13" i="3" s="1"/>
  <c r="A13" i="3"/>
  <c r="H11" i="3"/>
  <c r="J11" i="3" s="1"/>
  <c r="A11" i="3"/>
  <c r="J10" i="3"/>
  <c r="H10" i="3"/>
  <c r="A10" i="3"/>
  <c r="F9" i="3"/>
  <c r="A9" i="3"/>
  <c r="H8" i="3"/>
  <c r="J8" i="3" s="1"/>
  <c r="A8" i="3"/>
  <c r="J7" i="3"/>
  <c r="H7" i="3"/>
  <c r="A7" i="3"/>
  <c r="AC6" i="3"/>
  <c r="AB6" i="3"/>
  <c r="W6" i="3"/>
  <c r="U6" i="3"/>
  <c r="T6" i="3"/>
  <c r="Q6" i="3"/>
  <c r="F6" i="3"/>
  <c r="A6" i="3"/>
  <c r="H5" i="3"/>
  <c r="J5" i="3" s="1"/>
  <c r="A5" i="3"/>
  <c r="J4" i="3"/>
  <c r="H4" i="3"/>
  <c r="A4" i="3"/>
  <c r="J3" i="3"/>
  <c r="H3" i="3"/>
  <c r="A3" i="3"/>
  <c r="J2" i="3"/>
  <c r="H2" i="3"/>
  <c r="A2" i="3"/>
  <c r="F11" i="2"/>
  <c r="F5" i="2"/>
  <c r="D4" i="2"/>
  <c r="H25" i="3" s="1"/>
  <c r="G1064" i="1"/>
  <c r="F1064" i="1"/>
  <c r="G1062" i="1"/>
  <c r="G1063" i="1" s="1"/>
  <c r="G1060" i="1"/>
  <c r="F1059" i="1"/>
  <c r="F1060" i="1" s="1"/>
  <c r="F1061" i="1" s="1"/>
  <c r="F1062" i="1" s="1"/>
  <c r="G1058" i="1"/>
  <c r="G1056" i="1"/>
  <c r="F1056" i="1"/>
  <c r="F1057" i="1" s="1"/>
  <c r="F1058" i="1" s="1"/>
  <c r="F1055" i="1"/>
  <c r="T1054" i="1"/>
  <c r="T1055" i="1" s="1"/>
  <c r="T1056" i="1" s="1"/>
  <c r="T1057" i="1" s="1"/>
  <c r="T1058" i="1" s="1"/>
  <c r="T1059" i="1" s="1"/>
  <c r="T1060" i="1" s="1"/>
  <c r="T1061" i="1" s="1"/>
  <c r="T1062" i="1" s="1"/>
  <c r="T1063" i="1" s="1"/>
  <c r="T1064" i="1" s="1"/>
  <c r="K1054" i="1"/>
  <c r="K1055" i="1" s="1"/>
  <c r="K1056" i="1" s="1"/>
  <c r="K1057" i="1" s="1"/>
  <c r="K1058" i="1" s="1"/>
  <c r="K1059" i="1" s="1"/>
  <c r="K1060" i="1" s="1"/>
  <c r="K1061" i="1" s="1"/>
  <c r="K1062" i="1" s="1"/>
  <c r="K1063" i="1" s="1"/>
  <c r="K1064" i="1" s="1"/>
  <c r="F1054" i="1"/>
  <c r="T1053" i="1"/>
  <c r="H1053" i="1"/>
  <c r="H1054" i="1" s="1"/>
  <c r="H1055" i="1" s="1"/>
  <c r="H1056" i="1" s="1"/>
  <c r="H1057" i="1" s="1"/>
  <c r="H1058" i="1" s="1"/>
  <c r="H1059" i="1" s="1"/>
  <c r="H1060" i="1" s="1"/>
  <c r="H1061" i="1" s="1"/>
  <c r="H1062" i="1" s="1"/>
  <c r="H1063" i="1" s="1"/>
  <c r="T1052" i="1"/>
  <c r="G1052" i="1"/>
  <c r="G1053" i="1" s="1"/>
  <c r="G1054" i="1" s="1"/>
  <c r="H1051" i="1"/>
  <c r="G1051" i="1"/>
  <c r="T1050" i="1"/>
  <c r="T1051" i="1" s="1"/>
  <c r="F1050" i="1"/>
  <c r="F1051" i="1" s="1"/>
  <c r="F1052" i="1" s="1"/>
  <c r="G1049" i="1"/>
  <c r="G1050" i="1" s="1"/>
  <c r="F1048" i="1"/>
  <c r="T1045" i="1"/>
  <c r="T1046" i="1" s="1"/>
  <c r="T1047" i="1" s="1"/>
  <c r="T1048" i="1" s="1"/>
  <c r="T1049" i="1" s="1"/>
  <c r="Q1045" i="1"/>
  <c r="R1045" i="1" s="1"/>
  <c r="U1045" i="1" s="1"/>
  <c r="O1045" i="1"/>
  <c r="N1045" i="1"/>
  <c r="T1044" i="1"/>
  <c r="K1044" i="1"/>
  <c r="K1045" i="1" s="1"/>
  <c r="K1046" i="1" s="1"/>
  <c r="K1047" i="1" s="1"/>
  <c r="K1048" i="1" s="1"/>
  <c r="K1049" i="1" s="1"/>
  <c r="K1050" i="1" s="1"/>
  <c r="K1051" i="1" s="1"/>
  <c r="K1052" i="1" s="1"/>
  <c r="K1053" i="1" s="1"/>
  <c r="F1044" i="1"/>
  <c r="F1045" i="1" s="1"/>
  <c r="F1046" i="1" s="1"/>
  <c r="G1043" i="1"/>
  <c r="G1044" i="1" s="1"/>
  <c r="G1045" i="1" s="1"/>
  <c r="G1046" i="1" s="1"/>
  <c r="G1047" i="1" s="1"/>
  <c r="F1042" i="1"/>
  <c r="T1039" i="1"/>
  <c r="T1040" i="1" s="1"/>
  <c r="T1041" i="1" s="1"/>
  <c r="T1042" i="1" s="1"/>
  <c r="T1043" i="1" s="1"/>
  <c r="O1039" i="1"/>
  <c r="N1039" i="1"/>
  <c r="Q1039" i="1" s="1"/>
  <c r="R1039" i="1" s="1"/>
  <c r="U1039" i="1" s="1"/>
  <c r="T1038" i="1"/>
  <c r="L1038" i="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36" i="1"/>
  <c r="H1036" i="1"/>
  <c r="H1038" i="1" s="1"/>
  <c r="H1039" i="1" s="1"/>
  <c r="H1040" i="1" s="1"/>
  <c r="H1041" i="1" s="1"/>
  <c r="H1042" i="1" s="1"/>
  <c r="H1043" i="1" s="1"/>
  <c r="H1044" i="1" s="1"/>
  <c r="H1045" i="1" s="1"/>
  <c r="H1046" i="1" s="1"/>
  <c r="H1047" i="1" s="1"/>
  <c r="H1048" i="1" s="1"/>
  <c r="H1049" i="1" s="1"/>
  <c r="H1050" i="1" s="1"/>
  <c r="T1035" i="1"/>
  <c r="T1036" i="1" s="1"/>
  <c r="K1035" i="1"/>
  <c r="K1036" i="1" s="1"/>
  <c r="K1038" i="1" s="1"/>
  <c r="K1039" i="1" s="1"/>
  <c r="K1040" i="1" s="1"/>
  <c r="K1041" i="1" s="1"/>
  <c r="K1042" i="1" s="1"/>
  <c r="K1043" i="1" s="1"/>
  <c r="T1034" i="1"/>
  <c r="L1034" i="1"/>
  <c r="L1035" i="1" s="1"/>
  <c r="K1034" i="1"/>
  <c r="H1034" i="1"/>
  <c r="G1034" i="1"/>
  <c r="G1035" i="1" s="1"/>
  <c r="G1036" i="1" s="1"/>
  <c r="G1038" i="1" s="1"/>
  <c r="G1039" i="1" s="1"/>
  <c r="G1040" i="1" s="1"/>
  <c r="G1041" i="1" s="1"/>
  <c r="F1034" i="1"/>
  <c r="F1035" i="1" s="1"/>
  <c r="F1036" i="1" s="1"/>
  <c r="F1038" i="1" s="1"/>
  <c r="F1039" i="1" s="1"/>
  <c r="F1040" i="1" s="1"/>
  <c r="G1033" i="1"/>
  <c r="F1033" i="1"/>
  <c r="G1032" i="1"/>
  <c r="F1031" i="1"/>
  <c r="T1030" i="1"/>
  <c r="T1031" i="1" s="1"/>
  <c r="T1032" i="1" s="1"/>
  <c r="T1033" i="1" s="1"/>
  <c r="H1030" i="1"/>
  <c r="H1031" i="1" s="1"/>
  <c r="H1032" i="1" s="1"/>
  <c r="H1033" i="1" s="1"/>
  <c r="U1029" i="1"/>
  <c r="T1028" i="1"/>
  <c r="T1029" i="1" s="1"/>
  <c r="O1028" i="1"/>
  <c r="H1028" i="1"/>
  <c r="H1029" i="1" s="1"/>
  <c r="T1026" i="1"/>
  <c r="T1027" i="1" s="1"/>
  <c r="K1026" i="1"/>
  <c r="K1027" i="1" s="1"/>
  <c r="K1028" i="1" s="1"/>
  <c r="K1029" i="1" s="1"/>
  <c r="K1030" i="1" s="1"/>
  <c r="K1031" i="1" s="1"/>
  <c r="K1032" i="1" s="1"/>
  <c r="K1033" i="1" s="1"/>
  <c r="G1026" i="1"/>
  <c r="G1027" i="1" s="1"/>
  <c r="G1028" i="1" s="1"/>
  <c r="G1029" i="1" s="1"/>
  <c r="G1030" i="1" s="1"/>
  <c r="T1025" i="1"/>
  <c r="L1025" i="1"/>
  <c r="L1026" i="1" s="1"/>
  <c r="L1027" i="1" s="1"/>
  <c r="L1028" i="1" s="1"/>
  <c r="L1029" i="1" s="1"/>
  <c r="L1030" i="1" s="1"/>
  <c r="L1031" i="1" s="1"/>
  <c r="L1032" i="1" s="1"/>
  <c r="L1033" i="1" s="1"/>
  <c r="K1025" i="1"/>
  <c r="H1025" i="1"/>
  <c r="G1025" i="1"/>
  <c r="F1025" i="1"/>
  <c r="F1026" i="1" s="1"/>
  <c r="F1027" i="1" s="1"/>
  <c r="F1028" i="1" s="1"/>
  <c r="F1029" i="1" s="1"/>
  <c r="U1024" i="1"/>
  <c r="G1024" i="1"/>
  <c r="F1020" i="1"/>
  <c r="T1019" i="1"/>
  <c r="T1020" i="1" s="1"/>
  <c r="T1024" i="1" s="1"/>
  <c r="T1011" i="1"/>
  <c r="Q1010" i="1"/>
  <c r="R1010" i="1" s="1"/>
  <c r="U1010" i="1" s="1"/>
  <c r="O1010" i="1"/>
  <c r="G1009" i="1"/>
  <c r="G1011" i="1" s="1"/>
  <c r="G1019" i="1" s="1"/>
  <c r="F1009" i="1"/>
  <c r="F1011" i="1" s="1"/>
  <c r="H1008" i="1"/>
  <c r="H1009" i="1" s="1"/>
  <c r="H1011" i="1" s="1"/>
  <c r="H1019" i="1" s="1"/>
  <c r="H1020" i="1" s="1"/>
  <c r="H1024" i="1" s="1"/>
  <c r="G1008" i="1"/>
  <c r="G1007" i="1"/>
  <c r="F1007" i="1"/>
  <c r="F1008" i="1" s="1"/>
  <c r="U1006" i="1"/>
  <c r="G1006" i="1"/>
  <c r="L1005" i="1"/>
  <c r="L1006" i="1" s="1"/>
  <c r="L1007" i="1" s="1"/>
  <c r="L1008" i="1" s="1"/>
  <c r="L1009" i="1" s="1"/>
  <c r="L1011" i="1" s="1"/>
  <c r="L1019" i="1" s="1"/>
  <c r="L1020" i="1" s="1"/>
  <c r="L1024" i="1" s="1"/>
  <c r="K1005" i="1"/>
  <c r="K1006" i="1" s="1"/>
  <c r="K1007" i="1" s="1"/>
  <c r="K1008" i="1" s="1"/>
  <c r="K1009" i="1" s="1"/>
  <c r="K1011" i="1" s="1"/>
  <c r="K1019" i="1" s="1"/>
  <c r="K1020" i="1" s="1"/>
  <c r="K1024" i="1" s="1"/>
  <c r="H1005" i="1"/>
  <c r="H1006" i="1" s="1"/>
  <c r="H1007" i="1" s="1"/>
  <c r="F1005" i="1"/>
  <c r="T1001" i="1"/>
  <c r="T1005" i="1" s="1"/>
  <c r="T1006" i="1" s="1"/>
  <c r="T1008" i="1" s="1"/>
  <c r="T991" i="1"/>
  <c r="H991" i="1"/>
  <c r="H1001" i="1" s="1"/>
  <c r="G991" i="1"/>
  <c r="G1001" i="1" s="1"/>
  <c r="R990" i="1"/>
  <c r="Q990" i="1"/>
  <c r="O990" i="1"/>
  <c r="U990" i="1" s="1"/>
  <c r="H989" i="1"/>
  <c r="T988" i="1"/>
  <c r="L988" i="1"/>
  <c r="L989" i="1" s="1"/>
  <c r="L991" i="1" s="1"/>
  <c r="L1001" i="1" s="1"/>
  <c r="F988" i="1"/>
  <c r="F989" i="1" s="1"/>
  <c r="F991" i="1" s="1"/>
  <c r="T987" i="1"/>
  <c r="K987" i="1"/>
  <c r="K988" i="1" s="1"/>
  <c r="K989" i="1" s="1"/>
  <c r="K991" i="1" s="1"/>
  <c r="K1001" i="1" s="1"/>
  <c r="F987" i="1"/>
  <c r="T986" i="1"/>
  <c r="L986" i="1"/>
  <c r="L987" i="1" s="1"/>
  <c r="K986" i="1"/>
  <c r="H986" i="1"/>
  <c r="G986" i="1"/>
  <c r="G987" i="1" s="1"/>
  <c r="G988" i="1" s="1"/>
  <c r="G989" i="1" s="1"/>
  <c r="F986" i="1"/>
  <c r="G985" i="1"/>
  <c r="H984" i="1"/>
  <c r="H985" i="1" s="1"/>
  <c r="U983" i="1"/>
  <c r="H983" i="1"/>
  <c r="T980" i="1"/>
  <c r="T981" i="1" s="1"/>
  <c r="T983" i="1" s="1"/>
  <c r="T984" i="1" s="1"/>
  <c r="T985" i="1" s="1"/>
  <c r="F980" i="1"/>
  <c r="F981" i="1" s="1"/>
  <c r="F983" i="1" s="1"/>
  <c r="F984" i="1" s="1"/>
  <c r="H979" i="1"/>
  <c r="G979" i="1"/>
  <c r="G980" i="1" s="1"/>
  <c r="G981" i="1" s="1"/>
  <c r="G983" i="1" s="1"/>
  <c r="F979" i="1"/>
  <c r="G978" i="1"/>
  <c r="F977" i="1"/>
  <c r="F978" i="1" s="1"/>
  <c r="T975" i="1"/>
  <c r="T976" i="1" s="1"/>
  <c r="T977" i="1" s="1"/>
  <c r="T978" i="1" s="1"/>
  <c r="T979" i="1" s="1"/>
  <c r="R974" i="1"/>
  <c r="U974" i="1" s="1"/>
  <c r="Q974" i="1"/>
  <c r="O974" i="1"/>
  <c r="T972" i="1"/>
  <c r="T971" i="1"/>
  <c r="T969" i="1"/>
  <c r="H969" i="1"/>
  <c r="H971" i="1" s="1"/>
  <c r="H972" i="1" s="1"/>
  <c r="H974" i="1" s="1"/>
  <c r="H975" i="1" s="1"/>
  <c r="H976" i="1" s="1"/>
  <c r="H977" i="1" s="1"/>
  <c r="F969" i="1"/>
  <c r="F971" i="1" s="1"/>
  <c r="F972" i="1" s="1"/>
  <c r="F974" i="1" s="1"/>
  <c r="F975" i="1" s="1"/>
  <c r="T968" i="1"/>
  <c r="K968" i="1"/>
  <c r="K969" i="1" s="1"/>
  <c r="K971" i="1" s="1"/>
  <c r="K972" i="1" s="1"/>
  <c r="K974" i="1" s="1"/>
  <c r="K975" i="1" s="1"/>
  <c r="K976" i="1" s="1"/>
  <c r="K977" i="1" s="1"/>
  <c r="K978" i="1" s="1"/>
  <c r="K979" i="1" s="1"/>
  <c r="K980" i="1" s="1"/>
  <c r="K981" i="1" s="1"/>
  <c r="K983" i="1" s="1"/>
  <c r="K984" i="1" s="1"/>
  <c r="K985" i="1" s="1"/>
  <c r="T967" i="1"/>
  <c r="F967" i="1"/>
  <c r="F968" i="1" s="1"/>
  <c r="F966" i="1"/>
  <c r="G965" i="1"/>
  <c r="G966" i="1" s="1"/>
  <c r="G967" i="1" s="1"/>
  <c r="G968" i="1" s="1"/>
  <c r="G969" i="1" s="1"/>
  <c r="G971" i="1" s="1"/>
  <c r="G972" i="1" s="1"/>
  <c r="G974" i="1" s="1"/>
  <c r="G975" i="1" s="1"/>
  <c r="G976" i="1" s="1"/>
  <c r="H964" i="1"/>
  <c r="H965" i="1" s="1"/>
  <c r="H966" i="1" s="1"/>
  <c r="H967" i="1" s="1"/>
  <c r="F964" i="1"/>
  <c r="H963" i="1"/>
  <c r="U962" i="1"/>
  <c r="G962" i="1"/>
  <c r="G963" i="1" s="1"/>
  <c r="T961" i="1"/>
  <c r="Q961" i="1" s="1"/>
  <c r="R961" i="1" s="1"/>
  <c r="U961" i="1" s="1"/>
  <c r="O961" i="1"/>
  <c r="H961" i="1"/>
  <c r="H962" i="1" s="1"/>
  <c r="T960" i="1"/>
  <c r="L960" i="1"/>
  <c r="L961" i="1" s="1"/>
  <c r="L962" i="1" s="1"/>
  <c r="L963" i="1" s="1"/>
  <c r="L964" i="1" s="1"/>
  <c r="L965" i="1" s="1"/>
  <c r="L966" i="1" s="1"/>
  <c r="L967" i="1" s="1"/>
  <c r="L968" i="1" s="1"/>
  <c r="L969" i="1" s="1"/>
  <c r="L971" i="1" s="1"/>
  <c r="L972" i="1" s="1"/>
  <c r="L974" i="1" s="1"/>
  <c r="L975" i="1" s="1"/>
  <c r="L976" i="1" s="1"/>
  <c r="L977" i="1" s="1"/>
  <c r="L978" i="1" s="1"/>
  <c r="L979" i="1" s="1"/>
  <c r="L980" i="1" s="1"/>
  <c r="L981" i="1" s="1"/>
  <c r="L983" i="1" s="1"/>
  <c r="L984" i="1" s="1"/>
  <c r="L985" i="1" s="1"/>
  <c r="K960" i="1"/>
  <c r="K961" i="1" s="1"/>
  <c r="K962" i="1" s="1"/>
  <c r="K963" i="1" s="1"/>
  <c r="K964" i="1" s="1"/>
  <c r="K965" i="1" s="1"/>
  <c r="K966" i="1" s="1"/>
  <c r="K967" i="1" s="1"/>
  <c r="F960" i="1"/>
  <c r="F961" i="1" s="1"/>
  <c r="F962" i="1" s="1"/>
  <c r="T959" i="1"/>
  <c r="L959" i="1"/>
  <c r="G959" i="1"/>
  <c r="G960" i="1" s="1"/>
  <c r="G961" i="1" s="1"/>
  <c r="L958" i="1"/>
  <c r="K958" i="1"/>
  <c r="K959" i="1" s="1"/>
  <c r="H958" i="1"/>
  <c r="G958" i="1"/>
  <c r="F958" i="1"/>
  <c r="F959" i="1" s="1"/>
  <c r="U957" i="1"/>
  <c r="H957" i="1"/>
  <c r="G957" i="1"/>
  <c r="F953" i="1"/>
  <c r="T944" i="1"/>
  <c r="T952" i="1" s="1"/>
  <c r="T953" i="1" s="1"/>
  <c r="T957" i="1" s="1"/>
  <c r="T958" i="1" s="1"/>
  <c r="Q943" i="1"/>
  <c r="R943" i="1" s="1"/>
  <c r="U943" i="1" s="1"/>
  <c r="O943" i="1"/>
  <c r="F941" i="1"/>
  <c r="F942" i="1" s="1"/>
  <c r="F944" i="1" s="1"/>
  <c r="K940" i="1"/>
  <c r="K941" i="1" s="1"/>
  <c r="K942" i="1" s="1"/>
  <c r="K944" i="1" s="1"/>
  <c r="K952" i="1" s="1"/>
  <c r="K953" i="1" s="1"/>
  <c r="K957" i="1" s="1"/>
  <c r="G940" i="1"/>
  <c r="G941" i="1" s="1"/>
  <c r="G942" i="1" s="1"/>
  <c r="G944" i="1" s="1"/>
  <c r="G952" i="1" s="1"/>
  <c r="F940" i="1"/>
  <c r="U939" i="1"/>
  <c r="H939" i="1"/>
  <c r="H940" i="1" s="1"/>
  <c r="H941" i="1" s="1"/>
  <c r="H942" i="1" s="1"/>
  <c r="H944" i="1" s="1"/>
  <c r="H952" i="1" s="1"/>
  <c r="H953" i="1" s="1"/>
  <c r="G939" i="1"/>
  <c r="F935" i="1"/>
  <c r="T924" i="1"/>
  <c r="T934" i="1" s="1"/>
  <c r="T935" i="1" s="1"/>
  <c r="T939" i="1" s="1"/>
  <c r="T941" i="1" s="1"/>
  <c r="L924" i="1"/>
  <c r="L934" i="1" s="1"/>
  <c r="L935" i="1" s="1"/>
  <c r="L939" i="1" s="1"/>
  <c r="L940" i="1" s="1"/>
  <c r="L941" i="1" s="1"/>
  <c r="L942" i="1" s="1"/>
  <c r="L944" i="1" s="1"/>
  <c r="L952" i="1" s="1"/>
  <c r="L953" i="1" s="1"/>
  <c r="L957" i="1" s="1"/>
  <c r="G924" i="1"/>
  <c r="G934" i="1" s="1"/>
  <c r="Q923" i="1"/>
  <c r="R923" i="1" s="1"/>
  <c r="O923" i="1"/>
  <c r="H922" i="1"/>
  <c r="H924" i="1" s="1"/>
  <c r="H934" i="1" s="1"/>
  <c r="H935" i="1" s="1"/>
  <c r="K921" i="1"/>
  <c r="K922" i="1" s="1"/>
  <c r="K924" i="1" s="1"/>
  <c r="K934" i="1" s="1"/>
  <c r="K935" i="1" s="1"/>
  <c r="K939" i="1" s="1"/>
  <c r="F921" i="1"/>
  <c r="F922" i="1" s="1"/>
  <c r="F924" i="1" s="1"/>
  <c r="T920" i="1"/>
  <c r="T921" i="1" s="1"/>
  <c r="F920" i="1"/>
  <c r="T919" i="1"/>
  <c r="L919" i="1"/>
  <c r="L920" i="1" s="1"/>
  <c r="L921" i="1" s="1"/>
  <c r="L922" i="1" s="1"/>
  <c r="K919" i="1"/>
  <c r="K920" i="1" s="1"/>
  <c r="H919" i="1"/>
  <c r="G919" i="1"/>
  <c r="G920" i="1" s="1"/>
  <c r="G921" i="1" s="1"/>
  <c r="G922" i="1" s="1"/>
  <c r="F919" i="1"/>
  <c r="G918" i="1"/>
  <c r="H917" i="1"/>
  <c r="H918" i="1" s="1"/>
  <c r="U916" i="1"/>
  <c r="H916" i="1"/>
  <c r="T914" i="1"/>
  <c r="T916" i="1" s="1"/>
  <c r="T917" i="1" s="1"/>
  <c r="T918" i="1" s="1"/>
  <c r="T912" i="1"/>
  <c r="T913" i="1" s="1"/>
  <c r="H912" i="1"/>
  <c r="G911" i="1"/>
  <c r="G912" i="1" s="1"/>
  <c r="G913" i="1" s="1"/>
  <c r="G914" i="1" s="1"/>
  <c r="G916" i="1" s="1"/>
  <c r="F911" i="1"/>
  <c r="F912" i="1" s="1"/>
  <c r="F913" i="1" s="1"/>
  <c r="F914" i="1" s="1"/>
  <c r="F916" i="1" s="1"/>
  <c r="F917" i="1" s="1"/>
  <c r="F910" i="1"/>
  <c r="T909" i="1"/>
  <c r="T910" i="1" s="1"/>
  <c r="T911" i="1" s="1"/>
  <c r="T908" i="1"/>
  <c r="Q907" i="1"/>
  <c r="R907" i="1" s="1"/>
  <c r="O907" i="1"/>
  <c r="T905" i="1"/>
  <c r="T904" i="1"/>
  <c r="H902" i="1"/>
  <c r="H903" i="1" s="1"/>
  <c r="H904" i="1" s="1"/>
  <c r="H905" i="1" s="1"/>
  <c r="H907" i="1" s="1"/>
  <c r="H908" i="1" s="1"/>
  <c r="H909" i="1" s="1"/>
  <c r="H910" i="1" s="1"/>
  <c r="U901" i="1"/>
  <c r="T901" i="1"/>
  <c r="T902" i="1" s="1"/>
  <c r="T903" i="1" s="1"/>
  <c r="G901" i="1"/>
  <c r="G902" i="1" s="1"/>
  <c r="G903" i="1" s="1"/>
  <c r="G904" i="1" s="1"/>
  <c r="G905" i="1" s="1"/>
  <c r="G907" i="1" s="1"/>
  <c r="G908" i="1" s="1"/>
  <c r="G909" i="1" s="1"/>
  <c r="V900" i="1"/>
  <c r="U900" i="1"/>
  <c r="S900" i="1"/>
  <c r="F900" i="1"/>
  <c r="F901" i="1" s="1"/>
  <c r="F902" i="1" s="1"/>
  <c r="F903" i="1" s="1"/>
  <c r="F904" i="1" s="1"/>
  <c r="F905" i="1" s="1"/>
  <c r="F907" i="1" s="1"/>
  <c r="F908" i="1" s="1"/>
  <c r="U899" i="1"/>
  <c r="S899" i="1"/>
  <c r="V899" i="1" s="1"/>
  <c r="G899" i="1"/>
  <c r="G900" i="1" s="1"/>
  <c r="F898" i="1"/>
  <c r="U893" i="1"/>
  <c r="F889" i="1"/>
  <c r="F890" i="1" s="1"/>
  <c r="F891" i="1" s="1"/>
  <c r="F892" i="1" s="1"/>
  <c r="F893" i="1" s="1"/>
  <c r="F894" i="1" s="1"/>
  <c r="F895" i="1" s="1"/>
  <c r="F896" i="1" s="1"/>
  <c r="T888" i="1"/>
  <c r="T889" i="1" s="1"/>
  <c r="T890" i="1" s="1"/>
  <c r="T891" i="1" s="1"/>
  <c r="T892" i="1" s="1"/>
  <c r="T893" i="1" s="1"/>
  <c r="T894" i="1" s="1"/>
  <c r="T895" i="1" s="1"/>
  <c r="T896" i="1" s="1"/>
  <c r="T897" i="1" s="1"/>
  <c r="T898" i="1" s="1"/>
  <c r="T899" i="1" s="1"/>
  <c r="T900" i="1" s="1"/>
  <c r="F888" i="1"/>
  <c r="T887" i="1"/>
  <c r="T886" i="1"/>
  <c r="R886" i="1"/>
  <c r="U886" i="1" s="1"/>
  <c r="Q886" i="1"/>
  <c r="O886" i="1"/>
  <c r="K886" i="1"/>
  <c r="K887" i="1" s="1"/>
  <c r="K888" i="1" s="1"/>
  <c r="K889" i="1" s="1"/>
  <c r="K890" i="1" s="1"/>
  <c r="K891" i="1" s="1"/>
  <c r="K892" i="1" s="1"/>
  <c r="K893" i="1" s="1"/>
  <c r="K894" i="1" s="1"/>
  <c r="K895" i="1" s="1"/>
  <c r="K896" i="1" s="1"/>
  <c r="K897" i="1" s="1"/>
  <c r="K898" i="1" s="1"/>
  <c r="K899" i="1" s="1"/>
  <c r="K900" i="1" s="1"/>
  <c r="K901" i="1" s="1"/>
  <c r="K902" i="1" s="1"/>
  <c r="K903" i="1" s="1"/>
  <c r="K904" i="1" s="1"/>
  <c r="K905" i="1" s="1"/>
  <c r="K907" i="1" s="1"/>
  <c r="K908" i="1" s="1"/>
  <c r="K909" i="1" s="1"/>
  <c r="K910" i="1" s="1"/>
  <c r="K911" i="1" s="1"/>
  <c r="K912" i="1" s="1"/>
  <c r="K913" i="1" s="1"/>
  <c r="K914" i="1" s="1"/>
  <c r="K916" i="1" s="1"/>
  <c r="K917" i="1" s="1"/>
  <c r="K918" i="1" s="1"/>
  <c r="G886" i="1"/>
  <c r="G887" i="1" s="1"/>
  <c r="G888" i="1" s="1"/>
  <c r="G889" i="1" s="1"/>
  <c r="G890" i="1" s="1"/>
  <c r="G891" i="1" s="1"/>
  <c r="G892" i="1" s="1"/>
  <c r="G893" i="1" s="1"/>
  <c r="G894" i="1" s="1"/>
  <c r="G895" i="1" s="1"/>
  <c r="G896" i="1" s="1"/>
  <c r="G897" i="1" s="1"/>
  <c r="F886" i="1"/>
  <c r="F887" i="1" s="1"/>
  <c r="F885" i="1"/>
  <c r="G884" i="1"/>
  <c r="G885" i="1" s="1"/>
  <c r="L882" i="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7" i="1" s="1"/>
  <c r="L908" i="1" s="1"/>
  <c r="L909" i="1" s="1"/>
  <c r="L910" i="1" s="1"/>
  <c r="L911" i="1" s="1"/>
  <c r="L912" i="1" s="1"/>
  <c r="L913" i="1" s="1"/>
  <c r="L914" i="1" s="1"/>
  <c r="L916" i="1" s="1"/>
  <c r="L917" i="1" s="1"/>
  <c r="L918" i="1" s="1"/>
  <c r="T881" i="1"/>
  <c r="T882" i="1" s="1"/>
  <c r="T883" i="1" s="1"/>
  <c r="T884" i="1" s="1"/>
  <c r="T885" i="1" s="1"/>
  <c r="L881" i="1"/>
  <c r="L880" i="1"/>
  <c r="L879" i="1"/>
  <c r="F877" i="1"/>
  <c r="F878" i="1" s="1"/>
  <c r="F879" i="1" s="1"/>
  <c r="F880" i="1" s="1"/>
  <c r="F881" i="1" s="1"/>
  <c r="F882" i="1" s="1"/>
  <c r="F883" i="1" s="1"/>
  <c r="U876" i="1"/>
  <c r="G875" i="1"/>
  <c r="G876" i="1" s="1"/>
  <c r="G877" i="1" s="1"/>
  <c r="G878" i="1" s="1"/>
  <c r="G879" i="1" s="1"/>
  <c r="G880" i="1" s="1"/>
  <c r="G881" i="1" s="1"/>
  <c r="G882" i="1" s="1"/>
  <c r="F875" i="1"/>
  <c r="F876" i="1" s="1"/>
  <c r="T874" i="1"/>
  <c r="T875" i="1" s="1"/>
  <c r="T876" i="1" s="1"/>
  <c r="T877" i="1" s="1"/>
  <c r="T878" i="1" s="1"/>
  <c r="T879" i="1" s="1"/>
  <c r="T880" i="1" s="1"/>
  <c r="F874" i="1"/>
  <c r="T873" i="1"/>
  <c r="Q872" i="1"/>
  <c r="R872" i="1" s="1"/>
  <c r="O872" i="1"/>
  <c r="U872" i="1" s="1"/>
  <c r="H872" i="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U869" i="1"/>
  <c r="T869" i="1"/>
  <c r="T871" i="1" s="1"/>
  <c r="K869" i="1"/>
  <c r="K871" i="1" s="1"/>
  <c r="K872" i="1" s="1"/>
  <c r="K873" i="1" s="1"/>
  <c r="K874" i="1" s="1"/>
  <c r="K875" i="1" s="1"/>
  <c r="K876" i="1" s="1"/>
  <c r="K877" i="1" s="1"/>
  <c r="K878" i="1" s="1"/>
  <c r="K879" i="1" s="1"/>
  <c r="K880" i="1" s="1"/>
  <c r="K881" i="1" s="1"/>
  <c r="K882" i="1" s="1"/>
  <c r="K883" i="1" s="1"/>
  <c r="K884" i="1" s="1"/>
  <c r="K885" i="1" s="1"/>
  <c r="L866" i="1"/>
  <c r="L867" i="1" s="1"/>
  <c r="L869" i="1" s="1"/>
  <c r="L871" i="1" s="1"/>
  <c r="L872" i="1" s="1"/>
  <c r="L873" i="1" s="1"/>
  <c r="L874" i="1" s="1"/>
  <c r="L875" i="1" s="1"/>
  <c r="L876" i="1" s="1"/>
  <c r="L877" i="1" s="1"/>
  <c r="H866" i="1"/>
  <c r="H867" i="1" s="1"/>
  <c r="H869" i="1" s="1"/>
  <c r="H871" i="1" s="1"/>
  <c r="L860" i="1"/>
  <c r="H860" i="1"/>
  <c r="T859" i="1"/>
  <c r="T860" i="1" s="1"/>
  <c r="T866" i="1" s="1"/>
  <c r="T867" i="1" s="1"/>
  <c r="Q859" i="1"/>
  <c r="R859" i="1" s="1"/>
  <c r="O859" i="1"/>
  <c r="U859" i="1" s="1"/>
  <c r="N859" i="1"/>
  <c r="L859" i="1"/>
  <c r="K859" i="1"/>
  <c r="K860" i="1" s="1"/>
  <c r="K866" i="1" s="1"/>
  <c r="H859" i="1"/>
  <c r="G859" i="1"/>
  <c r="G860" i="1" s="1"/>
  <c r="G866" i="1" s="1"/>
  <c r="G867" i="1" s="1"/>
  <c r="G869" i="1" s="1"/>
  <c r="G871" i="1" s="1"/>
  <c r="G872" i="1" s="1"/>
  <c r="G873" i="1" s="1"/>
  <c r="F859" i="1"/>
  <c r="F860" i="1" s="1"/>
  <c r="F866" i="1" s="1"/>
  <c r="F867" i="1" s="1"/>
  <c r="F869" i="1" s="1"/>
  <c r="F871" i="1" s="1"/>
  <c r="F872" i="1" s="1"/>
  <c r="T858" i="1"/>
  <c r="K858" i="1"/>
  <c r="G858" i="1"/>
  <c r="F858" i="1"/>
  <c r="T857" i="1"/>
  <c r="Q856" i="1"/>
  <c r="R856" i="1" s="1"/>
  <c r="O856" i="1"/>
  <c r="U856" i="1" s="1"/>
  <c r="K855" i="1"/>
  <c r="K856" i="1" s="1"/>
  <c r="K857" i="1" s="1"/>
  <c r="P854" i="1"/>
  <c r="O854" i="1"/>
  <c r="N854" i="1"/>
  <c r="G853" i="1"/>
  <c r="G854" i="1" s="1"/>
  <c r="G855" i="1" s="1"/>
  <c r="G856" i="1" s="1"/>
  <c r="G857" i="1" s="1"/>
  <c r="P852" i="1"/>
  <c r="O852" i="1"/>
  <c r="N852" i="1"/>
  <c r="L851" i="1"/>
  <c r="L852" i="1" s="1"/>
  <c r="L853" i="1" s="1"/>
  <c r="L854" i="1" s="1"/>
  <c r="L855" i="1" s="1"/>
  <c r="L856" i="1" s="1"/>
  <c r="L857" i="1" s="1"/>
  <c r="L858" i="1" s="1"/>
  <c r="T848" i="1"/>
  <c r="T849" i="1" s="1"/>
  <c r="T850" i="1" s="1"/>
  <c r="T851" i="1" s="1"/>
  <c r="T852" i="1" s="1"/>
  <c r="L848" i="1"/>
  <c r="G848" i="1"/>
  <c r="G849" i="1" s="1"/>
  <c r="G850" i="1" s="1"/>
  <c r="G851" i="1" s="1"/>
  <c r="G852" i="1" s="1"/>
  <c r="P846" i="1"/>
  <c r="O846" i="1"/>
  <c r="N846" i="1"/>
  <c r="K846" i="1"/>
  <c r="K848" i="1" s="1"/>
  <c r="K849" i="1" s="1"/>
  <c r="K850" i="1" s="1"/>
  <c r="K851" i="1" s="1"/>
  <c r="K852" i="1" s="1"/>
  <c r="K853" i="1" s="1"/>
  <c r="K854" i="1" s="1"/>
  <c r="T845" i="1"/>
  <c r="L844" i="1"/>
  <c r="L845" i="1" s="1"/>
  <c r="L846" i="1" s="1"/>
  <c r="H844" i="1"/>
  <c r="H845" i="1" s="1"/>
  <c r="H846" i="1" s="1"/>
  <c r="H848" i="1" s="1"/>
  <c r="H849" i="1" s="1"/>
  <c r="H850" i="1" s="1"/>
  <c r="H851" i="1" s="1"/>
  <c r="H852" i="1" s="1"/>
  <c r="H853" i="1" s="1"/>
  <c r="H854" i="1" s="1"/>
  <c r="H855" i="1" s="1"/>
  <c r="H856" i="1" s="1"/>
  <c r="H857" i="1" s="1"/>
  <c r="G844" i="1"/>
  <c r="G845" i="1" s="1"/>
  <c r="G846" i="1" s="1"/>
  <c r="F844" i="1"/>
  <c r="F845" i="1" s="1"/>
  <c r="F846" i="1" s="1"/>
  <c r="F848" i="1" s="1"/>
  <c r="F849" i="1" s="1"/>
  <c r="F850" i="1" s="1"/>
  <c r="F851" i="1" s="1"/>
  <c r="F852" i="1" s="1"/>
  <c r="F853" i="1" s="1"/>
  <c r="F854" i="1" s="1"/>
  <c r="F855" i="1" s="1"/>
  <c r="F856" i="1" s="1"/>
  <c r="F857" i="1" s="1"/>
  <c r="T843" i="1"/>
  <c r="T844" i="1" s="1"/>
  <c r="Q843" i="1"/>
  <c r="R843" i="1" s="1"/>
  <c r="O843" i="1"/>
  <c r="L843" i="1"/>
  <c r="K843" i="1"/>
  <c r="K844" i="1" s="1"/>
  <c r="H843" i="1"/>
  <c r="G843" i="1"/>
  <c r="F843" i="1"/>
  <c r="T842" i="1"/>
  <c r="F842" i="1"/>
  <c r="F841" i="1"/>
  <c r="G840" i="1"/>
  <c r="G841" i="1" s="1"/>
  <c r="G842" i="1" s="1"/>
  <c r="F839" i="1"/>
  <c r="T838" i="1"/>
  <c r="T839" i="1" s="1"/>
  <c r="T840" i="1" s="1"/>
  <c r="T841" i="1" s="1"/>
  <c r="T846" i="1" s="1"/>
  <c r="Q846" i="1" s="1"/>
  <c r="T836" i="1"/>
  <c r="T837" i="1" s="1"/>
  <c r="Q836" i="1"/>
  <c r="R836" i="1" s="1"/>
  <c r="U836" i="1" s="1"/>
  <c r="O836" i="1"/>
  <c r="K836" i="1"/>
  <c r="K837" i="1" s="1"/>
  <c r="K838" i="1" s="1"/>
  <c r="K839" i="1" s="1"/>
  <c r="K840" i="1" s="1"/>
  <c r="K841" i="1" s="1"/>
  <c r="K842" i="1" s="1"/>
  <c r="F836" i="1"/>
  <c r="F837" i="1" s="1"/>
  <c r="F835" i="1"/>
  <c r="G834" i="1"/>
  <c r="G835" i="1" s="1"/>
  <c r="G836" i="1" s="1"/>
  <c r="G837" i="1" s="1"/>
  <c r="G838" i="1" s="1"/>
  <c r="F833" i="1"/>
  <c r="T831" i="1"/>
  <c r="T832" i="1" s="1"/>
  <c r="T833" i="1" s="1"/>
  <c r="T834" i="1" s="1"/>
  <c r="T835" i="1" s="1"/>
  <c r="G831" i="1"/>
  <c r="G832" i="1" s="1"/>
  <c r="U830" i="1"/>
  <c r="T830" i="1"/>
  <c r="R830" i="1"/>
  <c r="Q830" i="1"/>
  <c r="O830" i="1"/>
  <c r="G830" i="1"/>
  <c r="F830" i="1"/>
  <c r="F831" i="1" s="1"/>
  <c r="F829" i="1"/>
  <c r="G828" i="1"/>
  <c r="G829" i="1" s="1"/>
  <c r="F827" i="1"/>
  <c r="U826" i="1"/>
  <c r="T825" i="1"/>
  <c r="T826" i="1" s="1"/>
  <c r="T827" i="1" s="1"/>
  <c r="T828" i="1" s="1"/>
  <c r="T829" i="1" s="1"/>
  <c r="T824" i="1"/>
  <c r="Q824" i="1" s="1"/>
  <c r="R824" i="1" s="1"/>
  <c r="O824" i="1"/>
  <c r="U824" i="1" s="1"/>
  <c r="N824" i="1"/>
  <c r="F824" i="1"/>
  <c r="F825" i="1" s="1"/>
  <c r="T823" i="1"/>
  <c r="G823" i="1"/>
  <c r="G824" i="1" s="1"/>
  <c r="G825" i="1" s="1"/>
  <c r="G826" i="1" s="1"/>
  <c r="F823" i="1"/>
  <c r="G822" i="1"/>
  <c r="H820" i="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G820" i="1"/>
  <c r="F820" i="1"/>
  <c r="F821" i="1" s="1"/>
  <c r="G819" i="1"/>
  <c r="F819" i="1"/>
  <c r="L818" i="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F818" i="1"/>
  <c r="T817" i="1"/>
  <c r="T818" i="1" s="1"/>
  <c r="T819" i="1" s="1"/>
  <c r="T820" i="1" s="1"/>
  <c r="T821" i="1" s="1"/>
  <c r="T822" i="1" s="1"/>
  <c r="K816" i="1"/>
  <c r="K817" i="1" s="1"/>
  <c r="K818" i="1" s="1"/>
  <c r="K819" i="1" s="1"/>
  <c r="K820" i="1" s="1"/>
  <c r="K821" i="1" s="1"/>
  <c r="K822" i="1" s="1"/>
  <c r="K823" i="1" s="1"/>
  <c r="K824" i="1" s="1"/>
  <c r="K825" i="1" s="1"/>
  <c r="K826" i="1" s="1"/>
  <c r="K827" i="1" s="1"/>
  <c r="K828" i="1" s="1"/>
  <c r="K829" i="1" s="1"/>
  <c r="K830" i="1" s="1"/>
  <c r="K831" i="1" s="1"/>
  <c r="K832" i="1" s="1"/>
  <c r="K833" i="1" s="1"/>
  <c r="K834" i="1" s="1"/>
  <c r="K835" i="1" s="1"/>
  <c r="T815" i="1"/>
  <c r="T816" i="1" s="1"/>
  <c r="R815" i="1"/>
  <c r="U815" i="1" s="1"/>
  <c r="Q815" i="1"/>
  <c r="O815" i="1"/>
  <c r="L815" i="1"/>
  <c r="L816" i="1" s="1"/>
  <c r="L817" i="1" s="1"/>
  <c r="K815" i="1"/>
  <c r="H815" i="1"/>
  <c r="H816" i="1" s="1"/>
  <c r="H817" i="1" s="1"/>
  <c r="H818" i="1" s="1"/>
  <c r="H819" i="1" s="1"/>
  <c r="F815" i="1"/>
  <c r="F816" i="1" s="1"/>
  <c r="T813" i="1"/>
  <c r="L813" i="1"/>
  <c r="K813" i="1"/>
  <c r="G813" i="1"/>
  <c r="G815" i="1" s="1"/>
  <c r="G816" i="1" s="1"/>
  <c r="G817" i="1" s="1"/>
  <c r="F813" i="1"/>
  <c r="T812" i="1"/>
  <c r="U811" i="1"/>
  <c r="T811" i="1"/>
  <c r="G811" i="1"/>
  <c r="G812" i="1" s="1"/>
  <c r="H810" i="1"/>
  <c r="H811" i="1" s="1"/>
  <c r="H812" i="1" s="1"/>
  <c r="F810" i="1"/>
  <c r="F811" i="1" s="1"/>
  <c r="F812" i="1" s="1"/>
  <c r="T809" i="1"/>
  <c r="T810" i="1" s="1"/>
  <c r="F808" i="1"/>
  <c r="F809" i="1" s="1"/>
  <c r="G807" i="1"/>
  <c r="G808" i="1" s="1"/>
  <c r="G809" i="1" s="1"/>
  <c r="G810" i="1" s="1"/>
  <c r="F806" i="1"/>
  <c r="U805" i="1"/>
  <c r="H805" i="1"/>
  <c r="H806" i="1" s="1"/>
  <c r="H807" i="1" s="1"/>
  <c r="H808" i="1" s="1"/>
  <c r="V804" i="1"/>
  <c r="U804" i="1"/>
  <c r="S804" i="1"/>
  <c r="U803" i="1"/>
  <c r="S803" i="1"/>
  <c r="V803" i="1" s="1"/>
  <c r="T801" i="1"/>
  <c r="T802" i="1" s="1"/>
  <c r="T803" i="1" s="1"/>
  <c r="T804" i="1" s="1"/>
  <c r="T805" i="1" s="1"/>
  <c r="T806" i="1" s="1"/>
  <c r="T807" i="1" s="1"/>
  <c r="T808" i="1" s="1"/>
  <c r="T798" i="1"/>
  <c r="T799" i="1" s="1"/>
  <c r="T800" i="1" s="1"/>
  <c r="U797" i="1"/>
  <c r="T797" i="1"/>
  <c r="T794" i="1"/>
  <c r="T795" i="1" s="1"/>
  <c r="T796" i="1" s="1"/>
  <c r="Q794" i="1"/>
  <c r="R794" i="1" s="1"/>
  <c r="O794" i="1"/>
  <c r="G793" i="1"/>
  <c r="G794" i="1" s="1"/>
  <c r="G795" i="1" s="1"/>
  <c r="G796" i="1" s="1"/>
  <c r="G797" i="1" s="1"/>
  <c r="G798" i="1" s="1"/>
  <c r="G799" i="1" s="1"/>
  <c r="G800" i="1" s="1"/>
  <c r="G801" i="1" s="1"/>
  <c r="G802" i="1" s="1"/>
  <c r="G803" i="1" s="1"/>
  <c r="G804" i="1" s="1"/>
  <c r="G805" i="1" s="1"/>
  <c r="F793" i="1"/>
  <c r="F794" i="1" s="1"/>
  <c r="F795" i="1" s="1"/>
  <c r="F796" i="1" s="1"/>
  <c r="F797" i="1" s="1"/>
  <c r="F798" i="1" s="1"/>
  <c r="F799" i="1" s="1"/>
  <c r="F800" i="1" s="1"/>
  <c r="F801" i="1" s="1"/>
  <c r="F802" i="1" s="1"/>
  <c r="F803" i="1" s="1"/>
  <c r="F804" i="1" s="1"/>
  <c r="G790" i="1"/>
  <c r="H788" i="1"/>
  <c r="H789" i="1" s="1"/>
  <c r="H790" i="1" s="1"/>
  <c r="H793" i="1" s="1"/>
  <c r="H794" i="1" s="1"/>
  <c r="H795" i="1" s="1"/>
  <c r="H796" i="1" s="1"/>
  <c r="H797" i="1" s="1"/>
  <c r="H798" i="1" s="1"/>
  <c r="H799" i="1" s="1"/>
  <c r="H800" i="1" s="1"/>
  <c r="H801" i="1" s="1"/>
  <c r="H802" i="1" s="1"/>
  <c r="H803" i="1" s="1"/>
  <c r="H804" i="1" s="1"/>
  <c r="U787" i="1"/>
  <c r="H786" i="1"/>
  <c r="H787" i="1" s="1"/>
  <c r="F784" i="1"/>
  <c r="F785" i="1" s="1"/>
  <c r="F786" i="1" s="1"/>
  <c r="F787" i="1" s="1"/>
  <c r="F788" i="1" s="1"/>
  <c r="F789" i="1" s="1"/>
  <c r="T783" i="1"/>
  <c r="T784" i="1" s="1"/>
  <c r="T785" i="1" s="1"/>
  <c r="T786" i="1" s="1"/>
  <c r="T787" i="1" s="1"/>
  <c r="T788" i="1" s="1"/>
  <c r="T789" i="1" s="1"/>
  <c r="T790" i="1" s="1"/>
  <c r="T793" i="1" s="1"/>
  <c r="H783" i="1"/>
  <c r="L780" i="1"/>
  <c r="L781" i="1" s="1"/>
  <c r="L782" i="1" s="1"/>
  <c r="L783" i="1" s="1"/>
  <c r="L784" i="1" s="1"/>
  <c r="L785" i="1" s="1"/>
  <c r="L786" i="1" s="1"/>
  <c r="L787" i="1" s="1"/>
  <c r="L788" i="1" s="1"/>
  <c r="L789" i="1" s="1"/>
  <c r="L790"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H780" i="1"/>
  <c r="T779" i="1"/>
  <c r="T780" i="1" s="1"/>
  <c r="T781" i="1" s="1"/>
  <c r="T782" i="1" s="1"/>
  <c r="L778" i="1"/>
  <c r="L779" i="1" s="1"/>
  <c r="L777" i="1"/>
  <c r="G777" i="1"/>
  <c r="G778" i="1" s="1"/>
  <c r="G779" i="1" s="1"/>
  <c r="G780" i="1" s="1"/>
  <c r="G781" i="1" s="1"/>
  <c r="G782" i="1" s="1"/>
  <c r="G783" i="1" s="1"/>
  <c r="G784" i="1" s="1"/>
  <c r="G785" i="1" s="1"/>
  <c r="G786" i="1" s="1"/>
  <c r="G787" i="1" s="1"/>
  <c r="G788" i="1" s="1"/>
  <c r="U776" i="1"/>
  <c r="K776" i="1"/>
  <c r="K777" i="1" s="1"/>
  <c r="K778" i="1" s="1"/>
  <c r="K779" i="1" s="1"/>
  <c r="K780" i="1" s="1"/>
  <c r="K781" i="1" s="1"/>
  <c r="K782" i="1" s="1"/>
  <c r="K783" i="1" s="1"/>
  <c r="K784" i="1" s="1"/>
  <c r="K785" i="1" s="1"/>
  <c r="K786" i="1" s="1"/>
  <c r="K787" i="1" s="1"/>
  <c r="K788" i="1" s="1"/>
  <c r="K789" i="1" s="1"/>
  <c r="K790"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773" i="1"/>
  <c r="K774" i="1" s="1"/>
  <c r="K775" i="1" s="1"/>
  <c r="G773" i="1"/>
  <c r="G774" i="1" s="1"/>
  <c r="G775" i="1" s="1"/>
  <c r="G776" i="1" s="1"/>
  <c r="F772" i="1"/>
  <c r="F773" i="1" s="1"/>
  <c r="F774" i="1" s="1"/>
  <c r="F775" i="1" s="1"/>
  <c r="F776" i="1" s="1"/>
  <c r="F777" i="1" s="1"/>
  <c r="F778" i="1" s="1"/>
  <c r="F779" i="1" s="1"/>
  <c r="F780" i="1" s="1"/>
  <c r="F781" i="1" s="1"/>
  <c r="F782" i="1" s="1"/>
  <c r="F783" i="1" s="1"/>
  <c r="T771" i="1"/>
  <c r="T772" i="1" s="1"/>
  <c r="T773" i="1" s="1"/>
  <c r="T774" i="1" s="1"/>
  <c r="T775" i="1" s="1"/>
  <c r="T776" i="1" s="1"/>
  <c r="T777" i="1" s="1"/>
  <c r="T778" i="1" s="1"/>
  <c r="T770" i="1"/>
  <c r="U769" i="1"/>
  <c r="R769" i="1"/>
  <c r="Q769" i="1"/>
  <c r="O769" i="1"/>
  <c r="L769" i="1"/>
  <c r="L770" i="1" s="1"/>
  <c r="L771" i="1" s="1"/>
  <c r="L772" i="1" s="1"/>
  <c r="L773" i="1" s="1"/>
  <c r="L774" i="1" s="1"/>
  <c r="L775" i="1" s="1"/>
  <c r="T768" i="1"/>
  <c r="T766" i="1"/>
  <c r="L766" i="1"/>
  <c r="L768" i="1" s="1"/>
  <c r="K766" i="1"/>
  <c r="K768" i="1" s="1"/>
  <c r="K769" i="1" s="1"/>
  <c r="K770" i="1" s="1"/>
  <c r="K771" i="1" s="1"/>
  <c r="K772" i="1" s="1"/>
  <c r="H766" i="1"/>
  <c r="H768" i="1" s="1"/>
  <c r="H769" i="1" s="1"/>
  <c r="H770" i="1" s="1"/>
  <c r="H771" i="1" s="1"/>
  <c r="H772" i="1" s="1"/>
  <c r="H773" i="1" s="1"/>
  <c r="H774" i="1" s="1"/>
  <c r="H775" i="1" s="1"/>
  <c r="H776" i="1" s="1"/>
  <c r="H777" i="1" s="1"/>
  <c r="F766" i="1"/>
  <c r="F768" i="1" s="1"/>
  <c r="F769" i="1" s="1"/>
  <c r="F770" i="1" s="1"/>
  <c r="L764" i="1"/>
  <c r="T763" i="1"/>
  <c r="T764" i="1" s="1"/>
  <c r="L763" i="1"/>
  <c r="K763" i="1"/>
  <c r="H763" i="1"/>
  <c r="H764" i="1" s="1"/>
  <c r="G763" i="1"/>
  <c r="G764" i="1" s="1"/>
  <c r="G766" i="1" s="1"/>
  <c r="G768" i="1" s="1"/>
  <c r="G769" i="1" s="1"/>
  <c r="G770" i="1" s="1"/>
  <c r="G771" i="1" s="1"/>
  <c r="F763" i="1"/>
  <c r="F764" i="1" s="1"/>
  <c r="L761" i="1"/>
  <c r="T758" i="1"/>
  <c r="T759" i="1" s="1"/>
  <c r="T760" i="1" s="1"/>
  <c r="T761" i="1" s="1"/>
  <c r="G758" i="1"/>
  <c r="G759" i="1" s="1"/>
  <c r="G760" i="1" s="1"/>
  <c r="G761" i="1" s="1"/>
  <c r="T756" i="1"/>
  <c r="Q755" i="1"/>
  <c r="R755" i="1" s="1"/>
  <c r="U755" i="1" s="1"/>
  <c r="O755" i="1"/>
  <c r="P754" i="1"/>
  <c r="O754" i="1"/>
  <c r="N754" i="1"/>
  <c r="F754" i="1"/>
  <c r="F755" i="1" s="1"/>
  <c r="F756" i="1" s="1"/>
  <c r="F758" i="1" s="1"/>
  <c r="F759" i="1" s="1"/>
  <c r="F760" i="1" s="1"/>
  <c r="F761" i="1" s="1"/>
  <c r="P753" i="1"/>
  <c r="O753" i="1"/>
  <c r="N753" i="1"/>
  <c r="G753" i="1"/>
  <c r="G754" i="1" s="1"/>
  <c r="G755" i="1" s="1"/>
  <c r="G756" i="1" s="1"/>
  <c r="F753" i="1"/>
  <c r="G752" i="1"/>
  <c r="G720" i="1" s="1"/>
  <c r="G722" i="1" s="1"/>
  <c r="G723" i="1" s="1"/>
  <c r="F752" i="1"/>
  <c r="T751" i="1"/>
  <c r="T752" i="1" s="1"/>
  <c r="G751" i="1"/>
  <c r="U750" i="1"/>
  <c r="R750" i="1"/>
  <c r="O750" i="1"/>
  <c r="L750" i="1"/>
  <c r="L751" i="1" s="1"/>
  <c r="L752" i="1" s="1"/>
  <c r="L720" i="1" s="1"/>
  <c r="L722" i="1" s="1"/>
  <c r="K750" i="1"/>
  <c r="K751" i="1" s="1"/>
  <c r="H750" i="1"/>
  <c r="H751" i="1" s="1"/>
  <c r="H752" i="1" s="1"/>
  <c r="G750" i="1"/>
  <c r="F750" i="1"/>
  <c r="F751" i="1" s="1"/>
  <c r="T749" i="1"/>
  <c r="T750" i="1" s="1"/>
  <c r="Q750" i="1" s="1"/>
  <c r="G749" i="1"/>
  <c r="T748" i="1"/>
  <c r="T753" i="1" s="1"/>
  <c r="F748" i="1"/>
  <c r="G747" i="1"/>
  <c r="G748" i="1" s="1"/>
  <c r="F746" i="1"/>
  <c r="T744" i="1"/>
  <c r="T745" i="1" s="1"/>
  <c r="T746" i="1" s="1"/>
  <c r="T747" i="1" s="1"/>
  <c r="T743" i="1"/>
  <c r="Q743" i="1" s="1"/>
  <c r="R743" i="1"/>
  <c r="U743" i="1" s="1"/>
  <c r="O743" i="1"/>
  <c r="G743" i="1"/>
  <c r="G744" i="1" s="1"/>
  <c r="G745" i="1" s="1"/>
  <c r="G742" i="1"/>
  <c r="F742" i="1"/>
  <c r="F743" i="1" s="1"/>
  <c r="F744" i="1" s="1"/>
  <c r="G741" i="1"/>
  <c r="F740" i="1"/>
  <c r="T739" i="1"/>
  <c r="T740" i="1" s="1"/>
  <c r="T741" i="1" s="1"/>
  <c r="T742" i="1" s="1"/>
  <c r="F738" i="1"/>
  <c r="T737" i="1"/>
  <c r="T738" i="1" s="1"/>
  <c r="Q737" i="1"/>
  <c r="R737" i="1" s="1"/>
  <c r="O737" i="1"/>
  <c r="L736" i="1"/>
  <c r="L737" i="1" s="1"/>
  <c r="L738" i="1" s="1"/>
  <c r="L739" i="1" s="1"/>
  <c r="L740" i="1" s="1"/>
  <c r="L741" i="1" s="1"/>
  <c r="L742" i="1" s="1"/>
  <c r="L743" i="1" s="1"/>
  <c r="L744" i="1" s="1"/>
  <c r="L745" i="1" s="1"/>
  <c r="L746" i="1" s="1"/>
  <c r="L747" i="1" s="1"/>
  <c r="L748" i="1" s="1"/>
  <c r="L753" i="1" s="1"/>
  <c r="L754" i="1" s="1"/>
  <c r="L755" i="1" s="1"/>
  <c r="L756" i="1" s="1"/>
  <c r="L758" i="1" s="1"/>
  <c r="G736" i="1"/>
  <c r="G737" i="1" s="1"/>
  <c r="G738" i="1" s="1"/>
  <c r="G739" i="1" s="1"/>
  <c r="F736" i="1"/>
  <c r="F737" i="1" s="1"/>
  <c r="G735" i="1"/>
  <c r="F734" i="1"/>
  <c r="U733" i="1"/>
  <c r="F732" i="1"/>
  <c r="T731" i="1"/>
  <c r="T732" i="1" s="1"/>
  <c r="T733" i="1" s="1"/>
  <c r="T734" i="1" s="1"/>
  <c r="T735" i="1" s="1"/>
  <c r="T736" i="1" s="1"/>
  <c r="Q731" i="1"/>
  <c r="R731" i="1" s="1"/>
  <c r="U731" i="1" s="1"/>
  <c r="O731" i="1"/>
  <c r="N731" i="1"/>
  <c r="F731" i="1"/>
  <c r="G730" i="1"/>
  <c r="G731" i="1" s="1"/>
  <c r="G732" i="1" s="1"/>
  <c r="G733" i="1" s="1"/>
  <c r="F730" i="1"/>
  <c r="U729" i="1"/>
  <c r="H729" i="1"/>
  <c r="H730" i="1" s="1"/>
  <c r="H731" i="1" s="1"/>
  <c r="H732" i="1" s="1"/>
  <c r="H733" i="1" s="1"/>
  <c r="H734" i="1" s="1"/>
  <c r="H735" i="1" s="1"/>
  <c r="H736" i="1" s="1"/>
  <c r="H737" i="1" s="1"/>
  <c r="H738" i="1" s="1"/>
  <c r="H739" i="1" s="1"/>
  <c r="H740" i="1" s="1"/>
  <c r="H741" i="1" s="1"/>
  <c r="H742" i="1" s="1"/>
  <c r="H743" i="1" s="1"/>
  <c r="H744" i="1" s="1"/>
  <c r="H745" i="1" s="1"/>
  <c r="H746" i="1" s="1"/>
  <c r="H747" i="1" s="1"/>
  <c r="H748" i="1" s="1"/>
  <c r="H753" i="1" s="1"/>
  <c r="H754" i="1" s="1"/>
  <c r="H755" i="1" s="1"/>
  <c r="H756" i="1" s="1"/>
  <c r="H758" i="1" s="1"/>
  <c r="H759" i="1" s="1"/>
  <c r="H760" i="1" s="1"/>
  <c r="H761" i="1" s="1"/>
  <c r="G729" i="1"/>
  <c r="F727" i="1"/>
  <c r="F728" i="1" s="1"/>
  <c r="G726" i="1"/>
  <c r="G727" i="1" s="1"/>
  <c r="F726" i="1"/>
  <c r="F725" i="1"/>
  <c r="G724" i="1"/>
  <c r="L723" i="1"/>
  <c r="L724" i="1" s="1"/>
  <c r="L725" i="1" s="1"/>
  <c r="L726" i="1" s="1"/>
  <c r="L727" i="1" s="1"/>
  <c r="L728" i="1" s="1"/>
  <c r="L729" i="1" s="1"/>
  <c r="L730" i="1" s="1"/>
  <c r="L731" i="1" s="1"/>
  <c r="L732" i="1" s="1"/>
  <c r="L733" i="1" s="1"/>
  <c r="L734" i="1" s="1"/>
  <c r="L735" i="1" s="1"/>
  <c r="H723" i="1"/>
  <c r="H724" i="1" s="1"/>
  <c r="H725" i="1" s="1"/>
  <c r="H726" i="1" s="1"/>
  <c r="H727" i="1" s="1"/>
  <c r="H728" i="1" s="1"/>
  <c r="O722" i="1"/>
  <c r="H722" i="1"/>
  <c r="F722" i="1"/>
  <c r="F723" i="1" s="1"/>
  <c r="T720" i="1"/>
  <c r="T722" i="1" s="1"/>
  <c r="K720" i="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53" i="1" s="1"/>
  <c r="K754" i="1" s="1"/>
  <c r="K755" i="1" s="1"/>
  <c r="K756" i="1" s="1"/>
  <c r="K758" i="1" s="1"/>
  <c r="K759" i="1" s="1"/>
  <c r="K760" i="1" s="1"/>
  <c r="K761" i="1" s="1"/>
  <c r="F720" i="1"/>
  <c r="T719" i="1"/>
  <c r="H718" i="1"/>
  <c r="H719" i="1" s="1"/>
  <c r="H749" i="1" s="1"/>
  <c r="G718" i="1"/>
  <c r="G719" i="1" s="1"/>
  <c r="T717" i="1"/>
  <c r="T718" i="1" s="1"/>
  <c r="K717" i="1"/>
  <c r="K718" i="1" s="1"/>
  <c r="K719" i="1" s="1"/>
  <c r="K749" i="1" s="1"/>
  <c r="H717" i="1"/>
  <c r="T716" i="1"/>
  <c r="U715" i="1"/>
  <c r="F715" i="1"/>
  <c r="F716" i="1" s="1"/>
  <c r="F717" i="1" s="1"/>
  <c r="F718" i="1" s="1"/>
  <c r="F719" i="1" s="1"/>
  <c r="F749" i="1" s="1"/>
  <c r="G714" i="1"/>
  <c r="G715" i="1" s="1"/>
  <c r="G716" i="1" s="1"/>
  <c r="G717" i="1" s="1"/>
  <c r="F713" i="1"/>
  <c r="U710" i="1"/>
  <c r="U709" i="1"/>
  <c r="S709" i="1"/>
  <c r="V709" i="1" s="1"/>
  <c r="V708" i="1"/>
  <c r="U708" i="1"/>
  <c r="S708" i="1"/>
  <c r="U702" i="1"/>
  <c r="T702" i="1"/>
  <c r="T703" i="1" s="1"/>
  <c r="T704" i="1" s="1"/>
  <c r="T705" i="1" s="1"/>
  <c r="T706" i="1" s="1"/>
  <c r="T707" i="1" s="1"/>
  <c r="T708" i="1" s="1"/>
  <c r="T709" i="1" s="1"/>
  <c r="T710" i="1" s="1"/>
  <c r="T711" i="1" s="1"/>
  <c r="T712" i="1" s="1"/>
  <c r="T713" i="1" s="1"/>
  <c r="T714" i="1" s="1"/>
  <c r="T715" i="1" s="1"/>
  <c r="T701" i="1"/>
  <c r="Q701" i="1" s="1"/>
  <c r="R701" i="1"/>
  <c r="O701" i="1"/>
  <c r="U701" i="1" s="1"/>
  <c r="K701" i="1"/>
  <c r="K702" i="1" s="1"/>
  <c r="K703" i="1" s="1"/>
  <c r="K704" i="1" s="1"/>
  <c r="K705" i="1" s="1"/>
  <c r="K706" i="1" s="1"/>
  <c r="K707" i="1" s="1"/>
  <c r="K708" i="1" s="1"/>
  <c r="K709" i="1" s="1"/>
  <c r="K710" i="1" s="1"/>
  <c r="K711" i="1" s="1"/>
  <c r="K712" i="1" s="1"/>
  <c r="K713" i="1" s="1"/>
  <c r="K714" i="1" s="1"/>
  <c r="K715" i="1" s="1"/>
  <c r="K716" i="1" s="1"/>
  <c r="F701" i="1"/>
  <c r="F702" i="1" s="1"/>
  <c r="F703" i="1" s="1"/>
  <c r="F704" i="1" s="1"/>
  <c r="F705" i="1" s="1"/>
  <c r="F706" i="1" s="1"/>
  <c r="F707" i="1" s="1"/>
  <c r="F708" i="1" s="1"/>
  <c r="F709" i="1" s="1"/>
  <c r="F710" i="1" s="1"/>
  <c r="F711" i="1" s="1"/>
  <c r="F700" i="1"/>
  <c r="G699" i="1"/>
  <c r="G700" i="1" s="1"/>
  <c r="G701" i="1" s="1"/>
  <c r="G702" i="1" s="1"/>
  <c r="G703" i="1" s="1"/>
  <c r="G704" i="1" s="1"/>
  <c r="G705" i="1" s="1"/>
  <c r="G706" i="1" s="1"/>
  <c r="G707" i="1" s="1"/>
  <c r="G708" i="1" s="1"/>
  <c r="G709" i="1" s="1"/>
  <c r="G710" i="1" s="1"/>
  <c r="G711" i="1" s="1"/>
  <c r="G712" i="1" s="1"/>
  <c r="L698" i="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G697" i="1"/>
  <c r="U696" i="1"/>
  <c r="L696" i="1"/>
  <c r="L697" i="1" s="1"/>
  <c r="K696" i="1"/>
  <c r="K697" i="1" s="1"/>
  <c r="K698" i="1" s="1"/>
  <c r="K699" i="1" s="1"/>
  <c r="K700" i="1" s="1"/>
  <c r="U694" i="1"/>
  <c r="T694" i="1"/>
  <c r="T695" i="1" s="1"/>
  <c r="T696" i="1" s="1"/>
  <c r="T697" i="1" s="1"/>
  <c r="T698" i="1" s="1"/>
  <c r="T699" i="1" s="1"/>
  <c r="T700" i="1" s="1"/>
  <c r="L694" i="1"/>
  <c r="L695" i="1" s="1"/>
  <c r="G692" i="1"/>
  <c r="G693" i="1" s="1"/>
  <c r="G694" i="1" s="1"/>
  <c r="G695" i="1" s="1"/>
  <c r="G696" i="1" s="1"/>
  <c r="G691" i="1"/>
  <c r="T690" i="1"/>
  <c r="T691" i="1" s="1"/>
  <c r="T692" i="1" s="1"/>
  <c r="T693" i="1" s="1"/>
  <c r="L690" i="1"/>
  <c r="L691" i="1" s="1"/>
  <c r="L692" i="1" s="1"/>
  <c r="H690" i="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G690" i="1"/>
  <c r="F690" i="1"/>
  <c r="F691" i="1" s="1"/>
  <c r="F692" i="1" s="1"/>
  <c r="F693" i="1" s="1"/>
  <c r="F694" i="1" s="1"/>
  <c r="F695" i="1" s="1"/>
  <c r="F696" i="1" s="1"/>
  <c r="F697" i="1" s="1"/>
  <c r="F698" i="1" s="1"/>
  <c r="F689" i="1"/>
  <c r="T688" i="1"/>
  <c r="T689" i="1" s="1"/>
  <c r="R687" i="1"/>
  <c r="U687" i="1" s="1"/>
  <c r="Q687" i="1"/>
  <c r="O687" i="1"/>
  <c r="L687" i="1"/>
  <c r="L688" i="1" s="1"/>
  <c r="L689" i="1" s="1"/>
  <c r="K686" i="1"/>
  <c r="K687" i="1" s="1"/>
  <c r="K688" i="1" s="1"/>
  <c r="K689" i="1" s="1"/>
  <c r="K690" i="1" s="1"/>
  <c r="K691" i="1" s="1"/>
  <c r="K692" i="1" s="1"/>
  <c r="K693" i="1" s="1"/>
  <c r="K694" i="1" s="1"/>
  <c r="K695" i="1" s="1"/>
  <c r="F686" i="1"/>
  <c r="F687" i="1" s="1"/>
  <c r="T684" i="1"/>
  <c r="T686" i="1" s="1"/>
  <c r="L684" i="1"/>
  <c r="L686" i="1" s="1"/>
  <c r="K684" i="1"/>
  <c r="U682" i="1"/>
  <c r="T682" i="1"/>
  <c r="L682" i="1"/>
  <c r="H682" i="1"/>
  <c r="H684" i="1" s="1"/>
  <c r="H686" i="1" s="1"/>
  <c r="H687" i="1" s="1"/>
  <c r="H688" i="1" s="1"/>
  <c r="H689" i="1" s="1"/>
  <c r="G682" i="1"/>
  <c r="G684" i="1" s="1"/>
  <c r="G686" i="1" s="1"/>
  <c r="G687" i="1" s="1"/>
  <c r="G688" i="1" s="1"/>
  <c r="F682" i="1"/>
  <c r="F684" i="1" s="1"/>
  <c r="T680" i="1"/>
  <c r="O679" i="1"/>
  <c r="N679" i="1"/>
  <c r="T678" i="1"/>
  <c r="T679" i="1" s="1"/>
  <c r="Q679" i="1" s="1"/>
  <c r="T677" i="1"/>
  <c r="L677" i="1"/>
  <c r="L678" i="1" s="1"/>
  <c r="L679" i="1" s="1"/>
  <c r="L680" i="1" s="1"/>
  <c r="U676" i="1"/>
  <c r="R676" i="1"/>
  <c r="Q676" i="1"/>
  <c r="O676" i="1"/>
  <c r="H676" i="1"/>
  <c r="H677" i="1" s="1"/>
  <c r="H678" i="1" s="1"/>
  <c r="H679" i="1" s="1"/>
  <c r="H680" i="1" s="1"/>
  <c r="P675" i="1"/>
  <c r="O675" i="1"/>
  <c r="N675" i="1"/>
  <c r="L675" i="1"/>
  <c r="L676" i="1" s="1"/>
  <c r="L674" i="1"/>
  <c r="K674" i="1"/>
  <c r="K675" i="1" s="1"/>
  <c r="K676" i="1" s="1"/>
  <c r="K677" i="1" s="1"/>
  <c r="K678" i="1" s="1"/>
  <c r="K679" i="1" s="1"/>
  <c r="K680" i="1" s="1"/>
  <c r="K671" i="1"/>
  <c r="K672" i="1" s="1"/>
  <c r="K673" i="1" s="1"/>
  <c r="P669" i="1"/>
  <c r="O669" i="1"/>
  <c r="N669" i="1"/>
  <c r="L669" i="1"/>
  <c r="L671" i="1" s="1"/>
  <c r="K669" i="1"/>
  <c r="T667" i="1"/>
  <c r="T668" i="1" s="1"/>
  <c r="L667" i="1"/>
  <c r="L668" i="1" s="1"/>
  <c r="H667" i="1"/>
  <c r="H668" i="1" s="1"/>
  <c r="H669" i="1" s="1"/>
  <c r="H671" i="1" s="1"/>
  <c r="H672" i="1" s="1"/>
  <c r="H673" i="1" s="1"/>
  <c r="H674" i="1" s="1"/>
  <c r="H675" i="1" s="1"/>
  <c r="Q666" i="1"/>
  <c r="R666" i="1" s="1"/>
  <c r="O666" i="1"/>
  <c r="U666" i="1" s="1"/>
  <c r="L666" i="1"/>
  <c r="K666" i="1"/>
  <c r="K667" i="1" s="1"/>
  <c r="H666" i="1"/>
  <c r="G666" i="1"/>
  <c r="G667" i="1" s="1"/>
  <c r="G668" i="1" s="1"/>
  <c r="G669" i="1" s="1"/>
  <c r="G671" i="1" s="1"/>
  <c r="G672" i="1" s="1"/>
  <c r="G673" i="1" s="1"/>
  <c r="G674" i="1" s="1"/>
  <c r="G675" i="1" s="1"/>
  <c r="G676" i="1" s="1"/>
  <c r="G677" i="1" s="1"/>
  <c r="G678" i="1" s="1"/>
  <c r="G679" i="1" s="1"/>
  <c r="G680" i="1" s="1"/>
  <c r="F666" i="1"/>
  <c r="F667" i="1" s="1"/>
  <c r="F668" i="1" s="1"/>
  <c r="F669" i="1" s="1"/>
  <c r="F671" i="1" s="1"/>
  <c r="F672" i="1" s="1"/>
  <c r="F673" i="1" s="1"/>
  <c r="F674" i="1" s="1"/>
  <c r="F675" i="1" s="1"/>
  <c r="F676" i="1" s="1"/>
  <c r="F677" i="1" s="1"/>
  <c r="F678" i="1" s="1"/>
  <c r="F679" i="1" s="1"/>
  <c r="F680" i="1" s="1"/>
  <c r="T665" i="1"/>
  <c r="T666" i="1" s="1"/>
  <c r="G664" i="1"/>
  <c r="G665" i="1" s="1"/>
  <c r="F664" i="1"/>
  <c r="F665" i="1" s="1"/>
  <c r="G663" i="1"/>
  <c r="F662" i="1"/>
  <c r="F660" i="1"/>
  <c r="T659" i="1"/>
  <c r="O659" i="1"/>
  <c r="F659" i="1"/>
  <c r="F658" i="1"/>
  <c r="G657" i="1"/>
  <c r="G658" i="1" s="1"/>
  <c r="G659" i="1" s="1"/>
  <c r="G660" i="1" s="1"/>
  <c r="G661" i="1" s="1"/>
  <c r="F656" i="1"/>
  <c r="T655" i="1"/>
  <c r="T656" i="1" s="1"/>
  <c r="T657" i="1" s="1"/>
  <c r="T658" i="1" s="1"/>
  <c r="T654" i="1"/>
  <c r="T653" i="1"/>
  <c r="Q653" i="1"/>
  <c r="R653" i="1" s="1"/>
  <c r="O653" i="1"/>
  <c r="T652" i="1"/>
  <c r="F652" i="1"/>
  <c r="F653" i="1" s="1"/>
  <c r="F654" i="1" s="1"/>
  <c r="G651" i="1"/>
  <c r="G652" i="1" s="1"/>
  <c r="G653" i="1" s="1"/>
  <c r="G654" i="1" s="1"/>
  <c r="G655" i="1" s="1"/>
  <c r="F650" i="1"/>
  <c r="T648" i="1"/>
  <c r="T649" i="1" s="1"/>
  <c r="T650" i="1" s="1"/>
  <c r="T651" i="1" s="1"/>
  <c r="G648" i="1"/>
  <c r="G649" i="1" s="1"/>
  <c r="T647" i="1"/>
  <c r="O647" i="1"/>
  <c r="N647" i="1"/>
  <c r="Q647" i="1" s="1"/>
  <c r="R647" i="1" s="1"/>
  <c r="U646" i="1"/>
  <c r="G646" i="1"/>
  <c r="G647" i="1" s="1"/>
  <c r="F646" i="1"/>
  <c r="F647" i="1" s="1"/>
  <c r="F648" i="1" s="1"/>
  <c r="G645" i="1"/>
  <c r="K644" i="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H644" i="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F644" i="1"/>
  <c r="G642" i="1"/>
  <c r="G643" i="1" s="1"/>
  <c r="K641" i="1"/>
  <c r="K642" i="1" s="1"/>
  <c r="K643" i="1" s="1"/>
  <c r="H641" i="1"/>
  <c r="H642" i="1" s="1"/>
  <c r="H643" i="1" s="1"/>
  <c r="F641" i="1"/>
  <c r="F642" i="1" s="1"/>
  <c r="F643" i="1" s="1"/>
  <c r="U640" i="1"/>
  <c r="G639" i="1"/>
  <c r="G640" i="1" s="1"/>
  <c r="F639" i="1"/>
  <c r="T638" i="1"/>
  <c r="O638" i="1"/>
  <c r="K638" i="1"/>
  <c r="K639" i="1" s="1"/>
  <c r="K640" i="1" s="1"/>
  <c r="H638" i="1"/>
  <c r="H639" i="1" s="1"/>
  <c r="H640" i="1" s="1"/>
  <c r="G638" i="1"/>
  <c r="F638" i="1"/>
  <c r="T636" i="1"/>
  <c r="L636" i="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K636" i="1"/>
  <c r="G636" i="1"/>
  <c r="F636" i="1"/>
  <c r="T635" i="1"/>
  <c r="H635" i="1"/>
  <c r="T634" i="1"/>
  <c r="F634" i="1"/>
  <c r="F635" i="1" s="1"/>
  <c r="T633" i="1"/>
  <c r="H633" i="1"/>
  <c r="H634" i="1" s="1"/>
  <c r="U632" i="1"/>
  <c r="T632" i="1"/>
  <c r="F632" i="1"/>
  <c r="F633" i="1" s="1"/>
  <c r="F631" i="1"/>
  <c r="G630" i="1"/>
  <c r="G631" i="1" s="1"/>
  <c r="G632" i="1" s="1"/>
  <c r="G633" i="1" s="1"/>
  <c r="G634" i="1" s="1"/>
  <c r="G635" i="1" s="1"/>
  <c r="F629" i="1"/>
  <c r="F627" i="1"/>
  <c r="U626" i="1"/>
  <c r="U621" i="1"/>
  <c r="U620" i="1"/>
  <c r="S620" i="1"/>
  <c r="V620" i="1" s="1"/>
  <c r="U619" i="1"/>
  <c r="S619" i="1"/>
  <c r="V619" i="1" s="1"/>
  <c r="G618" i="1"/>
  <c r="G619" i="1" s="1"/>
  <c r="G620" i="1" s="1"/>
  <c r="G621" i="1" s="1"/>
  <c r="G622" i="1" s="1"/>
  <c r="G623" i="1" s="1"/>
  <c r="G624" i="1" s="1"/>
  <c r="G625" i="1" s="1"/>
  <c r="G626" i="1" s="1"/>
  <c r="G627" i="1" s="1"/>
  <c r="G628" i="1" s="1"/>
  <c r="T617" i="1"/>
  <c r="O617" i="1"/>
  <c r="F617" i="1"/>
  <c r="F618" i="1" s="1"/>
  <c r="F619" i="1" s="1"/>
  <c r="F620" i="1" s="1"/>
  <c r="F621" i="1" s="1"/>
  <c r="F622" i="1" s="1"/>
  <c r="F623" i="1" s="1"/>
  <c r="F624" i="1" s="1"/>
  <c r="F625" i="1" s="1"/>
  <c r="F626" i="1" s="1"/>
  <c r="F616" i="1"/>
  <c r="U615" i="1"/>
  <c r="G615" i="1"/>
  <c r="G616" i="1" s="1"/>
  <c r="G617" i="1" s="1"/>
  <c r="L614" i="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T613" i="1"/>
  <c r="T614" i="1" s="1"/>
  <c r="T615" i="1" s="1"/>
  <c r="T616" i="1" s="1"/>
  <c r="L613" i="1"/>
  <c r="L611" i="1"/>
  <c r="L612" i="1" s="1"/>
  <c r="L610" i="1"/>
  <c r="U608" i="1"/>
  <c r="T608" i="1"/>
  <c r="T609" i="1" s="1"/>
  <c r="T610" i="1" s="1"/>
  <c r="T611" i="1" s="1"/>
  <c r="T612" i="1" s="1"/>
  <c r="F607" i="1"/>
  <c r="F608" i="1" s="1"/>
  <c r="F609" i="1" s="1"/>
  <c r="F610" i="1" s="1"/>
  <c r="F611" i="1" s="1"/>
  <c r="F612" i="1" s="1"/>
  <c r="F613" i="1" s="1"/>
  <c r="F614" i="1" s="1"/>
  <c r="T606" i="1"/>
  <c r="T607" i="1" s="1"/>
  <c r="G606" i="1"/>
  <c r="G607" i="1" s="1"/>
  <c r="G608" i="1" s="1"/>
  <c r="G609" i="1" s="1"/>
  <c r="G610" i="1" s="1"/>
  <c r="G611" i="1" s="1"/>
  <c r="G612" i="1" s="1"/>
  <c r="G613" i="1" s="1"/>
  <c r="F605" i="1"/>
  <c r="F606" i="1" s="1"/>
  <c r="T604" i="1"/>
  <c r="T605" i="1" s="1"/>
  <c r="L604" i="1"/>
  <c r="L605" i="1" s="1"/>
  <c r="L606" i="1" s="1"/>
  <c r="L607" i="1" s="1"/>
  <c r="L608" i="1" s="1"/>
  <c r="K604" i="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Q603" i="1"/>
  <c r="R603" i="1" s="1"/>
  <c r="O603" i="1"/>
  <c r="T600" i="1"/>
  <c r="T602" i="1" s="1"/>
  <c r="K600" i="1"/>
  <c r="K602" i="1" s="1"/>
  <c r="K603" i="1" s="1"/>
  <c r="O595" i="1"/>
  <c r="N595" i="1"/>
  <c r="F594" i="1"/>
  <c r="F595" i="1" s="1"/>
  <c r="F596" i="1" s="1"/>
  <c r="F597" i="1" s="1"/>
  <c r="F598" i="1" s="1"/>
  <c r="F600" i="1" s="1"/>
  <c r="F602" i="1" s="1"/>
  <c r="F603" i="1" s="1"/>
  <c r="T593" i="1"/>
  <c r="T594" i="1" s="1"/>
  <c r="T595" i="1" s="1"/>
  <c r="L593" i="1"/>
  <c r="L594" i="1" s="1"/>
  <c r="L595" i="1" s="1"/>
  <c r="L596" i="1" s="1"/>
  <c r="L597" i="1" s="1"/>
  <c r="L598" i="1" s="1"/>
  <c r="L600" i="1" s="1"/>
  <c r="L602" i="1" s="1"/>
  <c r="L603" i="1" s="1"/>
  <c r="R592" i="1"/>
  <c r="Q592" i="1"/>
  <c r="O592" i="1"/>
  <c r="Q591" i="1"/>
  <c r="P591" i="1"/>
  <c r="O591" i="1"/>
  <c r="N591" i="1"/>
  <c r="L590" i="1"/>
  <c r="L591" i="1" s="1"/>
  <c r="L592" i="1" s="1"/>
  <c r="F588" i="1"/>
  <c r="F589" i="1" s="1"/>
  <c r="F590" i="1" s="1"/>
  <c r="F591" i="1" s="1"/>
  <c r="F592" i="1" s="1"/>
  <c r="F593" i="1" s="1"/>
  <c r="T587" i="1"/>
  <c r="T588" i="1" s="1"/>
  <c r="T589" i="1" s="1"/>
  <c r="T590" i="1" s="1"/>
  <c r="T591" i="1" s="1"/>
  <c r="K587" i="1"/>
  <c r="K588" i="1" s="1"/>
  <c r="K589" i="1" s="1"/>
  <c r="K590" i="1" s="1"/>
  <c r="K591" i="1" s="1"/>
  <c r="K592" i="1" s="1"/>
  <c r="K593" i="1" s="1"/>
  <c r="K594" i="1" s="1"/>
  <c r="K595" i="1" s="1"/>
  <c r="K596" i="1" s="1"/>
  <c r="K597" i="1" s="1"/>
  <c r="F587" i="1"/>
  <c r="P585" i="1"/>
  <c r="O585" i="1"/>
  <c r="N585" i="1"/>
  <c r="K585" i="1"/>
  <c r="L583" i="1"/>
  <c r="L584" i="1" s="1"/>
  <c r="L585" i="1" s="1"/>
  <c r="L587" i="1" s="1"/>
  <c r="K583" i="1"/>
  <c r="H583" i="1"/>
  <c r="H584" i="1" s="1"/>
  <c r="H585" i="1" s="1"/>
  <c r="H587" i="1" s="1"/>
  <c r="H588" i="1" s="1"/>
  <c r="H589" i="1" s="1"/>
  <c r="H590" i="1" s="1"/>
  <c r="H591" i="1" s="1"/>
  <c r="H592" i="1" s="1"/>
  <c r="H593" i="1" s="1"/>
  <c r="H594" i="1" s="1"/>
  <c r="H595" i="1" s="1"/>
  <c r="H596" i="1" s="1"/>
  <c r="H597" i="1" s="1"/>
  <c r="H598" i="1" s="1"/>
  <c r="H600"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F583" i="1"/>
  <c r="F584" i="1" s="1"/>
  <c r="F585" i="1" s="1"/>
  <c r="O582" i="1"/>
  <c r="L582" i="1"/>
  <c r="K582" i="1"/>
  <c r="H582" i="1"/>
  <c r="G582" i="1"/>
  <c r="G583" i="1" s="1"/>
  <c r="G584" i="1" s="1"/>
  <c r="G585" i="1" s="1"/>
  <c r="G587" i="1" s="1"/>
  <c r="G588" i="1" s="1"/>
  <c r="G589" i="1" s="1"/>
  <c r="G590" i="1" s="1"/>
  <c r="G591" i="1" s="1"/>
  <c r="G592" i="1" s="1"/>
  <c r="G593" i="1" s="1"/>
  <c r="G594" i="1" s="1"/>
  <c r="G595" i="1" s="1"/>
  <c r="G596" i="1" s="1"/>
  <c r="G597" i="1" s="1"/>
  <c r="G598" i="1" s="1"/>
  <c r="G600" i="1" s="1"/>
  <c r="G602" i="1" s="1"/>
  <c r="G603" i="1" s="1"/>
  <c r="G604" i="1" s="1"/>
  <c r="F582" i="1"/>
  <c r="T581" i="1"/>
  <c r="T582" i="1" s="1"/>
  <c r="F581" i="1"/>
  <c r="G580" i="1"/>
  <c r="G581" i="1" s="1"/>
  <c r="F580" i="1"/>
  <c r="T579" i="1"/>
  <c r="T580" i="1" s="1"/>
  <c r="T585" i="1" s="1"/>
  <c r="Q585" i="1" s="1"/>
  <c r="G579" i="1"/>
  <c r="F578" i="1"/>
  <c r="T576" i="1"/>
  <c r="T577" i="1" s="1"/>
  <c r="T578" i="1" s="1"/>
  <c r="G576" i="1"/>
  <c r="G577" i="1" s="1"/>
  <c r="T575" i="1"/>
  <c r="R575" i="1"/>
  <c r="Q575" i="1"/>
  <c r="O575" i="1"/>
  <c r="G575" i="1"/>
  <c r="F575" i="1"/>
  <c r="F576" i="1" s="1"/>
  <c r="G574" i="1"/>
  <c r="F574" i="1"/>
  <c r="G573" i="1"/>
  <c r="F572" i="1"/>
  <c r="K570" i="1"/>
  <c r="K571" i="1" s="1"/>
  <c r="K572" i="1" s="1"/>
  <c r="K573" i="1" s="1"/>
  <c r="K574" i="1" s="1"/>
  <c r="K575" i="1" s="1"/>
  <c r="K576" i="1" s="1"/>
  <c r="K577" i="1" s="1"/>
  <c r="K578" i="1" s="1"/>
  <c r="K579" i="1" s="1"/>
  <c r="K580" i="1" s="1"/>
  <c r="K581" i="1" s="1"/>
  <c r="T569" i="1"/>
  <c r="T570" i="1" s="1"/>
  <c r="T571" i="1" s="1"/>
  <c r="T572" i="1" s="1"/>
  <c r="T573" i="1" s="1"/>
  <c r="T574" i="1" s="1"/>
  <c r="Q569" i="1"/>
  <c r="R569" i="1" s="1"/>
  <c r="O569" i="1"/>
  <c r="F569" i="1"/>
  <c r="F570" i="1" s="1"/>
  <c r="G568" i="1"/>
  <c r="G569" i="1" s="1"/>
  <c r="G570" i="1" s="1"/>
  <c r="G571" i="1" s="1"/>
  <c r="F568" i="1"/>
  <c r="G567" i="1"/>
  <c r="U566" i="1"/>
  <c r="F566" i="1"/>
  <c r="T564" i="1"/>
  <c r="T565" i="1" s="1"/>
  <c r="T566" i="1" s="1"/>
  <c r="T567" i="1" s="1"/>
  <c r="T568" i="1" s="1"/>
  <c r="T563" i="1"/>
  <c r="O563" i="1"/>
  <c r="N563" i="1"/>
  <c r="Q563" i="1" s="1"/>
  <c r="R563" i="1" s="1"/>
  <c r="K562" i="1"/>
  <c r="K563" i="1" s="1"/>
  <c r="K564" i="1" s="1"/>
  <c r="K565" i="1" s="1"/>
  <c r="K566" i="1" s="1"/>
  <c r="K567" i="1" s="1"/>
  <c r="K568" i="1" s="1"/>
  <c r="K569" i="1" s="1"/>
  <c r="G562" i="1"/>
  <c r="G563" i="1" s="1"/>
  <c r="G564" i="1" s="1"/>
  <c r="G565" i="1" s="1"/>
  <c r="F562" i="1"/>
  <c r="F563" i="1" s="1"/>
  <c r="F564" i="1" s="1"/>
  <c r="G561" i="1"/>
  <c r="K560" i="1"/>
  <c r="K561" i="1" s="1"/>
  <c r="G559" i="1"/>
  <c r="K558" i="1"/>
  <c r="K559" i="1" s="1"/>
  <c r="G558" i="1"/>
  <c r="U557" i="1"/>
  <c r="F557" i="1"/>
  <c r="F558" i="1" s="1"/>
  <c r="F559" i="1" s="1"/>
  <c r="F560" i="1" s="1"/>
  <c r="L556" i="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O554" i="1"/>
  <c r="L554" i="1"/>
  <c r="L555" i="1" s="1"/>
  <c r="H554" i="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G554" i="1"/>
  <c r="G555" i="1" s="1"/>
  <c r="G556" i="1" s="1"/>
  <c r="F554" i="1"/>
  <c r="F555" i="1" s="1"/>
  <c r="T552" i="1"/>
  <c r="T554" i="1" s="1"/>
  <c r="L552" i="1"/>
  <c r="K552" i="1"/>
  <c r="K554" i="1" s="1"/>
  <c r="K555" i="1" s="1"/>
  <c r="K556" i="1" s="1"/>
  <c r="K557" i="1" s="1"/>
  <c r="G552" i="1"/>
  <c r="F552" i="1"/>
  <c r="T551" i="1"/>
  <c r="H551" i="1"/>
  <c r="T549" i="1"/>
  <c r="T550" i="1" s="1"/>
  <c r="H549" i="1"/>
  <c r="H550" i="1" s="1"/>
  <c r="F549" i="1"/>
  <c r="F550" i="1" s="1"/>
  <c r="F551" i="1" s="1"/>
  <c r="T548" i="1"/>
  <c r="F548" i="1"/>
  <c r="F547" i="1"/>
  <c r="G546" i="1"/>
  <c r="G547" i="1" s="1"/>
  <c r="G548" i="1" s="1"/>
  <c r="G549" i="1" s="1"/>
  <c r="G550" i="1" s="1"/>
  <c r="G551" i="1" s="1"/>
  <c r="T545" i="1"/>
  <c r="T546" i="1" s="1"/>
  <c r="T547" i="1" s="1"/>
  <c r="F545" i="1"/>
  <c r="U543" i="1"/>
  <c r="G540" i="1"/>
  <c r="G541" i="1" s="1"/>
  <c r="G542" i="1" s="1"/>
  <c r="G543" i="1" s="1"/>
  <c r="G544" i="1" s="1"/>
  <c r="F538" i="1"/>
  <c r="F539" i="1" s="1"/>
  <c r="F540" i="1" s="1"/>
  <c r="F541" i="1" s="1"/>
  <c r="F542" i="1" s="1"/>
  <c r="F543" i="1" s="1"/>
  <c r="U537" i="1"/>
  <c r="T534" i="1"/>
  <c r="T535" i="1" s="1"/>
  <c r="T536" i="1" s="1"/>
  <c r="T537" i="1" s="1"/>
  <c r="T538" i="1" s="1"/>
  <c r="T539" i="1" s="1"/>
  <c r="T540" i="1" s="1"/>
  <c r="T541" i="1" s="1"/>
  <c r="T542" i="1" s="1"/>
  <c r="T543" i="1" s="1"/>
  <c r="T544" i="1" s="1"/>
  <c r="T533" i="1"/>
  <c r="Q533" i="1" s="1"/>
  <c r="R533" i="1" s="1"/>
  <c r="O533" i="1"/>
  <c r="G533" i="1"/>
  <c r="G534" i="1" s="1"/>
  <c r="G535" i="1" s="1"/>
  <c r="G536" i="1" s="1"/>
  <c r="G537" i="1" s="1"/>
  <c r="G538" i="1" s="1"/>
  <c r="G539" i="1" s="1"/>
  <c r="F533" i="1"/>
  <c r="F534" i="1" s="1"/>
  <c r="F535" i="1" s="1"/>
  <c r="F536" i="1" s="1"/>
  <c r="F537" i="1" s="1"/>
  <c r="U532" i="1"/>
  <c r="S532" i="1"/>
  <c r="V532" i="1" s="1"/>
  <c r="G532" i="1"/>
  <c r="F532" i="1"/>
  <c r="G531" i="1"/>
  <c r="U528" i="1"/>
  <c r="L526" i="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T525" i="1"/>
  <c r="T526" i="1" s="1"/>
  <c r="T527" i="1" s="1"/>
  <c r="T528" i="1" s="1"/>
  <c r="T529" i="1" s="1"/>
  <c r="T530" i="1" s="1"/>
  <c r="T531" i="1" s="1"/>
  <c r="T532" i="1" s="1"/>
  <c r="H525" i="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23" i="1"/>
  <c r="H524" i="1" s="1"/>
  <c r="G523" i="1"/>
  <c r="G524" i="1" s="1"/>
  <c r="G525" i="1" s="1"/>
  <c r="G526" i="1" s="1"/>
  <c r="G527" i="1" s="1"/>
  <c r="G528" i="1" s="1"/>
  <c r="G529" i="1" s="1"/>
  <c r="T522" i="1"/>
  <c r="T523" i="1" s="1"/>
  <c r="T524" i="1" s="1"/>
  <c r="G522" i="1"/>
  <c r="T521" i="1"/>
  <c r="F521" i="1"/>
  <c r="F522" i="1" s="1"/>
  <c r="F523" i="1" s="1"/>
  <c r="F524" i="1" s="1"/>
  <c r="F525" i="1" s="1"/>
  <c r="F526" i="1" s="1"/>
  <c r="F527" i="1" s="1"/>
  <c r="F528" i="1" s="1"/>
  <c r="F529" i="1" s="1"/>
  <c r="F530" i="1" s="1"/>
  <c r="T520" i="1"/>
  <c r="K520" i="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G520" i="1"/>
  <c r="R519" i="1"/>
  <c r="U519" i="1" s="1"/>
  <c r="Q519" i="1"/>
  <c r="O519" i="1"/>
  <c r="T518" i="1"/>
  <c r="L518" i="1"/>
  <c r="L519" i="1" s="1"/>
  <c r="L520" i="1" s="1"/>
  <c r="L521" i="1" s="1"/>
  <c r="L522" i="1" s="1"/>
  <c r="L523" i="1" s="1"/>
  <c r="L524" i="1" s="1"/>
  <c r="K518" i="1"/>
  <c r="K519" i="1" s="1"/>
  <c r="H518" i="1"/>
  <c r="H519" i="1" s="1"/>
  <c r="H520" i="1" s="1"/>
  <c r="H521" i="1" s="1"/>
  <c r="H522" i="1" s="1"/>
  <c r="U516" i="1"/>
  <c r="T516" i="1"/>
  <c r="L516" i="1"/>
  <c r="K516" i="1"/>
  <c r="G516" i="1"/>
  <c r="G518" i="1" s="1"/>
  <c r="G519" i="1" s="1"/>
  <c r="F516" i="1"/>
  <c r="F518" i="1" s="1"/>
  <c r="F519" i="1" s="1"/>
  <c r="T514" i="1"/>
  <c r="L514" i="1"/>
  <c r="H514" i="1"/>
  <c r="H516" i="1" s="1"/>
  <c r="G514" i="1"/>
  <c r="F514" i="1"/>
  <c r="G512" i="1"/>
  <c r="F512" i="1"/>
  <c r="T511" i="1"/>
  <c r="O511" i="1"/>
  <c r="N511" i="1"/>
  <c r="T509" i="1"/>
  <c r="T510" i="1" s="1"/>
  <c r="R508" i="1"/>
  <c r="Q508" i="1"/>
  <c r="O508" i="1"/>
  <c r="U508" i="1" s="1"/>
  <c r="K508" i="1"/>
  <c r="K509" i="1" s="1"/>
  <c r="K510" i="1" s="1"/>
  <c r="K511" i="1" s="1"/>
  <c r="K512" i="1" s="1"/>
  <c r="H508" i="1"/>
  <c r="H509" i="1" s="1"/>
  <c r="H510" i="1" s="1"/>
  <c r="H511" i="1" s="1"/>
  <c r="H512" i="1" s="1"/>
  <c r="P507" i="1"/>
  <c r="O507" i="1"/>
  <c r="N507" i="1"/>
  <c r="L507" i="1"/>
  <c r="L508" i="1" s="1"/>
  <c r="L509" i="1" s="1"/>
  <c r="L510" i="1" s="1"/>
  <c r="L511" i="1" s="1"/>
  <c r="L512" i="1" s="1"/>
  <c r="L506" i="1"/>
  <c r="K506" i="1"/>
  <c r="K507" i="1" s="1"/>
  <c r="H506" i="1"/>
  <c r="H507" i="1" s="1"/>
  <c r="H504" i="1"/>
  <c r="H505" i="1" s="1"/>
  <c r="P501" i="1"/>
  <c r="O501" i="1"/>
  <c r="N501" i="1"/>
  <c r="K501" i="1"/>
  <c r="K503" i="1" s="1"/>
  <c r="K504" i="1" s="1"/>
  <c r="K505" i="1" s="1"/>
  <c r="G501" i="1"/>
  <c r="G503" i="1" s="1"/>
  <c r="G504" i="1" s="1"/>
  <c r="G505" i="1" s="1"/>
  <c r="G506" i="1" s="1"/>
  <c r="G507" i="1" s="1"/>
  <c r="G508" i="1" s="1"/>
  <c r="G509" i="1" s="1"/>
  <c r="G510" i="1" s="1"/>
  <c r="G511" i="1" s="1"/>
  <c r="U499" i="1"/>
  <c r="K499" i="1"/>
  <c r="H499" i="1"/>
  <c r="H500" i="1" s="1"/>
  <c r="H501" i="1" s="1"/>
  <c r="H503" i="1" s="1"/>
  <c r="G499" i="1"/>
  <c r="G500" i="1" s="1"/>
  <c r="F499" i="1"/>
  <c r="F500" i="1" s="1"/>
  <c r="F501" i="1" s="1"/>
  <c r="F503" i="1" s="1"/>
  <c r="F504" i="1" s="1"/>
  <c r="F505" i="1" s="1"/>
  <c r="F506" i="1" s="1"/>
  <c r="F507" i="1" s="1"/>
  <c r="F508" i="1" s="1"/>
  <c r="F509" i="1" s="1"/>
  <c r="F510" i="1" s="1"/>
  <c r="F511" i="1" s="1"/>
  <c r="T498" i="1"/>
  <c r="O498" i="1"/>
  <c r="L498" i="1"/>
  <c r="L499" i="1" s="1"/>
  <c r="L500" i="1" s="1"/>
  <c r="L501" i="1" s="1"/>
  <c r="L503" i="1" s="1"/>
  <c r="K498" i="1"/>
  <c r="H498" i="1"/>
  <c r="G498" i="1"/>
  <c r="F498" i="1"/>
  <c r="T497" i="1"/>
  <c r="F497" i="1"/>
  <c r="G496" i="1"/>
  <c r="G497" i="1" s="1"/>
  <c r="F496" i="1"/>
  <c r="G495" i="1"/>
  <c r="F494" i="1"/>
  <c r="T492" i="1"/>
  <c r="T493" i="1" s="1"/>
  <c r="T494" i="1" s="1"/>
  <c r="T495" i="1" s="1"/>
  <c r="T496" i="1" s="1"/>
  <c r="T501" i="1" s="1"/>
  <c r="F492" i="1"/>
  <c r="T491" i="1"/>
  <c r="Q491" i="1" s="1"/>
  <c r="R491" i="1" s="1"/>
  <c r="O491" i="1"/>
  <c r="G490" i="1"/>
  <c r="G491" i="1" s="1"/>
  <c r="G492" i="1" s="1"/>
  <c r="G493" i="1" s="1"/>
  <c r="F490" i="1"/>
  <c r="F491" i="1" s="1"/>
  <c r="G489" i="1"/>
  <c r="F488" i="1"/>
  <c r="T487" i="1"/>
  <c r="T488" i="1" s="1"/>
  <c r="T489" i="1" s="1"/>
  <c r="T490" i="1" s="1"/>
  <c r="T486" i="1"/>
  <c r="T485" i="1"/>
  <c r="R485" i="1"/>
  <c r="Q485" i="1"/>
  <c r="O485" i="1"/>
  <c r="U485" i="1" s="1"/>
  <c r="T484" i="1"/>
  <c r="F484" i="1"/>
  <c r="F485" i="1" s="1"/>
  <c r="F486" i="1" s="1"/>
  <c r="G483" i="1"/>
  <c r="G484" i="1" s="1"/>
  <c r="G485" i="1" s="1"/>
  <c r="G486" i="1" s="1"/>
  <c r="G487" i="1" s="1"/>
  <c r="F482" i="1"/>
  <c r="G481" i="1"/>
  <c r="T479" i="1"/>
  <c r="T480" i="1" s="1"/>
  <c r="T481" i="1" s="1"/>
  <c r="T482" i="1" s="1"/>
  <c r="T483" i="1" s="1"/>
  <c r="O479" i="1"/>
  <c r="N479" i="1"/>
  <c r="Q479" i="1" s="1"/>
  <c r="R479" i="1" s="1"/>
  <c r="U479" i="1" s="1"/>
  <c r="F479" i="1"/>
  <c r="F480" i="1" s="1"/>
  <c r="F478" i="1"/>
  <c r="U477" i="1"/>
  <c r="T477" i="1"/>
  <c r="T478" i="1" s="1"/>
  <c r="G477" i="1"/>
  <c r="G478" i="1" s="1"/>
  <c r="G479" i="1" s="1"/>
  <c r="G480" i="1" s="1"/>
  <c r="G475" i="1"/>
  <c r="F475" i="1"/>
  <c r="F476" i="1" s="1"/>
  <c r="G474" i="1"/>
  <c r="F473" i="1"/>
  <c r="F474" i="1" s="1"/>
  <c r="T472" i="1"/>
  <c r="T473" i="1" s="1"/>
  <c r="T474" i="1" s="1"/>
  <c r="T475" i="1" s="1"/>
  <c r="T476" i="1" s="1"/>
  <c r="K472" i="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H472" i="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T471" i="1"/>
  <c r="T470" i="1"/>
  <c r="Q470" i="1" s="1"/>
  <c r="R470" i="1" s="1"/>
  <c r="O470" i="1"/>
  <c r="L470" i="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K470" i="1"/>
  <c r="K471" i="1" s="1"/>
  <c r="H470" i="1"/>
  <c r="H471" i="1" s="1"/>
  <c r="G470" i="1"/>
  <c r="G471" i="1" s="1"/>
  <c r="G472" i="1" s="1"/>
  <c r="T468" i="1"/>
  <c r="L468" i="1"/>
  <c r="K468" i="1"/>
  <c r="G468" i="1"/>
  <c r="F468" i="1"/>
  <c r="F470" i="1" s="1"/>
  <c r="F471" i="1" s="1"/>
  <c r="T467" i="1"/>
  <c r="T466" i="1"/>
  <c r="U465" i="1"/>
  <c r="H465" i="1"/>
  <c r="H466" i="1" s="1"/>
  <c r="H467" i="1" s="1"/>
  <c r="G465" i="1"/>
  <c r="G466" i="1" s="1"/>
  <c r="G467" i="1" s="1"/>
  <c r="T464" i="1"/>
  <c r="T465" i="1" s="1"/>
  <c r="G464" i="1"/>
  <c r="F463" i="1"/>
  <c r="F464" i="1" s="1"/>
  <c r="F465" i="1" s="1"/>
  <c r="F466" i="1" s="1"/>
  <c r="F467" i="1" s="1"/>
  <c r="G462" i="1"/>
  <c r="G463" i="1" s="1"/>
  <c r="F461" i="1"/>
  <c r="K460" i="1"/>
  <c r="K461" i="1" s="1"/>
  <c r="K462" i="1" s="1"/>
  <c r="K463" i="1" s="1"/>
  <c r="K464" i="1" s="1"/>
  <c r="K465" i="1" s="1"/>
  <c r="K466" i="1" s="1"/>
  <c r="K467" i="1" s="1"/>
  <c r="U455" i="1"/>
  <c r="F451" i="1"/>
  <c r="F452" i="1" s="1"/>
  <c r="F453" i="1" s="1"/>
  <c r="F454" i="1" s="1"/>
  <c r="F455" i="1" s="1"/>
  <c r="F456" i="1" s="1"/>
  <c r="F457" i="1" s="1"/>
  <c r="F458" i="1" s="1"/>
  <c r="F459" i="1" s="1"/>
  <c r="T450" i="1"/>
  <c r="T451" i="1" s="1"/>
  <c r="T452" i="1" s="1"/>
  <c r="T453" i="1" s="1"/>
  <c r="T454" i="1" s="1"/>
  <c r="T455" i="1" s="1"/>
  <c r="T456" i="1" s="1"/>
  <c r="T457" i="1" s="1"/>
  <c r="T458" i="1" s="1"/>
  <c r="T459" i="1" s="1"/>
  <c r="T460" i="1" s="1"/>
  <c r="T461" i="1" s="1"/>
  <c r="T462" i="1" s="1"/>
  <c r="T463" i="1" s="1"/>
  <c r="T449" i="1"/>
  <c r="Q449" i="1"/>
  <c r="R449" i="1" s="1"/>
  <c r="O449" i="1"/>
  <c r="G448" i="1"/>
  <c r="G449" i="1" s="1"/>
  <c r="G450" i="1" s="1"/>
  <c r="G451" i="1" s="1"/>
  <c r="G452" i="1" s="1"/>
  <c r="G453" i="1" s="1"/>
  <c r="G454" i="1" s="1"/>
  <c r="G455" i="1" s="1"/>
  <c r="G456" i="1" s="1"/>
  <c r="G457" i="1" s="1"/>
  <c r="G458" i="1" s="1"/>
  <c r="G459" i="1" s="1"/>
  <c r="G460" i="1" s="1"/>
  <c r="F448" i="1"/>
  <c r="F449" i="1" s="1"/>
  <c r="F450" i="1" s="1"/>
  <c r="G447" i="1"/>
  <c r="U446" i="1"/>
  <c r="S446" i="1"/>
  <c r="V446" i="1" s="1"/>
  <c r="V445" i="1"/>
  <c r="U445" i="1"/>
  <c r="S445" i="1"/>
  <c r="L444" i="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42" i="1"/>
  <c r="L443" i="1" s="1"/>
  <c r="G440" i="1"/>
  <c r="G441" i="1" s="1"/>
  <c r="G442" i="1" s="1"/>
  <c r="G443" i="1" s="1"/>
  <c r="G444" i="1" s="1"/>
  <c r="G445" i="1" s="1"/>
  <c r="F440" i="1"/>
  <c r="F441" i="1" s="1"/>
  <c r="F442" i="1" s="1"/>
  <c r="F443" i="1" s="1"/>
  <c r="F444" i="1" s="1"/>
  <c r="F445" i="1" s="1"/>
  <c r="F446" i="1" s="1"/>
  <c r="U439" i="1"/>
  <c r="G438" i="1"/>
  <c r="G439" i="1" s="1"/>
  <c r="F438" i="1"/>
  <c r="F439" i="1" s="1"/>
  <c r="F437" i="1"/>
  <c r="T436" i="1"/>
  <c r="T437" i="1" s="1"/>
  <c r="T438" i="1" s="1"/>
  <c r="T439" i="1" s="1"/>
  <c r="T440" i="1" s="1"/>
  <c r="T441" i="1" s="1"/>
  <c r="T442" i="1" s="1"/>
  <c r="T443" i="1" s="1"/>
  <c r="T444" i="1" s="1"/>
  <c r="T445" i="1" s="1"/>
  <c r="T446" i="1" s="1"/>
  <c r="T447" i="1" s="1"/>
  <c r="T448" i="1" s="1"/>
  <c r="L436" i="1"/>
  <c r="L437" i="1" s="1"/>
  <c r="L438" i="1" s="1"/>
  <c r="L439" i="1" s="1"/>
  <c r="L440" i="1" s="1"/>
  <c r="K436" i="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R435" i="1"/>
  <c r="Q435" i="1"/>
  <c r="O435" i="1"/>
  <c r="U435" i="1" s="1"/>
  <c r="K435" i="1"/>
  <c r="G435" i="1"/>
  <c r="G436" i="1" s="1"/>
  <c r="F435" i="1"/>
  <c r="T432" i="1"/>
  <c r="T434" i="1" s="1"/>
  <c r="L432" i="1"/>
  <c r="L434" i="1" s="1"/>
  <c r="L435" i="1" s="1"/>
  <c r="K432" i="1"/>
  <c r="K434" i="1" s="1"/>
  <c r="T427" i="1"/>
  <c r="O427" i="1"/>
  <c r="N427" i="1"/>
  <c r="T426" i="1"/>
  <c r="L426" i="1"/>
  <c r="L427" i="1" s="1"/>
  <c r="L428" i="1" s="1"/>
  <c r="L429" i="1" s="1"/>
  <c r="L430" i="1" s="1"/>
  <c r="U425" i="1"/>
  <c r="T425" i="1"/>
  <c r="R424" i="1"/>
  <c r="Q424" i="1"/>
  <c r="O424" i="1"/>
  <c r="U424" i="1" s="1"/>
  <c r="H424" i="1"/>
  <c r="H425" i="1" s="1"/>
  <c r="H426" i="1" s="1"/>
  <c r="H427" i="1" s="1"/>
  <c r="H428" i="1" s="1"/>
  <c r="H429" i="1" s="1"/>
  <c r="H430" i="1" s="1"/>
  <c r="H432"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G424" i="1"/>
  <c r="G425" i="1" s="1"/>
  <c r="G426" i="1" s="1"/>
  <c r="G427" i="1" s="1"/>
  <c r="G428" i="1" s="1"/>
  <c r="G429" i="1" s="1"/>
  <c r="G430" i="1" s="1"/>
  <c r="G432" i="1" s="1"/>
  <c r="G434" i="1" s="1"/>
  <c r="P423" i="1"/>
  <c r="O423" i="1"/>
  <c r="N423" i="1"/>
  <c r="L423" i="1"/>
  <c r="L424" i="1" s="1"/>
  <c r="L425" i="1" s="1"/>
  <c r="G423" i="1"/>
  <c r="L422" i="1"/>
  <c r="P417" i="1"/>
  <c r="O417" i="1"/>
  <c r="N417" i="1"/>
  <c r="O414" i="1"/>
  <c r="L414" i="1"/>
  <c r="L415" i="1" s="1"/>
  <c r="L416" i="1" s="1"/>
  <c r="L384" i="1" s="1"/>
  <c r="L386" i="1" s="1"/>
  <c r="K414" i="1"/>
  <c r="K415" i="1" s="1"/>
  <c r="H414" i="1"/>
  <c r="H415" i="1" s="1"/>
  <c r="H416" i="1" s="1"/>
  <c r="G414" i="1"/>
  <c r="G415" i="1" s="1"/>
  <c r="G416" i="1" s="1"/>
  <c r="G384" i="1" s="1"/>
  <c r="G386" i="1" s="1"/>
  <c r="G387" i="1" s="1"/>
  <c r="G388" i="1" s="1"/>
  <c r="F414" i="1"/>
  <c r="F415" i="1" s="1"/>
  <c r="F416" i="1" s="1"/>
  <c r="F384" i="1" s="1"/>
  <c r="F386" i="1" s="1"/>
  <c r="F387" i="1" s="1"/>
  <c r="T413" i="1"/>
  <c r="T414" i="1" s="1"/>
  <c r="F412" i="1"/>
  <c r="F417" i="1" s="1"/>
  <c r="F419" i="1" s="1"/>
  <c r="F420" i="1" s="1"/>
  <c r="F421" i="1" s="1"/>
  <c r="F422" i="1" s="1"/>
  <c r="F423" i="1" s="1"/>
  <c r="F424" i="1" s="1"/>
  <c r="F425" i="1" s="1"/>
  <c r="F426" i="1" s="1"/>
  <c r="F427" i="1" s="1"/>
  <c r="F428" i="1" s="1"/>
  <c r="F429" i="1" s="1"/>
  <c r="F430" i="1" s="1"/>
  <c r="F432" i="1" s="1"/>
  <c r="F434" i="1" s="1"/>
  <c r="G411" i="1"/>
  <c r="G412" i="1" s="1"/>
  <c r="G417" i="1" s="1"/>
  <c r="G419" i="1" s="1"/>
  <c r="G420" i="1" s="1"/>
  <c r="G421" i="1" s="1"/>
  <c r="G422" i="1" s="1"/>
  <c r="F410" i="1"/>
  <c r="G408" i="1"/>
  <c r="G409" i="1" s="1"/>
  <c r="F408" i="1"/>
  <c r="T407" i="1"/>
  <c r="O407" i="1"/>
  <c r="F406" i="1"/>
  <c r="F407" i="1" s="1"/>
  <c r="G405" i="1"/>
  <c r="G406" i="1" s="1"/>
  <c r="G407" i="1" s="1"/>
  <c r="T404" i="1"/>
  <c r="T405" i="1" s="1"/>
  <c r="T406" i="1" s="1"/>
  <c r="F404" i="1"/>
  <c r="G402" i="1"/>
  <c r="G403" i="1" s="1"/>
  <c r="T401" i="1"/>
  <c r="T402" i="1" s="1"/>
  <c r="T403" i="1" s="1"/>
  <c r="Q401" i="1"/>
  <c r="R401" i="1" s="1"/>
  <c r="O401" i="1"/>
  <c r="F401" i="1"/>
  <c r="F402" i="1" s="1"/>
  <c r="G400" i="1"/>
  <c r="G401" i="1" s="1"/>
  <c r="F400" i="1"/>
  <c r="G399" i="1"/>
  <c r="U398" i="1"/>
  <c r="F398" i="1"/>
  <c r="T396" i="1"/>
  <c r="T397" i="1" s="1"/>
  <c r="T398" i="1" s="1"/>
  <c r="T399" i="1" s="1"/>
  <c r="T400" i="1" s="1"/>
  <c r="T395" i="1"/>
  <c r="O395" i="1"/>
  <c r="N395" i="1"/>
  <c r="Q395" i="1" s="1"/>
  <c r="R395" i="1" s="1"/>
  <c r="U395" i="1" s="1"/>
  <c r="F395" i="1"/>
  <c r="F396" i="1" s="1"/>
  <c r="G394" i="1"/>
  <c r="G395" i="1" s="1"/>
  <c r="G396" i="1" s="1"/>
  <c r="G397" i="1" s="1"/>
  <c r="F394" i="1"/>
  <c r="G393" i="1"/>
  <c r="F392" i="1"/>
  <c r="G391" i="1"/>
  <c r="L390" i="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7" i="1" s="1"/>
  <c r="L419" i="1" s="1"/>
  <c r="G390" i="1"/>
  <c r="F389" i="1"/>
  <c r="F390" i="1" s="1"/>
  <c r="F391" i="1" s="1"/>
  <c r="L388" i="1"/>
  <c r="L389" i="1" s="1"/>
  <c r="L387" i="1"/>
  <c r="O386" i="1"/>
  <c r="K386" i="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7" i="1" s="1"/>
  <c r="K419" i="1" s="1"/>
  <c r="K420" i="1" s="1"/>
  <c r="K421" i="1" s="1"/>
  <c r="K422" i="1" s="1"/>
  <c r="K423" i="1" s="1"/>
  <c r="K424" i="1" s="1"/>
  <c r="K425" i="1" s="1"/>
  <c r="K426" i="1" s="1"/>
  <c r="K427" i="1" s="1"/>
  <c r="K428" i="1" s="1"/>
  <c r="K429" i="1" s="1"/>
  <c r="H386" i="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7" i="1" s="1"/>
  <c r="H419" i="1" s="1"/>
  <c r="H420" i="1" s="1"/>
  <c r="H421" i="1" s="1"/>
  <c r="H422" i="1" s="1"/>
  <c r="H423" i="1" s="1"/>
  <c r="T384" i="1"/>
  <c r="T386" i="1" s="1"/>
  <c r="K384" i="1"/>
  <c r="T383" i="1"/>
  <c r="H383" i="1"/>
  <c r="H413" i="1" s="1"/>
  <c r="F383" i="1"/>
  <c r="F413" i="1" s="1"/>
  <c r="T382" i="1"/>
  <c r="G382" i="1"/>
  <c r="G383" i="1" s="1"/>
  <c r="G413" i="1" s="1"/>
  <c r="F382" i="1"/>
  <c r="H381" i="1"/>
  <c r="H382" i="1" s="1"/>
  <c r="T380" i="1"/>
  <c r="T381" i="1" s="1"/>
  <c r="G380" i="1"/>
  <c r="G381" i="1" s="1"/>
  <c r="F379" i="1"/>
  <c r="F380" i="1" s="1"/>
  <c r="F381" i="1" s="1"/>
  <c r="G378" i="1"/>
  <c r="G379" i="1" s="1"/>
  <c r="F377" i="1"/>
  <c r="G374" i="1"/>
  <c r="G375" i="1" s="1"/>
  <c r="G376" i="1" s="1"/>
  <c r="F369" i="1"/>
  <c r="F370" i="1" s="1"/>
  <c r="F371" i="1" s="1"/>
  <c r="F372" i="1" s="1"/>
  <c r="F373" i="1" s="1"/>
  <c r="F374" i="1" s="1"/>
  <c r="F375" i="1" s="1"/>
  <c r="G368" i="1"/>
  <c r="G369" i="1" s="1"/>
  <c r="G370" i="1" s="1"/>
  <c r="G371" i="1" s="1"/>
  <c r="G372" i="1" s="1"/>
  <c r="G373" i="1" s="1"/>
  <c r="G367" i="1"/>
  <c r="F366" i="1"/>
  <c r="F367" i="1" s="1"/>
  <c r="F368" i="1" s="1"/>
  <c r="T365" i="1"/>
  <c r="O365" i="1"/>
  <c r="F365" i="1"/>
  <c r="L364" i="1"/>
  <c r="L365" i="1" s="1"/>
  <c r="L366" i="1" s="1"/>
  <c r="L367" i="1" s="1"/>
  <c r="L368" i="1" s="1"/>
  <c r="L369" i="1" s="1"/>
  <c r="L370" i="1" s="1"/>
  <c r="L371" i="1" s="1"/>
  <c r="L372" i="1" s="1"/>
  <c r="L373" i="1" s="1"/>
  <c r="L374" i="1" s="1"/>
  <c r="L375" i="1" s="1"/>
  <c r="L376" i="1" s="1"/>
  <c r="L377" i="1" s="1"/>
  <c r="L378" i="1" s="1"/>
  <c r="L379" i="1" s="1"/>
  <c r="L380" i="1" s="1"/>
  <c r="L381" i="1" s="1"/>
  <c r="L382" i="1" s="1"/>
  <c r="L383" i="1" s="1"/>
  <c r="F364" i="1"/>
  <c r="G361" i="1"/>
  <c r="G364" i="1" s="1"/>
  <c r="G365" i="1" s="1"/>
  <c r="G366" i="1" s="1"/>
  <c r="H357" i="1"/>
  <c r="H358" i="1" s="1"/>
  <c r="H359" i="1" s="1"/>
  <c r="H360" i="1" s="1"/>
  <c r="H361" i="1" s="1"/>
  <c r="H364" i="1" s="1"/>
  <c r="H365" i="1" s="1"/>
  <c r="H366" i="1" s="1"/>
  <c r="H367" i="1" s="1"/>
  <c r="H368" i="1" s="1"/>
  <c r="H369" i="1" s="1"/>
  <c r="H370" i="1" s="1"/>
  <c r="H371" i="1" s="1"/>
  <c r="H372" i="1" s="1"/>
  <c r="H373" i="1" s="1"/>
  <c r="H374" i="1" s="1"/>
  <c r="H375" i="1" s="1"/>
  <c r="H376" i="1" s="1"/>
  <c r="H377" i="1" s="1"/>
  <c r="H378" i="1" s="1"/>
  <c r="H379" i="1" s="1"/>
  <c r="U355" i="1"/>
  <c r="H354" i="1"/>
  <c r="L353" i="1"/>
  <c r="L354" i="1" s="1"/>
  <c r="L355" i="1" s="1"/>
  <c r="L356" i="1" s="1"/>
  <c r="L357" i="1" s="1"/>
  <c r="L358" i="1" s="1"/>
  <c r="L359" i="1" s="1"/>
  <c r="L360" i="1" s="1"/>
  <c r="L361" i="1" s="1"/>
  <c r="L351" i="1"/>
  <c r="L352" i="1" s="1"/>
  <c r="H351" i="1"/>
  <c r="L348" i="1"/>
  <c r="L349" i="1" s="1"/>
  <c r="L350" i="1" s="1"/>
  <c r="G348" i="1"/>
  <c r="G349" i="1" s="1"/>
  <c r="G350" i="1" s="1"/>
  <c r="G351" i="1" s="1"/>
  <c r="G352" i="1" s="1"/>
  <c r="G353" i="1" s="1"/>
  <c r="G354" i="1" s="1"/>
  <c r="G355" i="1" s="1"/>
  <c r="G356" i="1" s="1"/>
  <c r="G357" i="1" s="1"/>
  <c r="G358" i="1" s="1"/>
  <c r="G359" i="1" s="1"/>
  <c r="U346" i="1"/>
  <c r="G345" i="1"/>
  <c r="G346" i="1" s="1"/>
  <c r="G347" i="1" s="1"/>
  <c r="G344" i="1"/>
  <c r="K343" i="1"/>
  <c r="K344" i="1" s="1"/>
  <c r="K345" i="1" s="1"/>
  <c r="K346" i="1" s="1"/>
  <c r="K347" i="1" s="1"/>
  <c r="K348" i="1" s="1"/>
  <c r="K349" i="1" s="1"/>
  <c r="K350" i="1" s="1"/>
  <c r="K351" i="1" s="1"/>
  <c r="K352" i="1" s="1"/>
  <c r="K353" i="1" s="1"/>
  <c r="K354" i="1" s="1"/>
  <c r="K355" i="1" s="1"/>
  <c r="K356" i="1" s="1"/>
  <c r="K357" i="1" s="1"/>
  <c r="K358" i="1" s="1"/>
  <c r="K359" i="1" s="1"/>
  <c r="K360" i="1" s="1"/>
  <c r="K361"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413" i="1" s="1"/>
  <c r="F343" i="1"/>
  <c r="F344" i="1" s="1"/>
  <c r="F345" i="1" s="1"/>
  <c r="F346" i="1" s="1"/>
  <c r="F347" i="1" s="1"/>
  <c r="F348" i="1" s="1"/>
  <c r="F349" i="1" s="1"/>
  <c r="F350" i="1" s="1"/>
  <c r="F351" i="1" s="1"/>
  <c r="F352" i="1" s="1"/>
  <c r="F353" i="1" s="1"/>
  <c r="F354" i="1" s="1"/>
  <c r="F355" i="1" s="1"/>
  <c r="F356" i="1" s="1"/>
  <c r="F357" i="1" s="1"/>
  <c r="F358" i="1" s="1"/>
  <c r="F359" i="1" s="1"/>
  <c r="F360" i="1" s="1"/>
  <c r="T342" i="1"/>
  <c r="T343" i="1" s="1"/>
  <c r="T344" i="1" s="1"/>
  <c r="T345" i="1" s="1"/>
  <c r="T346" i="1" s="1"/>
  <c r="T347" i="1" s="1"/>
  <c r="T348" i="1" s="1"/>
  <c r="T349" i="1" s="1"/>
  <c r="T350" i="1" s="1"/>
  <c r="T351" i="1" s="1"/>
  <c r="T352" i="1" s="1"/>
  <c r="T353" i="1" s="1"/>
  <c r="T354" i="1" s="1"/>
  <c r="T355" i="1" s="1"/>
  <c r="T356" i="1" s="1"/>
  <c r="T357" i="1" s="1"/>
  <c r="T358" i="1" s="1"/>
  <c r="T359" i="1" s="1"/>
  <c r="T360" i="1" s="1"/>
  <c r="T361" i="1" s="1"/>
  <c r="T364" i="1" s="1"/>
  <c r="T341" i="1"/>
  <c r="R340" i="1"/>
  <c r="Q340" i="1"/>
  <c r="O340" i="1"/>
  <c r="U340" i="1" s="1"/>
  <c r="T339" i="1"/>
  <c r="T337" i="1"/>
  <c r="K337" i="1"/>
  <c r="K339" i="1" s="1"/>
  <c r="K340" i="1" s="1"/>
  <c r="K341" i="1" s="1"/>
  <c r="K342" i="1" s="1"/>
  <c r="U335" i="1"/>
  <c r="G334" i="1"/>
  <c r="G335" i="1" s="1"/>
  <c r="G337" i="1" s="1"/>
  <c r="G339" i="1" s="1"/>
  <c r="G340" i="1" s="1"/>
  <c r="G341" i="1" s="1"/>
  <c r="G342" i="1" s="1"/>
  <c r="V332" i="1"/>
  <c r="U332" i="1"/>
  <c r="S332" i="1"/>
  <c r="L332" i="1"/>
  <c r="L333" i="1" s="1"/>
  <c r="L334" i="1" s="1"/>
  <c r="L335" i="1" s="1"/>
  <c r="L337" i="1" s="1"/>
  <c r="L339" i="1" s="1"/>
  <c r="L340" i="1" s="1"/>
  <c r="L341" i="1" s="1"/>
  <c r="L342" i="1" s="1"/>
  <c r="L343" i="1" s="1"/>
  <c r="L344" i="1" s="1"/>
  <c r="L345" i="1" s="1"/>
  <c r="L346" i="1" s="1"/>
  <c r="U331" i="1"/>
  <c r="S331" i="1"/>
  <c r="V331" i="1" s="1"/>
  <c r="T330" i="1"/>
  <c r="T331" i="1" s="1"/>
  <c r="T332" i="1" s="1"/>
  <c r="T333" i="1" s="1"/>
  <c r="T334" i="1" s="1"/>
  <c r="T335" i="1" s="1"/>
  <c r="T327" i="1"/>
  <c r="T329" i="1" s="1"/>
  <c r="U326" i="1"/>
  <c r="R326" i="1"/>
  <c r="Q326" i="1"/>
  <c r="O326" i="1"/>
  <c r="K326" i="1"/>
  <c r="K327" i="1" s="1"/>
  <c r="K329" i="1" s="1"/>
  <c r="K330" i="1" s="1"/>
  <c r="K331" i="1" s="1"/>
  <c r="K332" i="1" s="1"/>
  <c r="K333" i="1" s="1"/>
  <c r="K334" i="1" s="1"/>
  <c r="P325" i="1"/>
  <c r="O325" i="1"/>
  <c r="N325" i="1"/>
  <c r="K325" i="1"/>
  <c r="H325" i="1"/>
  <c r="H326" i="1" s="1"/>
  <c r="H327" i="1" s="1"/>
  <c r="H329" i="1" s="1"/>
  <c r="H330" i="1" s="1"/>
  <c r="H331" i="1" s="1"/>
  <c r="H332" i="1" s="1"/>
  <c r="H333" i="1" s="1"/>
  <c r="H334" i="1" s="1"/>
  <c r="H335" i="1" s="1"/>
  <c r="H337" i="1" s="1"/>
  <c r="H339" i="1" s="1"/>
  <c r="H340" i="1" s="1"/>
  <c r="H341" i="1" s="1"/>
  <c r="H342" i="1" s="1"/>
  <c r="H343" i="1" s="1"/>
  <c r="H344" i="1" s="1"/>
  <c r="H345" i="1" s="1"/>
  <c r="H346" i="1" s="1"/>
  <c r="H347" i="1" s="1"/>
  <c r="H348" i="1" s="1"/>
  <c r="F325" i="1"/>
  <c r="F326" i="1" s="1"/>
  <c r="F327" i="1" s="1"/>
  <c r="F329" i="1" s="1"/>
  <c r="F330" i="1" s="1"/>
  <c r="F331" i="1" s="1"/>
  <c r="F332" i="1" s="1"/>
  <c r="F333" i="1" s="1"/>
  <c r="F334" i="1" s="1"/>
  <c r="F335" i="1" s="1"/>
  <c r="F337" i="1" s="1"/>
  <c r="F339" i="1" s="1"/>
  <c r="F340" i="1" s="1"/>
  <c r="F341" i="1" s="1"/>
  <c r="P324" i="1"/>
  <c r="O324" i="1"/>
  <c r="N324" i="1"/>
  <c r="K324" i="1"/>
  <c r="H324" i="1"/>
  <c r="G324" i="1"/>
  <c r="G325" i="1" s="1"/>
  <c r="G326" i="1" s="1"/>
  <c r="G327" i="1" s="1"/>
  <c r="G329" i="1" s="1"/>
  <c r="G330" i="1" s="1"/>
  <c r="G331" i="1" s="1"/>
  <c r="G332" i="1" s="1"/>
  <c r="G333" i="1" s="1"/>
  <c r="H323" i="1"/>
  <c r="G323" i="1"/>
  <c r="H322" i="1"/>
  <c r="F322" i="1"/>
  <c r="F323" i="1" s="1"/>
  <c r="F324" i="1" s="1"/>
  <c r="T321" i="1"/>
  <c r="O321" i="1"/>
  <c r="L321" i="1"/>
  <c r="L322" i="1" s="1"/>
  <c r="L323" i="1" s="1"/>
  <c r="L324" i="1" s="1"/>
  <c r="L325" i="1" s="1"/>
  <c r="L326" i="1" s="1"/>
  <c r="L327" i="1" s="1"/>
  <c r="L329" i="1" s="1"/>
  <c r="K321" i="1"/>
  <c r="K322" i="1" s="1"/>
  <c r="H321" i="1"/>
  <c r="G321" i="1"/>
  <c r="G322" i="1" s="1"/>
  <c r="F321" i="1"/>
  <c r="T320" i="1"/>
  <c r="F320" i="1"/>
  <c r="L319" i="1"/>
  <c r="G319" i="1"/>
  <c r="G320" i="1" s="1"/>
  <c r="F319" i="1"/>
  <c r="G318" i="1"/>
  <c r="T317" i="1"/>
  <c r="T318" i="1" s="1"/>
  <c r="T319" i="1" s="1"/>
  <c r="T324" i="1" s="1"/>
  <c r="T325" i="1" s="1"/>
  <c r="Q325" i="1" s="1"/>
  <c r="R325" i="1" s="1"/>
  <c r="F317" i="1"/>
  <c r="T316" i="1"/>
  <c r="T315" i="1"/>
  <c r="H315" i="1"/>
  <c r="H316" i="1" s="1"/>
  <c r="H317" i="1" s="1"/>
  <c r="H318" i="1" s="1"/>
  <c r="H319" i="1" s="1"/>
  <c r="H320" i="1" s="1"/>
  <c r="T314" i="1"/>
  <c r="Q314" i="1" s="1"/>
  <c r="R314" i="1" s="1"/>
  <c r="U314" i="1" s="1"/>
  <c r="O314" i="1"/>
  <c r="G313" i="1"/>
  <c r="G314" i="1" s="1"/>
  <c r="G315" i="1" s="1"/>
  <c r="G316" i="1" s="1"/>
  <c r="F313" i="1"/>
  <c r="F314" i="1" s="1"/>
  <c r="F315" i="1" s="1"/>
  <c r="G312" i="1"/>
  <c r="F311" i="1"/>
  <c r="T308" i="1"/>
  <c r="T309" i="1" s="1"/>
  <c r="T310" i="1" s="1"/>
  <c r="T311" i="1" s="1"/>
  <c r="T312" i="1" s="1"/>
  <c r="T313" i="1" s="1"/>
  <c r="Q308" i="1"/>
  <c r="R308" i="1" s="1"/>
  <c r="U308" i="1" s="1"/>
  <c r="O308" i="1"/>
  <c r="F307" i="1"/>
  <c r="F308" i="1" s="1"/>
  <c r="F309" i="1" s="1"/>
  <c r="G306" i="1"/>
  <c r="G307" i="1" s="1"/>
  <c r="G308" i="1" s="1"/>
  <c r="G309" i="1" s="1"/>
  <c r="G310" i="1" s="1"/>
  <c r="F305" i="1"/>
  <c r="G304" i="1"/>
  <c r="U303" i="1"/>
  <c r="T303" i="1"/>
  <c r="T304" i="1" s="1"/>
  <c r="T305" i="1" s="1"/>
  <c r="T306" i="1" s="1"/>
  <c r="T307" i="1" s="1"/>
  <c r="T302" i="1"/>
  <c r="Q302" i="1"/>
  <c r="R302" i="1" s="1"/>
  <c r="O302" i="1"/>
  <c r="N302" i="1"/>
  <c r="G302" i="1"/>
  <c r="G303" i="1" s="1"/>
  <c r="F302" i="1"/>
  <c r="F303" i="1" s="1"/>
  <c r="G301" i="1"/>
  <c r="F301" i="1"/>
  <c r="G300" i="1"/>
  <c r="F298" i="1"/>
  <c r="F299" i="1" s="1"/>
  <c r="T297" i="1"/>
  <c r="T298" i="1" s="1"/>
  <c r="T299" i="1" s="1"/>
  <c r="T300" i="1" s="1"/>
  <c r="T301" i="1" s="1"/>
  <c r="L297" i="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G297" i="1"/>
  <c r="G298" i="1" s="1"/>
  <c r="F296" i="1"/>
  <c r="F297" i="1" s="1"/>
  <c r="T295" i="1"/>
  <c r="T296" i="1" s="1"/>
  <c r="L295" i="1"/>
  <c r="L296" i="1" s="1"/>
  <c r="H295" i="1"/>
  <c r="H296" i="1" s="1"/>
  <c r="H297" i="1" s="1"/>
  <c r="H298" i="1" s="1"/>
  <c r="H299" i="1" s="1"/>
  <c r="H300" i="1" s="1"/>
  <c r="H301" i="1" s="1"/>
  <c r="H302" i="1" s="1"/>
  <c r="H303" i="1" s="1"/>
  <c r="H304" i="1" s="1"/>
  <c r="H305" i="1" s="1"/>
  <c r="H306" i="1" s="1"/>
  <c r="H307" i="1" s="1"/>
  <c r="H308" i="1" s="1"/>
  <c r="H309" i="1" s="1"/>
  <c r="H310" i="1" s="1"/>
  <c r="H311" i="1" s="1"/>
  <c r="H312" i="1" s="1"/>
  <c r="H313" i="1" s="1"/>
  <c r="H314" i="1" s="1"/>
  <c r="U294" i="1"/>
  <c r="T293" i="1"/>
  <c r="T294" i="1" s="1"/>
  <c r="Q293" i="1"/>
  <c r="R293" i="1" s="1"/>
  <c r="O293" i="1"/>
  <c r="U293" i="1" s="1"/>
  <c r="K293" i="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H293" i="1"/>
  <c r="H294" i="1" s="1"/>
  <c r="T291" i="1"/>
  <c r="L291" i="1"/>
  <c r="L293" i="1" s="1"/>
  <c r="L294" i="1" s="1"/>
  <c r="K291" i="1"/>
  <c r="G291" i="1"/>
  <c r="G293" i="1" s="1"/>
  <c r="G294" i="1" s="1"/>
  <c r="G295" i="1" s="1"/>
  <c r="F291" i="1"/>
  <c r="F293" i="1" s="1"/>
  <c r="F294" i="1" s="1"/>
  <c r="T290" i="1"/>
  <c r="H289" i="1"/>
  <c r="H290" i="1" s="1"/>
  <c r="T288" i="1"/>
  <c r="T289" i="1" s="1"/>
  <c r="H288" i="1"/>
  <c r="G288" i="1"/>
  <c r="G289" i="1" s="1"/>
  <c r="G290" i="1" s="1"/>
  <c r="T287" i="1"/>
  <c r="G287" i="1"/>
  <c r="L286" i="1"/>
  <c r="L287" i="1" s="1"/>
  <c r="L288" i="1" s="1"/>
  <c r="L289" i="1" s="1"/>
  <c r="L290" i="1" s="1"/>
  <c r="F286" i="1"/>
  <c r="F287" i="1" s="1"/>
  <c r="F288" i="1" s="1"/>
  <c r="F289" i="1" s="1"/>
  <c r="F290" i="1" s="1"/>
  <c r="G285" i="1"/>
  <c r="G286" i="1" s="1"/>
  <c r="F284" i="1"/>
  <c r="G278" i="1"/>
  <c r="G279" i="1" s="1"/>
  <c r="G280" i="1" s="1"/>
  <c r="G281" i="1" s="1"/>
  <c r="G282" i="1" s="1"/>
  <c r="G283" i="1" s="1"/>
  <c r="U276" i="1"/>
  <c r="T274" i="1"/>
  <c r="T275" i="1" s="1"/>
  <c r="T276" i="1" s="1"/>
  <c r="T277" i="1" s="1"/>
  <c r="T278" i="1" s="1"/>
  <c r="T279" i="1" s="1"/>
  <c r="T280" i="1" s="1"/>
  <c r="T281" i="1" s="1"/>
  <c r="T282" i="1" s="1"/>
  <c r="T283" i="1" s="1"/>
  <c r="T284" i="1" s="1"/>
  <c r="T285" i="1" s="1"/>
  <c r="T286" i="1" s="1"/>
  <c r="F273" i="1"/>
  <c r="F274" i="1" s="1"/>
  <c r="F275" i="1" s="1"/>
  <c r="F276" i="1" s="1"/>
  <c r="F277" i="1" s="1"/>
  <c r="F278" i="1" s="1"/>
  <c r="F279" i="1" s="1"/>
  <c r="F280" i="1" s="1"/>
  <c r="F281" i="1" s="1"/>
  <c r="F282" i="1" s="1"/>
  <c r="T272" i="1"/>
  <c r="T273" i="1" s="1"/>
  <c r="Q272" i="1"/>
  <c r="R272" i="1" s="1"/>
  <c r="O272" i="1"/>
  <c r="U272" i="1" s="1"/>
  <c r="G271" i="1"/>
  <c r="G272" i="1" s="1"/>
  <c r="G273" i="1" s="1"/>
  <c r="G274" i="1" s="1"/>
  <c r="G275" i="1" s="1"/>
  <c r="G276" i="1" s="1"/>
  <c r="G277" i="1" s="1"/>
  <c r="F271" i="1"/>
  <c r="F272" i="1" s="1"/>
  <c r="U270" i="1"/>
  <c r="T270" i="1"/>
  <c r="T271" i="1" s="1"/>
  <c r="G270" i="1"/>
  <c r="L268" i="1"/>
  <c r="L269" i="1" s="1"/>
  <c r="L270" i="1" s="1"/>
  <c r="L271" i="1" s="1"/>
  <c r="L272" i="1" s="1"/>
  <c r="L273" i="1" s="1"/>
  <c r="L274" i="1" s="1"/>
  <c r="L275" i="1" s="1"/>
  <c r="L276" i="1" s="1"/>
  <c r="L277" i="1" s="1"/>
  <c r="L278" i="1" s="1"/>
  <c r="L279" i="1" s="1"/>
  <c r="L280" i="1" s="1"/>
  <c r="L281" i="1" s="1"/>
  <c r="L282" i="1" s="1"/>
  <c r="L283" i="1" s="1"/>
  <c r="L284" i="1" s="1"/>
  <c r="L285" i="1" s="1"/>
  <c r="G266" i="1"/>
  <c r="G267" i="1" s="1"/>
  <c r="G268" i="1" s="1"/>
  <c r="U265" i="1"/>
  <c r="L265" i="1"/>
  <c r="L266" i="1" s="1"/>
  <c r="L267" i="1" s="1"/>
  <c r="G263" i="1"/>
  <c r="G264" i="1" s="1"/>
  <c r="G265" i="1" s="1"/>
  <c r="T262" i="1"/>
  <c r="T263" i="1" s="1"/>
  <c r="T264" i="1" s="1"/>
  <c r="T265" i="1" s="1"/>
  <c r="T266" i="1" s="1"/>
  <c r="T267" i="1" s="1"/>
  <c r="T268" i="1" s="1"/>
  <c r="T269" i="1" s="1"/>
  <c r="G261" i="1"/>
  <c r="G262" i="1" s="1"/>
  <c r="F261" i="1"/>
  <c r="F262" i="1" s="1"/>
  <c r="F263" i="1" s="1"/>
  <c r="F264" i="1" s="1"/>
  <c r="F265" i="1" s="1"/>
  <c r="F266" i="1" s="1"/>
  <c r="F267" i="1" s="1"/>
  <c r="F268" i="1" s="1"/>
  <c r="F269" i="1" s="1"/>
  <c r="T260" i="1"/>
  <c r="T261" i="1" s="1"/>
  <c r="F260" i="1"/>
  <c r="T259" i="1"/>
  <c r="Q258" i="1"/>
  <c r="R258" i="1" s="1"/>
  <c r="O258" i="1"/>
  <c r="T257" i="1"/>
  <c r="L257" i="1"/>
  <c r="L258" i="1" s="1"/>
  <c r="L259" i="1" s="1"/>
  <c r="L260" i="1" s="1"/>
  <c r="L261" i="1" s="1"/>
  <c r="L262" i="1" s="1"/>
  <c r="L263" i="1" s="1"/>
  <c r="K257" i="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G257" i="1"/>
  <c r="G258" i="1" s="1"/>
  <c r="G259" i="1" s="1"/>
  <c r="F257" i="1"/>
  <c r="F258" i="1" s="1"/>
  <c r="T255" i="1"/>
  <c r="K255" i="1"/>
  <c r="G255" i="1"/>
  <c r="F255" i="1"/>
  <c r="U253" i="1"/>
  <c r="T253" i="1"/>
  <c r="L253" i="1"/>
  <c r="L255" i="1" s="1"/>
  <c r="H253" i="1"/>
  <c r="H255"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G253" i="1"/>
  <c r="F253" i="1"/>
  <c r="T250" i="1"/>
  <c r="O250" i="1"/>
  <c r="N250" i="1"/>
  <c r="G250" i="1"/>
  <c r="G251" i="1" s="1"/>
  <c r="F250" i="1"/>
  <c r="F251" i="1" s="1"/>
  <c r="T249" i="1"/>
  <c r="T248" i="1"/>
  <c r="U247" i="1"/>
  <c r="Q247" i="1"/>
  <c r="R247" i="1" s="1"/>
  <c r="O247" i="1"/>
  <c r="L246" i="1"/>
  <c r="L247" i="1" s="1"/>
  <c r="L248" i="1" s="1"/>
  <c r="L249" i="1" s="1"/>
  <c r="L250" i="1" s="1"/>
  <c r="L251" i="1" s="1"/>
  <c r="L245" i="1"/>
  <c r="K242" i="1"/>
  <c r="K243" i="1" s="1"/>
  <c r="K244" i="1" s="1"/>
  <c r="K245" i="1" s="1"/>
  <c r="K246" i="1" s="1"/>
  <c r="K247" i="1" s="1"/>
  <c r="K248" i="1" s="1"/>
  <c r="K249" i="1" s="1"/>
  <c r="K250" i="1" s="1"/>
  <c r="K251" i="1" s="1"/>
  <c r="P240" i="1"/>
  <c r="O240" i="1"/>
  <c r="N240" i="1"/>
  <c r="L240" i="1"/>
  <c r="L242" i="1" s="1"/>
  <c r="K240" i="1"/>
  <c r="F239" i="1"/>
  <c r="F240" i="1" s="1"/>
  <c r="F242" i="1" s="1"/>
  <c r="F243" i="1" s="1"/>
  <c r="F244" i="1" s="1"/>
  <c r="F245" i="1" s="1"/>
  <c r="F246" i="1" s="1"/>
  <c r="F247" i="1" s="1"/>
  <c r="F248" i="1" s="1"/>
  <c r="F249" i="1" s="1"/>
  <c r="T238" i="1"/>
  <c r="T239" i="1" s="1"/>
  <c r="L238" i="1"/>
  <c r="L239" i="1" s="1"/>
  <c r="T237" i="1"/>
  <c r="Q237" i="1"/>
  <c r="R237" i="1" s="1"/>
  <c r="O237" i="1"/>
  <c r="L237" i="1"/>
  <c r="K237" i="1"/>
  <c r="K238" i="1" s="1"/>
  <c r="H237" i="1"/>
  <c r="H238" i="1" s="1"/>
  <c r="H239" i="1" s="1"/>
  <c r="H240" i="1" s="1"/>
  <c r="H242" i="1" s="1"/>
  <c r="H243" i="1" s="1"/>
  <c r="H244" i="1" s="1"/>
  <c r="H245" i="1" s="1"/>
  <c r="H246" i="1" s="1"/>
  <c r="H247" i="1" s="1"/>
  <c r="H248" i="1" s="1"/>
  <c r="H249" i="1" s="1"/>
  <c r="H250" i="1" s="1"/>
  <c r="H251" i="1" s="1"/>
  <c r="G237" i="1"/>
  <c r="G238" i="1" s="1"/>
  <c r="G239" i="1" s="1"/>
  <c r="G240" i="1" s="1"/>
  <c r="G242" i="1" s="1"/>
  <c r="G243" i="1" s="1"/>
  <c r="G244" i="1" s="1"/>
  <c r="G245" i="1" s="1"/>
  <c r="G246" i="1" s="1"/>
  <c r="G247" i="1" s="1"/>
  <c r="G248" i="1" s="1"/>
  <c r="G249" i="1" s="1"/>
  <c r="F237" i="1"/>
  <c r="F238" i="1" s="1"/>
  <c r="T236" i="1"/>
  <c r="G236" i="1"/>
  <c r="F236" i="1"/>
  <c r="F235" i="1"/>
  <c r="G234" i="1"/>
  <c r="G235" i="1" s="1"/>
  <c r="F233" i="1"/>
  <c r="T232" i="1"/>
  <c r="T233" i="1" s="1"/>
  <c r="T234" i="1" s="1"/>
  <c r="T235" i="1" s="1"/>
  <c r="T240" i="1" s="1"/>
  <c r="G232" i="1"/>
  <c r="T230" i="1"/>
  <c r="T231" i="1" s="1"/>
  <c r="Q230" i="1"/>
  <c r="R230" i="1" s="1"/>
  <c r="U230" i="1" s="1"/>
  <c r="O230" i="1"/>
  <c r="F230" i="1"/>
  <c r="F231" i="1" s="1"/>
  <c r="F229" i="1"/>
  <c r="G228" i="1"/>
  <c r="G229" i="1" s="1"/>
  <c r="G230" i="1" s="1"/>
  <c r="G231" i="1" s="1"/>
  <c r="T227" i="1"/>
  <c r="T228" i="1" s="1"/>
  <c r="T229" i="1" s="1"/>
  <c r="F227" i="1"/>
  <c r="G226" i="1"/>
  <c r="T225" i="1"/>
  <c r="T226" i="1" s="1"/>
  <c r="T224" i="1"/>
  <c r="R224" i="1"/>
  <c r="Q224" i="1"/>
  <c r="O224" i="1"/>
  <c r="U223" i="1"/>
  <c r="G223" i="1"/>
  <c r="G224" i="1" s="1"/>
  <c r="G225" i="1" s="1"/>
  <c r="F223" i="1"/>
  <c r="F224" i="1" s="1"/>
  <c r="F225" i="1" s="1"/>
  <c r="G222" i="1"/>
  <c r="T221" i="1"/>
  <c r="T222" i="1" s="1"/>
  <c r="T223" i="1" s="1"/>
  <c r="F221" i="1"/>
  <c r="T219" i="1"/>
  <c r="T220" i="1" s="1"/>
  <c r="G219" i="1"/>
  <c r="G220" i="1" s="1"/>
  <c r="T218" i="1"/>
  <c r="O218" i="1"/>
  <c r="N218" i="1"/>
  <c r="Q218" i="1" s="1"/>
  <c r="R218" i="1" s="1"/>
  <c r="U217" i="1"/>
  <c r="G217" i="1"/>
  <c r="G218" i="1" s="1"/>
  <c r="F217" i="1"/>
  <c r="F218" i="1" s="1"/>
  <c r="F219" i="1" s="1"/>
  <c r="V216" i="1"/>
  <c r="U216" i="1"/>
  <c r="S216" i="1"/>
  <c r="G216" i="1"/>
  <c r="V215" i="1"/>
  <c r="U215" i="1"/>
  <c r="S215" i="1"/>
  <c r="G214" i="1"/>
  <c r="G213" i="1"/>
  <c r="F213" i="1"/>
  <c r="F214" i="1" s="1"/>
  <c r="F215" i="1" s="1"/>
  <c r="F212" i="1"/>
  <c r="T210" i="1"/>
  <c r="T211" i="1" s="1"/>
  <c r="T212" i="1" s="1"/>
  <c r="T213" i="1" s="1"/>
  <c r="T214" i="1" s="1"/>
  <c r="T215" i="1" s="1"/>
  <c r="T216" i="1" s="1"/>
  <c r="T217" i="1" s="1"/>
  <c r="T209" i="1"/>
  <c r="Q209" i="1"/>
  <c r="R209" i="1" s="1"/>
  <c r="O209" i="1"/>
  <c r="U209" i="1" s="1"/>
  <c r="L209" i="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H209" i="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T207" i="1"/>
  <c r="L207" i="1"/>
  <c r="K207" i="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G207" i="1"/>
  <c r="G209" i="1" s="1"/>
  <c r="G210" i="1" s="1"/>
  <c r="G211" i="1" s="1"/>
  <c r="F207" i="1"/>
  <c r="F209" i="1" s="1"/>
  <c r="F210" i="1" s="1"/>
  <c r="T206" i="1"/>
  <c r="T205" i="1"/>
  <c r="H205" i="1"/>
  <c r="H206" i="1" s="1"/>
  <c r="H204" i="1"/>
  <c r="F204" i="1"/>
  <c r="F205" i="1" s="1"/>
  <c r="F206" i="1" s="1"/>
  <c r="U203" i="1"/>
  <c r="T203" i="1"/>
  <c r="T204" i="1" s="1"/>
  <c r="G202" i="1"/>
  <c r="G203" i="1" s="1"/>
  <c r="G204" i="1" s="1"/>
  <c r="G205" i="1" s="1"/>
  <c r="G206" i="1" s="1"/>
  <c r="F202" i="1"/>
  <c r="F203" i="1" s="1"/>
  <c r="U201" i="1"/>
  <c r="G201" i="1"/>
  <c r="F200" i="1"/>
  <c r="U193" i="1"/>
  <c r="T191" i="1"/>
  <c r="T192" i="1" s="1"/>
  <c r="T193" i="1" s="1"/>
  <c r="T194" i="1" s="1"/>
  <c r="T195" i="1" s="1"/>
  <c r="T196" i="1" s="1"/>
  <c r="T197" i="1" s="1"/>
  <c r="T198" i="1" s="1"/>
  <c r="T199" i="1" s="1"/>
  <c r="T200" i="1" s="1"/>
  <c r="T201" i="1" s="1"/>
  <c r="T202" i="1" s="1"/>
  <c r="G190" i="1"/>
  <c r="G191" i="1" s="1"/>
  <c r="G192" i="1" s="1"/>
  <c r="G193" i="1" s="1"/>
  <c r="G194" i="1" s="1"/>
  <c r="G195" i="1" s="1"/>
  <c r="G196" i="1" s="1"/>
  <c r="G197" i="1" s="1"/>
  <c r="G198" i="1" s="1"/>
  <c r="G199" i="1" s="1"/>
  <c r="F190" i="1"/>
  <c r="F191" i="1" s="1"/>
  <c r="F192" i="1" s="1"/>
  <c r="F193" i="1" s="1"/>
  <c r="F194" i="1" s="1"/>
  <c r="F195" i="1" s="1"/>
  <c r="F196" i="1" s="1"/>
  <c r="F197" i="1" s="1"/>
  <c r="F198" i="1" s="1"/>
  <c r="U189" i="1"/>
  <c r="T188" i="1"/>
  <c r="T189" i="1" s="1"/>
  <c r="T190" i="1" s="1"/>
  <c r="O188" i="1"/>
  <c r="G188" i="1"/>
  <c r="G189" i="1" s="1"/>
  <c r="F188" i="1"/>
  <c r="F189" i="1" s="1"/>
  <c r="F187" i="1"/>
  <c r="G186" i="1"/>
  <c r="G187" i="1" s="1"/>
  <c r="T183" i="1"/>
  <c r="T184" i="1" s="1"/>
  <c r="T185" i="1" s="1"/>
  <c r="T186" i="1" s="1"/>
  <c r="T187" i="1" s="1"/>
  <c r="L183" i="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182" i="1"/>
  <c r="L181" i="1"/>
  <c r="U180" i="1"/>
  <c r="G179" i="1"/>
  <c r="G180" i="1" s="1"/>
  <c r="G181" i="1" s="1"/>
  <c r="G182" i="1" s="1"/>
  <c r="G183" i="1" s="1"/>
  <c r="G184" i="1" s="1"/>
  <c r="T178" i="1"/>
  <c r="T179" i="1" s="1"/>
  <c r="T180" i="1" s="1"/>
  <c r="T181" i="1" s="1"/>
  <c r="T182" i="1" s="1"/>
  <c r="T177" i="1"/>
  <c r="U176" i="1"/>
  <c r="Q176" i="1"/>
  <c r="R176" i="1" s="1"/>
  <c r="O176" i="1"/>
  <c r="F175" i="1"/>
  <c r="F176" i="1" s="1"/>
  <c r="F177" i="1" s="1"/>
  <c r="F178" i="1" s="1"/>
  <c r="F179" i="1" s="1"/>
  <c r="F180" i="1" s="1"/>
  <c r="F181" i="1" s="1"/>
  <c r="F182" i="1" s="1"/>
  <c r="F183" i="1" s="1"/>
  <c r="F184" i="1" s="1"/>
  <c r="F185" i="1" s="1"/>
  <c r="T173" i="1"/>
  <c r="T175" i="1" s="1"/>
  <c r="G173" i="1"/>
  <c r="G175" i="1" s="1"/>
  <c r="G176" i="1" s="1"/>
  <c r="G177" i="1" s="1"/>
  <c r="G178" i="1" s="1"/>
  <c r="F173" i="1"/>
  <c r="F172" i="1"/>
  <c r="U170" i="1"/>
  <c r="K170" i="1"/>
  <c r="K171" i="1" s="1"/>
  <c r="K172" i="1" s="1"/>
  <c r="K173"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T169" i="1"/>
  <c r="O169" i="1"/>
  <c r="K169" i="1"/>
  <c r="T164" i="1"/>
  <c r="Q164" i="1" s="1"/>
  <c r="R164" i="1" s="1"/>
  <c r="O164" i="1"/>
  <c r="N164" i="1"/>
  <c r="H164" i="1"/>
  <c r="H165" i="1" s="1"/>
  <c r="H166" i="1" s="1"/>
  <c r="H167" i="1" s="1"/>
  <c r="H169" i="1" s="1"/>
  <c r="H170" i="1" s="1"/>
  <c r="H171" i="1" s="1"/>
  <c r="H172" i="1" s="1"/>
  <c r="H173"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U163" i="1"/>
  <c r="L163" i="1"/>
  <c r="L164" i="1" s="1"/>
  <c r="L165" i="1" s="1"/>
  <c r="L166" i="1" s="1"/>
  <c r="L167" i="1" s="1"/>
  <c r="L169" i="1" s="1"/>
  <c r="L170" i="1" s="1"/>
  <c r="L171" i="1" s="1"/>
  <c r="L172" i="1" s="1"/>
  <c r="L173" i="1" s="1"/>
  <c r="L175" i="1" s="1"/>
  <c r="L176" i="1" s="1"/>
  <c r="L177" i="1" s="1"/>
  <c r="L178" i="1" s="1"/>
  <c r="L179" i="1" s="1"/>
  <c r="T161" i="1"/>
  <c r="T162" i="1" s="1"/>
  <c r="T163" i="1" s="1"/>
  <c r="Q160" i="1"/>
  <c r="R160" i="1" s="1"/>
  <c r="O160" i="1"/>
  <c r="P158" i="1"/>
  <c r="O158" i="1"/>
  <c r="N158" i="1"/>
  <c r="P156" i="1"/>
  <c r="O156" i="1"/>
  <c r="N156" i="1"/>
  <c r="L155" i="1"/>
  <c r="L156" i="1" s="1"/>
  <c r="L157" i="1" s="1"/>
  <c r="L158" i="1" s="1"/>
  <c r="L159" i="1" s="1"/>
  <c r="L160" i="1" s="1"/>
  <c r="L161" i="1" s="1"/>
  <c r="L162" i="1" s="1"/>
  <c r="P150" i="1"/>
  <c r="O150" i="1"/>
  <c r="N150" i="1"/>
  <c r="K150" i="1"/>
  <c r="K152" i="1" s="1"/>
  <c r="K153" i="1" s="1"/>
  <c r="K154" i="1" s="1"/>
  <c r="K155" i="1" s="1"/>
  <c r="K156" i="1" s="1"/>
  <c r="K157" i="1" s="1"/>
  <c r="K158" i="1" s="1"/>
  <c r="K159" i="1" s="1"/>
  <c r="K160" i="1" s="1"/>
  <c r="K161" i="1" s="1"/>
  <c r="K162" i="1" s="1"/>
  <c r="K163" i="1" s="1"/>
  <c r="K164" i="1" s="1"/>
  <c r="K165" i="1" s="1"/>
  <c r="K166" i="1" s="1"/>
  <c r="H149" i="1"/>
  <c r="H150" i="1" s="1"/>
  <c r="H152" i="1" s="1"/>
  <c r="H153" i="1" s="1"/>
  <c r="H154" i="1" s="1"/>
  <c r="H155" i="1" s="1"/>
  <c r="H156" i="1" s="1"/>
  <c r="H157" i="1" s="1"/>
  <c r="H158" i="1" s="1"/>
  <c r="H159" i="1" s="1"/>
  <c r="H160" i="1" s="1"/>
  <c r="H161" i="1" s="1"/>
  <c r="G149" i="1"/>
  <c r="G150" i="1" s="1"/>
  <c r="G152" i="1" s="1"/>
  <c r="G153" i="1" s="1"/>
  <c r="G154" i="1" s="1"/>
  <c r="G155" i="1" s="1"/>
  <c r="G156" i="1" s="1"/>
  <c r="G157" i="1" s="1"/>
  <c r="G158" i="1" s="1"/>
  <c r="G159" i="1" s="1"/>
  <c r="G160" i="1" s="1"/>
  <c r="G161" i="1" s="1"/>
  <c r="G162" i="1" s="1"/>
  <c r="G163" i="1" s="1"/>
  <c r="G164" i="1" s="1"/>
  <c r="G165" i="1" s="1"/>
  <c r="G166" i="1" s="1"/>
  <c r="G167" i="1" s="1"/>
  <c r="G169" i="1" s="1"/>
  <c r="G170" i="1" s="1"/>
  <c r="G171" i="1" s="1"/>
  <c r="F149" i="1"/>
  <c r="F150" i="1" s="1"/>
  <c r="F152" i="1" s="1"/>
  <c r="F153" i="1" s="1"/>
  <c r="F154" i="1" s="1"/>
  <c r="F155" i="1" s="1"/>
  <c r="F156" i="1" s="1"/>
  <c r="F157" i="1" s="1"/>
  <c r="F158" i="1" s="1"/>
  <c r="F159" i="1" s="1"/>
  <c r="F160" i="1" s="1"/>
  <c r="F161" i="1" s="1"/>
  <c r="F162" i="1" s="1"/>
  <c r="F163" i="1" s="1"/>
  <c r="F164" i="1" s="1"/>
  <c r="F165" i="1" s="1"/>
  <c r="F166" i="1" s="1"/>
  <c r="F167" i="1" s="1"/>
  <c r="F169" i="1" s="1"/>
  <c r="F170" i="1" s="1"/>
  <c r="H148" i="1"/>
  <c r="T147" i="1"/>
  <c r="T148" i="1" s="1"/>
  <c r="T149" i="1" s="1"/>
  <c r="O147" i="1"/>
  <c r="L147" i="1"/>
  <c r="L148" i="1" s="1"/>
  <c r="L149" i="1" s="1"/>
  <c r="L150" i="1" s="1"/>
  <c r="L152" i="1" s="1"/>
  <c r="K147" i="1"/>
  <c r="K148" i="1" s="1"/>
  <c r="H147" i="1"/>
  <c r="G147" i="1"/>
  <c r="G148" i="1" s="1"/>
  <c r="F147" i="1"/>
  <c r="F148" i="1" s="1"/>
  <c r="T146" i="1"/>
  <c r="F146" i="1"/>
  <c r="F145" i="1"/>
  <c r="G144" i="1"/>
  <c r="G145" i="1" s="1"/>
  <c r="G146" i="1" s="1"/>
  <c r="F143" i="1"/>
  <c r="F141" i="1"/>
  <c r="T140" i="1"/>
  <c r="O140" i="1"/>
  <c r="F140" i="1"/>
  <c r="G139" i="1"/>
  <c r="G140" i="1" s="1"/>
  <c r="G141" i="1" s="1"/>
  <c r="G142" i="1" s="1"/>
  <c r="F139" i="1"/>
  <c r="G138" i="1"/>
  <c r="T137" i="1"/>
  <c r="T138" i="1" s="1"/>
  <c r="T139" i="1" s="1"/>
  <c r="F137" i="1"/>
  <c r="G136" i="1"/>
  <c r="T135" i="1"/>
  <c r="T136" i="1" s="1"/>
  <c r="T134" i="1"/>
  <c r="Q134" i="1"/>
  <c r="R134" i="1" s="1"/>
  <c r="O134" i="1"/>
  <c r="U134" i="1" s="1"/>
  <c r="G134" i="1"/>
  <c r="G135" i="1" s="1"/>
  <c r="G133" i="1"/>
  <c r="F133" i="1"/>
  <c r="F134" i="1" s="1"/>
  <c r="F135" i="1" s="1"/>
  <c r="G132" i="1"/>
  <c r="F131" i="1"/>
  <c r="U129" i="1"/>
  <c r="T129" i="1"/>
  <c r="T130" i="1" s="1"/>
  <c r="T131" i="1" s="1"/>
  <c r="T132" i="1" s="1"/>
  <c r="T133" i="1" s="1"/>
  <c r="F129" i="1"/>
  <c r="V128" i="1"/>
  <c r="T128" i="1"/>
  <c r="Q128" i="1"/>
  <c r="R128" i="1" s="1"/>
  <c r="O128" i="1"/>
  <c r="U128" i="1" s="1"/>
  <c r="N128" i="1"/>
  <c r="U127" i="1"/>
  <c r="S127" i="1"/>
  <c r="V127" i="1" s="1"/>
  <c r="F127" i="1"/>
  <c r="F128" i="1" s="1"/>
  <c r="G126" i="1"/>
  <c r="G127" i="1" s="1"/>
  <c r="G128" i="1" s="1"/>
  <c r="G129" i="1" s="1"/>
  <c r="G130" i="1" s="1"/>
  <c r="F125" i="1"/>
  <c r="G124" i="1"/>
  <c r="F124" i="1"/>
  <c r="G123" i="1"/>
  <c r="F122" i="1"/>
  <c r="F123" i="1" s="1"/>
  <c r="U121" i="1"/>
  <c r="H120" i="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G120" i="1"/>
  <c r="G121" i="1" s="1"/>
  <c r="F120" i="1"/>
  <c r="O119" i="1"/>
  <c r="L119" i="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K119" i="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H119" i="1"/>
  <c r="G119" i="1"/>
  <c r="T117" i="1"/>
  <c r="T119" i="1" s="1"/>
  <c r="L117" i="1"/>
  <c r="K117" i="1"/>
  <c r="G117" i="1"/>
  <c r="F117" i="1"/>
  <c r="F119" i="1" s="1"/>
  <c r="T116" i="1"/>
  <c r="H115" i="1"/>
  <c r="H116" i="1" s="1"/>
  <c r="U114" i="1"/>
  <c r="T114" i="1"/>
  <c r="T115" i="1" s="1"/>
  <c r="H114" i="1"/>
  <c r="T113" i="1"/>
  <c r="F112" i="1"/>
  <c r="F113" i="1" s="1"/>
  <c r="F114" i="1" s="1"/>
  <c r="F115" i="1" s="1"/>
  <c r="F116" i="1" s="1"/>
  <c r="G111" i="1"/>
  <c r="G112" i="1" s="1"/>
  <c r="G113" i="1" s="1"/>
  <c r="G114" i="1" s="1"/>
  <c r="G115" i="1" s="1"/>
  <c r="G116" i="1" s="1"/>
  <c r="F110" i="1"/>
  <c r="G108" i="1"/>
  <c r="G109" i="1" s="1"/>
  <c r="F108" i="1"/>
  <c r="T107" i="1"/>
  <c r="T108" i="1" s="1"/>
  <c r="T109" i="1" s="1"/>
  <c r="T110" i="1" s="1"/>
  <c r="T111" i="1" s="1"/>
  <c r="T112" i="1" s="1"/>
  <c r="Q107" i="1"/>
  <c r="R107" i="1" s="1"/>
  <c r="O107" i="1"/>
  <c r="U107" i="1" s="1"/>
  <c r="F107" i="1"/>
  <c r="F106" i="1"/>
  <c r="G105" i="1"/>
  <c r="G106" i="1" s="1"/>
  <c r="G107" i="1" s="1"/>
  <c r="H104" i="1"/>
  <c r="H105" i="1" s="1"/>
  <c r="H106" i="1" s="1"/>
  <c r="H107" i="1" s="1"/>
  <c r="H108" i="1" s="1"/>
  <c r="H109" i="1" s="1"/>
  <c r="H110" i="1" s="1"/>
  <c r="H111" i="1" s="1"/>
  <c r="H112" i="1" s="1"/>
  <c r="H103" i="1"/>
  <c r="H102" i="1"/>
  <c r="U101" i="1"/>
  <c r="G99" i="1"/>
  <c r="G100" i="1" s="1"/>
  <c r="G101" i="1" s="1"/>
  <c r="G102" i="1" s="1"/>
  <c r="G103" i="1" s="1"/>
  <c r="G98" i="1"/>
  <c r="F98" i="1"/>
  <c r="F99" i="1" s="1"/>
  <c r="F100" i="1" s="1"/>
  <c r="F101" i="1" s="1"/>
  <c r="F102" i="1" s="1"/>
  <c r="F103" i="1" s="1"/>
  <c r="F104" i="1" s="1"/>
  <c r="G97" i="1"/>
  <c r="F96" i="1"/>
  <c r="F97" i="1" s="1"/>
  <c r="U94" i="1"/>
  <c r="T94" i="1"/>
  <c r="T95" i="1" s="1"/>
  <c r="T96" i="1" s="1"/>
  <c r="T97" i="1" s="1"/>
  <c r="T98" i="1" s="1"/>
  <c r="T99" i="1" s="1"/>
  <c r="T100" i="1" s="1"/>
  <c r="T101" i="1" s="1"/>
  <c r="T102" i="1" s="1"/>
  <c r="T103" i="1" s="1"/>
  <c r="T104" i="1" s="1"/>
  <c r="T105" i="1" s="1"/>
  <c r="T106" i="1" s="1"/>
  <c r="F94" i="1"/>
  <c r="U93" i="1"/>
  <c r="T93" i="1"/>
  <c r="Q93" i="1"/>
  <c r="R93" i="1" s="1"/>
  <c r="O93" i="1"/>
  <c r="F93" i="1"/>
  <c r="U92" i="1"/>
  <c r="G92" i="1"/>
  <c r="G93" i="1" s="1"/>
  <c r="G94" i="1" s="1"/>
  <c r="G95" i="1" s="1"/>
  <c r="F92" i="1"/>
  <c r="G91" i="1"/>
  <c r="F90" i="1"/>
  <c r="U84" i="1"/>
  <c r="F83" i="1"/>
  <c r="F84" i="1" s="1"/>
  <c r="F85" i="1" s="1"/>
  <c r="F86" i="1" s="1"/>
  <c r="F87" i="1" s="1"/>
  <c r="F88" i="1" s="1"/>
  <c r="G81" i="1"/>
  <c r="G82" i="1" s="1"/>
  <c r="G83" i="1" s="1"/>
  <c r="G84" i="1" s="1"/>
  <c r="G85" i="1" s="1"/>
  <c r="G86" i="1" s="1"/>
  <c r="G87" i="1" s="1"/>
  <c r="G88" i="1" s="1"/>
  <c r="G89" i="1" s="1"/>
  <c r="U80" i="1"/>
  <c r="T78" i="1"/>
  <c r="Q78" i="1" s="1"/>
  <c r="R78" i="1" s="1"/>
  <c r="U78" i="1" s="1"/>
  <c r="O78" i="1"/>
  <c r="H78" i="1"/>
  <c r="H79" i="1" s="1"/>
  <c r="H80" i="1" s="1"/>
  <c r="H81" i="1" s="1"/>
  <c r="H82" i="1" s="1"/>
  <c r="H83" i="1" s="1"/>
  <c r="H84" i="1" s="1"/>
  <c r="H85" i="1" s="1"/>
  <c r="H86" i="1" s="1"/>
  <c r="H87" i="1" s="1"/>
  <c r="H88" i="1" s="1"/>
  <c r="H89" i="1" s="1"/>
  <c r="H90" i="1" s="1"/>
  <c r="H91" i="1" s="1"/>
  <c r="H92" i="1" s="1"/>
  <c r="H93" i="1" s="1"/>
  <c r="H94" i="1" s="1"/>
  <c r="H95" i="1" s="1"/>
  <c r="H96" i="1" s="1"/>
  <c r="H97" i="1" s="1"/>
  <c r="H98" i="1" s="1"/>
  <c r="H99" i="1" s="1"/>
  <c r="F76" i="1"/>
  <c r="F77" i="1" s="1"/>
  <c r="F78" i="1" s="1"/>
  <c r="F79" i="1" s="1"/>
  <c r="F80" i="1" s="1"/>
  <c r="F81" i="1" s="1"/>
  <c r="F82" i="1" s="1"/>
  <c r="F75" i="1"/>
  <c r="G74" i="1"/>
  <c r="G75" i="1" s="1"/>
  <c r="G76" i="1" s="1"/>
  <c r="G77" i="1" s="1"/>
  <c r="G78" i="1" s="1"/>
  <c r="G79" i="1" s="1"/>
  <c r="G80" i="1" s="1"/>
  <c r="G72" i="1"/>
  <c r="L70" i="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K70" i="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U69" i="1"/>
  <c r="K69" i="1"/>
  <c r="F69" i="1"/>
  <c r="F70" i="1" s="1"/>
  <c r="F71" i="1" s="1"/>
  <c r="F72" i="1" s="1"/>
  <c r="F73" i="1" s="1"/>
  <c r="F68" i="1"/>
  <c r="G67" i="1"/>
  <c r="G68" i="1" s="1"/>
  <c r="F67" i="1"/>
  <c r="G66" i="1"/>
  <c r="G69" i="1" s="1"/>
  <c r="G70" i="1" s="1"/>
  <c r="G71" i="1" s="1"/>
  <c r="F66" i="1"/>
  <c r="F65" i="1"/>
  <c r="T64" i="1"/>
  <c r="T65" i="1" s="1"/>
  <c r="T66" i="1" s="1"/>
  <c r="T67" i="1" s="1"/>
  <c r="T68" i="1" s="1"/>
  <c r="T69" i="1" s="1"/>
  <c r="T70" i="1" s="1"/>
  <c r="T71" i="1" s="1"/>
  <c r="T72" i="1" s="1"/>
  <c r="T73" i="1" s="1"/>
  <c r="T74" i="1" s="1"/>
  <c r="T75" i="1" s="1"/>
  <c r="T76" i="1" s="1"/>
  <c r="T77" i="1" s="1"/>
  <c r="Q63" i="1"/>
  <c r="R63" i="1" s="1"/>
  <c r="O63" i="1"/>
  <c r="U62" i="1"/>
  <c r="V60" i="1"/>
  <c r="U60" i="1"/>
  <c r="T60" i="1"/>
  <c r="T62" i="1" s="1"/>
  <c r="S60" i="1"/>
  <c r="K60" i="1"/>
  <c r="K62" i="1" s="1"/>
  <c r="K63" i="1" s="1"/>
  <c r="K64" i="1" s="1"/>
  <c r="K65" i="1" s="1"/>
  <c r="K66" i="1" s="1"/>
  <c r="K67" i="1" s="1"/>
  <c r="K68" i="1" s="1"/>
  <c r="U58" i="1"/>
  <c r="S58" i="1"/>
  <c r="V58" i="1" s="1"/>
  <c r="L58" i="1"/>
  <c r="L60" i="1" s="1"/>
  <c r="L62" i="1" s="1"/>
  <c r="L63" i="1" s="1"/>
  <c r="L64" i="1" s="1"/>
  <c r="L65" i="1" s="1"/>
  <c r="L66" i="1" s="1"/>
  <c r="L67" i="1" s="1"/>
  <c r="L68" i="1" s="1"/>
  <c r="F58" i="1"/>
  <c r="F60" i="1" s="1"/>
  <c r="F62" i="1" s="1"/>
  <c r="F63" i="1" s="1"/>
  <c r="T57" i="1"/>
  <c r="T58" i="1" s="1"/>
  <c r="L57" i="1"/>
  <c r="F57" i="1"/>
  <c r="T56" i="1"/>
  <c r="L56" i="1"/>
  <c r="K56" i="1"/>
  <c r="K57" i="1" s="1"/>
  <c r="H56" i="1"/>
  <c r="H57" i="1" s="1"/>
  <c r="H58" i="1" s="1"/>
  <c r="H60" i="1" s="1"/>
  <c r="H62" i="1" s="1"/>
  <c r="H63" i="1" s="1"/>
  <c r="H64" i="1" s="1"/>
  <c r="H65" i="1" s="1"/>
  <c r="H66" i="1" s="1"/>
  <c r="G56" i="1"/>
  <c r="G57" i="1" s="1"/>
  <c r="G58" i="1" s="1"/>
  <c r="G60" i="1" s="1"/>
  <c r="G62" i="1" s="1"/>
  <c r="G63" i="1" s="1"/>
  <c r="G64" i="1" s="1"/>
  <c r="F56" i="1"/>
  <c r="K55" i="1"/>
  <c r="H55" i="1"/>
  <c r="G55" i="1"/>
  <c r="F55" i="1"/>
  <c r="G54" i="1"/>
  <c r="F54" i="1"/>
  <c r="G53" i="1"/>
  <c r="U52" i="1"/>
  <c r="F52" i="1"/>
  <c r="T50" i="1"/>
  <c r="T51" i="1" s="1"/>
  <c r="T52" i="1" s="1"/>
  <c r="T53" i="1" s="1"/>
  <c r="T54" i="1" s="1"/>
  <c r="L50" i="1"/>
  <c r="L51" i="1" s="1"/>
  <c r="L52" i="1" s="1"/>
  <c r="L53" i="1" s="1"/>
  <c r="L54" i="1" s="1"/>
  <c r="T49" i="1"/>
  <c r="Q49" i="1" s="1"/>
  <c r="R49" i="1" s="1"/>
  <c r="O49" i="1"/>
  <c r="U49" i="1" s="1"/>
  <c r="L49" i="1"/>
  <c r="L48" i="1"/>
  <c r="T46" i="1"/>
  <c r="T48" i="1" s="1"/>
  <c r="L46" i="1"/>
  <c r="T45" i="1"/>
  <c r="G45" i="1"/>
  <c r="G46" i="1" s="1"/>
  <c r="G48" i="1" s="1"/>
  <c r="G49" i="1" s="1"/>
  <c r="G50" i="1" s="1"/>
  <c r="G51" i="1" s="1"/>
  <c r="T43" i="1"/>
  <c r="Q42" i="1"/>
  <c r="R42" i="1" s="1"/>
  <c r="O42" i="1"/>
  <c r="G42" i="1"/>
  <c r="G43" i="1" s="1"/>
  <c r="P41" i="1"/>
  <c r="O41" i="1"/>
  <c r="N41" i="1"/>
  <c r="K41" i="1"/>
  <c r="K42" i="1" s="1"/>
  <c r="K43" i="1" s="1"/>
  <c r="K45" i="1" s="1"/>
  <c r="K46" i="1" s="1"/>
  <c r="K48" i="1" s="1"/>
  <c r="K49" i="1" s="1"/>
  <c r="K50" i="1" s="1"/>
  <c r="K51" i="1" s="1"/>
  <c r="K52" i="1" s="1"/>
  <c r="K53" i="1" s="1"/>
  <c r="K54" i="1" s="1"/>
  <c r="R38" i="1"/>
  <c r="U38" i="1" s="1"/>
  <c r="Q38" i="1"/>
  <c r="O38" i="1"/>
  <c r="T37" i="1"/>
  <c r="O37" i="1"/>
  <c r="F36" i="1"/>
  <c r="F37" i="1" s="1"/>
  <c r="F39" i="1" s="1"/>
  <c r="F40" i="1" s="1"/>
  <c r="F41" i="1" s="1"/>
  <c r="F42" i="1" s="1"/>
  <c r="F43" i="1" s="1"/>
  <c r="F45" i="1" s="1"/>
  <c r="F46" i="1" s="1"/>
  <c r="F48" i="1" s="1"/>
  <c r="F49" i="1" s="1"/>
  <c r="F50" i="1" s="1"/>
  <c r="G35" i="1"/>
  <c r="G36" i="1" s="1"/>
  <c r="G37" i="1" s="1"/>
  <c r="G39" i="1" s="1"/>
  <c r="G40" i="1" s="1"/>
  <c r="G41" i="1" s="1"/>
  <c r="T33" i="1"/>
  <c r="T34" i="1" s="1"/>
  <c r="T35" i="1" s="1"/>
  <c r="T36" i="1" s="1"/>
  <c r="G32" i="1"/>
  <c r="G33" i="1" s="1"/>
  <c r="F32" i="1"/>
  <c r="F33" i="1" s="1"/>
  <c r="F34" i="1" s="1"/>
  <c r="F31" i="1"/>
  <c r="T30" i="1"/>
  <c r="T31" i="1" s="1"/>
  <c r="T32" i="1" s="1"/>
  <c r="T29" i="1"/>
  <c r="Q28" i="1"/>
  <c r="R28" i="1" s="1"/>
  <c r="O28" i="1"/>
  <c r="R27" i="1"/>
  <c r="U27" i="1" s="1"/>
  <c r="P27" i="1"/>
  <c r="O27" i="1"/>
  <c r="N27" i="1"/>
  <c r="H27" i="1"/>
  <c r="H28" i="1" s="1"/>
  <c r="H29" i="1" s="1"/>
  <c r="H30" i="1" s="1"/>
  <c r="H31" i="1" s="1"/>
  <c r="H32" i="1" s="1"/>
  <c r="H33" i="1" s="1"/>
  <c r="H34" i="1" s="1"/>
  <c r="H35" i="1" s="1"/>
  <c r="H36" i="1" s="1"/>
  <c r="H37" i="1" s="1"/>
  <c r="H39" i="1" s="1"/>
  <c r="H40" i="1" s="1"/>
  <c r="H41" i="1" s="1"/>
  <c r="H42" i="1" s="1"/>
  <c r="H43" i="1" s="1"/>
  <c r="H45" i="1" s="1"/>
  <c r="H46" i="1" s="1"/>
  <c r="H48" i="1" s="1"/>
  <c r="H49" i="1" s="1"/>
  <c r="H50" i="1" s="1"/>
  <c r="H51" i="1" s="1"/>
  <c r="H52" i="1" s="1"/>
  <c r="H53" i="1" s="1"/>
  <c r="H54" i="1" s="1"/>
  <c r="H26" i="1"/>
  <c r="T25" i="1"/>
  <c r="T26" i="1" s="1"/>
  <c r="T27" i="1" s="1"/>
  <c r="Q27" i="1" s="1"/>
  <c r="T24" i="1"/>
  <c r="G23" i="1"/>
  <c r="G24" i="1" s="1"/>
  <c r="G25" i="1" s="1"/>
  <c r="G26" i="1" s="1"/>
  <c r="G27" i="1" s="1"/>
  <c r="G28" i="1" s="1"/>
  <c r="G29" i="1" s="1"/>
  <c r="G30" i="1" s="1"/>
  <c r="F23" i="1"/>
  <c r="F24" i="1" s="1"/>
  <c r="F25" i="1" s="1"/>
  <c r="F26" i="1" s="1"/>
  <c r="F27" i="1" s="1"/>
  <c r="F28" i="1" s="1"/>
  <c r="F29" i="1" s="1"/>
  <c r="G22" i="1"/>
  <c r="F22" i="1"/>
  <c r="G21" i="1"/>
  <c r="F20" i="1"/>
  <c r="K18" i="1"/>
  <c r="K19" i="1" s="1"/>
  <c r="K20" i="1" s="1"/>
  <c r="K21" i="1" s="1"/>
  <c r="K22" i="1" s="1"/>
  <c r="K23" i="1" s="1"/>
  <c r="K24" i="1" s="1"/>
  <c r="K25" i="1" s="1"/>
  <c r="K26" i="1" s="1"/>
  <c r="K27" i="1" s="1"/>
  <c r="K28" i="1" s="1"/>
  <c r="K29" i="1" s="1"/>
  <c r="K30" i="1" s="1"/>
  <c r="K31" i="1" s="1"/>
  <c r="K32" i="1" s="1"/>
  <c r="K33" i="1" s="1"/>
  <c r="K34" i="1" s="1"/>
  <c r="K35" i="1" s="1"/>
  <c r="K36" i="1" s="1"/>
  <c r="K37" i="1" s="1"/>
  <c r="K39" i="1" s="1"/>
  <c r="K17" i="1"/>
  <c r="T15" i="1"/>
  <c r="T16" i="1" s="1"/>
  <c r="T17" i="1" s="1"/>
  <c r="T18" i="1" s="1"/>
  <c r="T19" i="1" s="1"/>
  <c r="T20" i="1" s="1"/>
  <c r="T21" i="1" s="1"/>
  <c r="T22" i="1" s="1"/>
  <c r="T23" i="1" s="1"/>
  <c r="R14" i="1"/>
  <c r="Q14" i="1"/>
  <c r="O14" i="1"/>
  <c r="U14" i="1" s="1"/>
  <c r="T13" i="1"/>
  <c r="G13" i="1"/>
  <c r="G14" i="1" s="1"/>
  <c r="G15" i="1" s="1"/>
  <c r="G16" i="1" s="1"/>
  <c r="G17" i="1" s="1"/>
  <c r="G18" i="1" s="1"/>
  <c r="G19" i="1" s="1"/>
  <c r="F13" i="1"/>
  <c r="F14" i="1" s="1"/>
  <c r="F15" i="1" s="1"/>
  <c r="F16" i="1" s="1"/>
  <c r="F17" i="1" s="1"/>
  <c r="F18" i="1" s="1"/>
  <c r="G12" i="1"/>
  <c r="F12" i="1"/>
  <c r="G11" i="1"/>
  <c r="F11" i="1"/>
  <c r="G10" i="1"/>
  <c r="F9" i="1"/>
  <c r="K8" i="1"/>
  <c r="K9" i="1" s="1"/>
  <c r="K10" i="1" s="1"/>
  <c r="K11" i="1" s="1"/>
  <c r="K12" i="1" s="1"/>
  <c r="K13" i="1" s="1"/>
  <c r="K14" i="1" s="1"/>
  <c r="K15" i="1" s="1"/>
  <c r="K7" i="1"/>
  <c r="K6" i="1"/>
  <c r="T4" i="1"/>
  <c r="T5" i="1" s="1"/>
  <c r="T6" i="1" s="1"/>
  <c r="T7" i="1" s="1"/>
  <c r="T8" i="1" s="1"/>
  <c r="T9" i="1" s="1"/>
  <c r="T10" i="1" s="1"/>
  <c r="T11" i="1" s="1"/>
  <c r="T12" i="1" s="1"/>
  <c r="G4" i="1"/>
  <c r="G5" i="1" s="1"/>
  <c r="G6" i="1" s="1"/>
  <c r="G7" i="1" s="1"/>
  <c r="G8" i="1" s="1"/>
  <c r="Q3" i="1"/>
  <c r="R3" i="1" s="1"/>
  <c r="U3" i="1" s="1"/>
  <c r="O3" i="1"/>
  <c r="K3" i="1"/>
  <c r="K4"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T2" i="1"/>
  <c r="L2" i="1"/>
  <c r="L3" i="1" s="1"/>
  <c r="L4" i="1" s="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9" i="1" s="1"/>
  <c r="L40" i="1" s="1"/>
  <c r="L41" i="1" s="1"/>
  <c r="L42" i="1" s="1"/>
  <c r="L43" i="1" s="1"/>
  <c r="K2" i="1"/>
  <c r="H2" i="1"/>
  <c r="G2" i="1"/>
  <c r="G3" i="1" s="1"/>
  <c r="F2" i="1"/>
  <c r="F3" i="1" s="1"/>
  <c r="F4" i="1" s="1"/>
  <c r="F5" i="1" s="1"/>
  <c r="F6" i="1" s="1"/>
  <c r="F7" i="1" s="1"/>
  <c r="H69" i="1" l="1"/>
  <c r="H70" i="1" s="1"/>
  <c r="H71" i="1" s="1"/>
  <c r="H72" i="1" s="1"/>
  <c r="H73" i="1" s="1"/>
  <c r="H74" i="1" s="1"/>
  <c r="H75" i="1" s="1"/>
  <c r="H67" i="1"/>
  <c r="H68" i="1" s="1"/>
  <c r="Q240" i="1"/>
  <c r="R240" i="1" s="1"/>
  <c r="U240" i="1" s="1"/>
  <c r="T242" i="1"/>
  <c r="T243" i="1" s="1"/>
  <c r="T244" i="1" s="1"/>
  <c r="T245" i="1" s="1"/>
  <c r="T79" i="1"/>
  <c r="T80" i="1" s="1"/>
  <c r="T81" i="1" s="1"/>
  <c r="T82" i="1" s="1"/>
  <c r="T83" i="1" s="1"/>
  <c r="T84" i="1" s="1"/>
  <c r="T85" i="1" s="1"/>
  <c r="T86" i="1" s="1"/>
  <c r="T87" i="1" s="1"/>
  <c r="T88" i="1" s="1"/>
  <c r="T89" i="1" s="1"/>
  <c r="T90" i="1" s="1"/>
  <c r="T91" i="1" s="1"/>
  <c r="T92" i="1" s="1"/>
  <c r="U224" i="1"/>
  <c r="U237" i="1"/>
  <c r="Q498" i="1"/>
  <c r="R498" i="1" s="1"/>
  <c r="U498" i="1" s="1"/>
  <c r="T499" i="1"/>
  <c r="T500" i="1" s="1"/>
  <c r="T39" i="1"/>
  <c r="T40" i="1" s="1"/>
  <c r="T41" i="1" s="1"/>
  <c r="Q41" i="1" s="1"/>
  <c r="R41" i="1" s="1"/>
  <c r="U41" i="1" s="1"/>
  <c r="Q37" i="1"/>
  <c r="R37" i="1" s="1"/>
  <c r="U37" i="1" s="1"/>
  <c r="U28" i="1"/>
  <c r="Q119" i="1"/>
  <c r="R119" i="1" s="1"/>
  <c r="T120" i="1"/>
  <c r="T121" i="1" s="1"/>
  <c r="T122" i="1" s="1"/>
  <c r="T123" i="1" s="1"/>
  <c r="T124" i="1" s="1"/>
  <c r="T125" i="1" s="1"/>
  <c r="T126" i="1" s="1"/>
  <c r="T127" i="1" s="1"/>
  <c r="U258" i="1"/>
  <c r="Q140" i="1"/>
  <c r="R140" i="1" s="1"/>
  <c r="U140" i="1" s="1"/>
  <c r="T141" i="1"/>
  <c r="T142" i="1" s="1"/>
  <c r="T143" i="1" s="1"/>
  <c r="T144" i="1" s="1"/>
  <c r="T145" i="1" s="1"/>
  <c r="T150" i="1" s="1"/>
  <c r="T165" i="1"/>
  <c r="T166" i="1" s="1"/>
  <c r="T167" i="1" s="1"/>
  <c r="U160" i="1"/>
  <c r="U63" i="1"/>
  <c r="U164" i="1"/>
  <c r="U42" i="1"/>
  <c r="U119" i="1"/>
  <c r="Q169" i="1"/>
  <c r="R169" i="1" s="1"/>
  <c r="U169" i="1" s="1"/>
  <c r="T170" i="1"/>
  <c r="T171" i="1" s="1"/>
  <c r="T172" i="1" s="1"/>
  <c r="Q753" i="1"/>
  <c r="R753" i="1" s="1"/>
  <c r="U753" i="1" s="1"/>
  <c r="T754" i="1"/>
  <c r="Q754" i="1" s="1"/>
  <c r="R754" i="1" s="1"/>
  <c r="U754" i="1" s="1"/>
  <c r="Q147" i="1"/>
  <c r="R147" i="1" s="1"/>
  <c r="U147" i="1" s="1"/>
  <c r="Q188" i="1"/>
  <c r="R188" i="1" s="1"/>
  <c r="U188" i="1" s="1"/>
  <c r="Q321" i="1"/>
  <c r="R321" i="1" s="1"/>
  <c r="U321" i="1" s="1"/>
  <c r="T322" i="1"/>
  <c r="T323" i="1" s="1"/>
  <c r="Q365" i="1"/>
  <c r="R365" i="1" s="1"/>
  <c r="U365" i="1" s="1"/>
  <c r="T366" i="1"/>
  <c r="T367" i="1" s="1"/>
  <c r="T368" i="1" s="1"/>
  <c r="T369" i="1" s="1"/>
  <c r="T370" i="1" s="1"/>
  <c r="T371" i="1" s="1"/>
  <c r="T372" i="1" s="1"/>
  <c r="T373" i="1" s="1"/>
  <c r="T374" i="1" s="1"/>
  <c r="T375" i="1" s="1"/>
  <c r="T376" i="1" s="1"/>
  <c r="T377" i="1" s="1"/>
  <c r="T378" i="1" s="1"/>
  <c r="T379" i="1" s="1"/>
  <c r="T428" i="1"/>
  <c r="T429" i="1" s="1"/>
  <c r="T430" i="1" s="1"/>
  <c r="Q427" i="1"/>
  <c r="R427" i="1" s="1"/>
  <c r="U427" i="1" s="1"/>
  <c r="T618" i="1"/>
  <c r="T619" i="1" s="1"/>
  <c r="T620" i="1" s="1"/>
  <c r="T621" i="1" s="1"/>
  <c r="T622" i="1" s="1"/>
  <c r="T623" i="1" s="1"/>
  <c r="T624" i="1" s="1"/>
  <c r="T625" i="1" s="1"/>
  <c r="T626" i="1" s="1"/>
  <c r="T627" i="1" s="1"/>
  <c r="T628" i="1" s="1"/>
  <c r="T629" i="1" s="1"/>
  <c r="T630" i="1" s="1"/>
  <c r="T631" i="1" s="1"/>
  <c r="Q617" i="1"/>
  <c r="R617" i="1" s="1"/>
  <c r="U617" i="1" s="1"/>
  <c r="U302" i="1"/>
  <c r="T251" i="1"/>
  <c r="Q250" i="1"/>
  <c r="R250" i="1" s="1"/>
  <c r="U250" i="1" s="1"/>
  <c r="U401" i="1"/>
  <c r="T503" i="1"/>
  <c r="T504" i="1" s="1"/>
  <c r="T505" i="1" s="1"/>
  <c r="T506" i="1" s="1"/>
  <c r="T507" i="1" s="1"/>
  <c r="Q507" i="1" s="1"/>
  <c r="R507" i="1" s="1"/>
  <c r="U507" i="1" s="1"/>
  <c r="Q501" i="1"/>
  <c r="R501" i="1" s="1"/>
  <c r="U501" i="1" s="1"/>
  <c r="Q595" i="1"/>
  <c r="R595" i="1" s="1"/>
  <c r="T596" i="1"/>
  <c r="T597" i="1" s="1"/>
  <c r="T598" i="1" s="1"/>
  <c r="Q324" i="1"/>
  <c r="R324" i="1" s="1"/>
  <c r="U324" i="1" s="1"/>
  <c r="Q386" i="1"/>
  <c r="R386" i="1" s="1"/>
  <c r="U386" i="1" s="1"/>
  <c r="T387" i="1"/>
  <c r="T388" i="1" s="1"/>
  <c r="T389" i="1" s="1"/>
  <c r="T390" i="1" s="1"/>
  <c r="T391" i="1" s="1"/>
  <c r="T392" i="1" s="1"/>
  <c r="T393" i="1" s="1"/>
  <c r="T394" i="1" s="1"/>
  <c r="Q407" i="1"/>
  <c r="R407" i="1" s="1"/>
  <c r="U407" i="1" s="1"/>
  <c r="T408" i="1"/>
  <c r="T409" i="1" s="1"/>
  <c r="T410" i="1" s="1"/>
  <c r="T411" i="1" s="1"/>
  <c r="T412" i="1" s="1"/>
  <c r="T417" i="1" s="1"/>
  <c r="T583" i="1"/>
  <c r="T584" i="1" s="1"/>
  <c r="Q582" i="1"/>
  <c r="R582" i="1" s="1"/>
  <c r="U582" i="1" s="1"/>
  <c r="U218" i="1"/>
  <c r="T415" i="1"/>
  <c r="T416" i="1" s="1"/>
  <c r="Q414" i="1"/>
  <c r="R414" i="1" s="1"/>
  <c r="U414" i="1" s="1"/>
  <c r="Q511" i="1"/>
  <c r="R511" i="1" s="1"/>
  <c r="U511" i="1" s="1"/>
  <c r="T512" i="1"/>
  <c r="U595" i="1"/>
  <c r="R591" i="1"/>
  <c r="U591" i="1" s="1"/>
  <c r="U470" i="1"/>
  <c r="U325" i="1"/>
  <c r="U449" i="1"/>
  <c r="Q638" i="1"/>
  <c r="R638" i="1" s="1"/>
  <c r="U638" i="1" s="1"/>
  <c r="T639" i="1"/>
  <c r="T640" i="1" s="1"/>
  <c r="T641" i="1" s="1"/>
  <c r="T642" i="1" s="1"/>
  <c r="T643" i="1" s="1"/>
  <c r="T644" i="1" s="1"/>
  <c r="T645" i="1" s="1"/>
  <c r="T646" i="1" s="1"/>
  <c r="J25" i="3"/>
  <c r="M21" i="4" s="1"/>
  <c r="O21" i="4" s="1"/>
  <c r="M25" i="3"/>
  <c r="K25" i="3"/>
  <c r="U533" i="1"/>
  <c r="U653" i="1"/>
  <c r="R585" i="1"/>
  <c r="U585" i="1" s="1"/>
  <c r="R679" i="1"/>
  <c r="U563" i="1"/>
  <c r="U491" i="1"/>
  <c r="Q554" i="1"/>
  <c r="R554" i="1" s="1"/>
  <c r="U554" i="1" s="1"/>
  <c r="T555" i="1"/>
  <c r="T556" i="1" s="1"/>
  <c r="T557" i="1" s="1"/>
  <c r="T558" i="1" s="1"/>
  <c r="T559" i="1" s="1"/>
  <c r="T560" i="1" s="1"/>
  <c r="T561" i="1" s="1"/>
  <c r="T562" i="1" s="1"/>
  <c r="U569" i="1"/>
  <c r="U794" i="1"/>
  <c r="U575" i="1"/>
  <c r="U592" i="1"/>
  <c r="U647" i="1"/>
  <c r="U679" i="1"/>
  <c r="T723" i="1"/>
  <c r="T724" i="1" s="1"/>
  <c r="T725" i="1" s="1"/>
  <c r="T726" i="1" s="1"/>
  <c r="T727" i="1" s="1"/>
  <c r="T728" i="1" s="1"/>
  <c r="T729" i="1" s="1"/>
  <c r="T730" i="1" s="1"/>
  <c r="Q722" i="1"/>
  <c r="R722" i="1" s="1"/>
  <c r="U722" i="1" s="1"/>
  <c r="T660" i="1"/>
  <c r="T661" i="1" s="1"/>
  <c r="T662" i="1" s="1"/>
  <c r="T663" i="1" s="1"/>
  <c r="T664" i="1" s="1"/>
  <c r="T669" i="1" s="1"/>
  <c r="Q659" i="1"/>
  <c r="R659" i="1" s="1"/>
  <c r="U659" i="1" s="1"/>
  <c r="U603" i="1"/>
  <c r="Q852" i="1"/>
  <c r="R852" i="1" s="1"/>
  <c r="U852" i="1" s="1"/>
  <c r="T853" i="1"/>
  <c r="T854" i="1" s="1"/>
  <c r="R846" i="1"/>
  <c r="U846" i="1"/>
  <c r="U737" i="1"/>
  <c r="T962" i="1"/>
  <c r="T963" i="1" s="1"/>
  <c r="T964" i="1" s="1"/>
  <c r="T965" i="1" s="1"/>
  <c r="T966" i="1" s="1"/>
  <c r="U843" i="1"/>
  <c r="U923" i="1"/>
  <c r="M57" i="3"/>
  <c r="J57" i="3"/>
  <c r="K57" i="3"/>
  <c r="V6" i="3"/>
  <c r="Z6" i="3"/>
  <c r="Q1028" i="1"/>
  <c r="R1028" i="1" s="1"/>
  <c r="U1028" i="1" s="1"/>
  <c r="K43" i="3"/>
  <c r="J43" i="3"/>
  <c r="M7" i="4"/>
  <c r="O7" i="4" s="1"/>
  <c r="M17" i="4"/>
  <c r="O17" i="4" s="1"/>
  <c r="M27" i="4"/>
  <c r="O27" i="4" s="1"/>
  <c r="M47" i="4"/>
  <c r="O47" i="4" s="1"/>
  <c r="M67" i="4"/>
  <c r="O67" i="4" s="1"/>
  <c r="M77" i="4"/>
  <c r="O77" i="4" s="1"/>
  <c r="M87" i="4"/>
  <c r="O87" i="4" s="1"/>
  <c r="M97" i="4"/>
  <c r="O97" i="4" s="1"/>
  <c r="M107" i="4"/>
  <c r="O107" i="4" s="1"/>
  <c r="Z58" i="3"/>
  <c r="V58" i="3"/>
  <c r="Z62" i="3"/>
  <c r="V62" i="3"/>
  <c r="U907" i="1"/>
  <c r="M153" i="3"/>
  <c r="K153" i="3"/>
  <c r="J153" i="3"/>
  <c r="M117" i="4" s="1"/>
  <c r="O117" i="4" s="1"/>
  <c r="Z15" i="3"/>
  <c r="V15" i="3"/>
  <c r="H138" i="3"/>
  <c r="M2" i="4"/>
  <c r="O2" i="4" s="1"/>
  <c r="M12" i="4"/>
  <c r="O12" i="4" s="1"/>
  <c r="M32" i="4"/>
  <c r="O32" i="4" s="1"/>
  <c r="M42" i="4"/>
  <c r="O42" i="4" s="1"/>
  <c r="M52" i="4"/>
  <c r="O52" i="4" s="1"/>
  <c r="M62" i="4"/>
  <c r="O62" i="4" s="1"/>
  <c r="M72" i="4"/>
  <c r="O72" i="4" s="1"/>
  <c r="M92" i="4"/>
  <c r="O92" i="4" s="1"/>
  <c r="M112" i="4"/>
  <c r="O112" i="4" s="1"/>
  <c r="M122" i="4"/>
  <c r="O122" i="4" s="1"/>
  <c r="H14" i="3"/>
  <c r="V73" i="3"/>
  <c r="Z118" i="3"/>
  <c r="H133" i="3"/>
  <c r="H149" i="3"/>
  <c r="H150" i="3"/>
  <c r="M3" i="4"/>
  <c r="O3" i="4" s="1"/>
  <c r="M33" i="4"/>
  <c r="O33" i="4" s="1"/>
  <c r="M43" i="4"/>
  <c r="O43" i="4" s="1"/>
  <c r="M53" i="4"/>
  <c r="O53" i="4" s="1"/>
  <c r="M63" i="4"/>
  <c r="O63" i="4" s="1"/>
  <c r="M73" i="4"/>
  <c r="O73" i="4" s="1"/>
  <c r="M83" i="4"/>
  <c r="O83" i="4" s="1"/>
  <c r="M103" i="4"/>
  <c r="O103" i="4" s="1"/>
  <c r="M123" i="4"/>
  <c r="O123" i="4" s="1"/>
  <c r="H26" i="3"/>
  <c r="Z88" i="3"/>
  <c r="H121" i="3"/>
  <c r="Z134" i="3"/>
  <c r="M4" i="4"/>
  <c r="O4" i="4" s="1"/>
  <c r="M14" i="4"/>
  <c r="O14" i="4" s="1"/>
  <c r="M24" i="4"/>
  <c r="O24" i="4" s="1"/>
  <c r="M44" i="4"/>
  <c r="O44" i="4" s="1"/>
  <c r="M54" i="4"/>
  <c r="O54" i="4" s="1"/>
  <c r="M64" i="4"/>
  <c r="O64" i="4" s="1"/>
  <c r="M74" i="4"/>
  <c r="O74" i="4" s="1"/>
  <c r="M84" i="4"/>
  <c r="O84" i="4" s="1"/>
  <c r="M94" i="4"/>
  <c r="O94" i="4" s="1"/>
  <c r="M104" i="4"/>
  <c r="O104" i="4" s="1"/>
  <c r="M124" i="4"/>
  <c r="O124" i="4" s="1"/>
  <c r="H29" i="3"/>
  <c r="L25" i="4" s="1"/>
  <c r="N25" i="4" s="1"/>
  <c r="H42" i="3"/>
  <c r="H91" i="3"/>
  <c r="H103" i="3"/>
  <c r="H106" i="3"/>
  <c r="H118" i="3"/>
  <c r="V119" i="3"/>
  <c r="M5" i="4"/>
  <c r="O5" i="4" s="1"/>
  <c r="M15" i="4"/>
  <c r="O15" i="4" s="1"/>
  <c r="M35" i="4"/>
  <c r="O35" i="4" s="1"/>
  <c r="M45" i="4"/>
  <c r="O45" i="4" s="1"/>
  <c r="M55" i="4"/>
  <c r="O55" i="4" s="1"/>
  <c r="M65" i="4"/>
  <c r="O65" i="4" s="1"/>
  <c r="M75" i="4"/>
  <c r="O75" i="4" s="1"/>
  <c r="M85" i="4"/>
  <c r="O85" i="4" s="1"/>
  <c r="M95" i="4"/>
  <c r="O95" i="4" s="1"/>
  <c r="M105" i="4"/>
  <c r="O105" i="4" s="1"/>
  <c r="M125" i="4"/>
  <c r="O125" i="4" s="1"/>
  <c r="H45" i="3"/>
  <c r="H73" i="3"/>
  <c r="H76" i="3"/>
  <c r="H88" i="3"/>
  <c r="H134" i="3"/>
  <c r="M16" i="4"/>
  <c r="O16" i="4" s="1"/>
  <c r="M26" i="4"/>
  <c r="O26" i="4" s="1"/>
  <c r="M36" i="4"/>
  <c r="O36" i="4" s="1"/>
  <c r="M56" i="4"/>
  <c r="O56" i="4" s="1"/>
  <c r="M66" i="4"/>
  <c r="O66" i="4" s="1"/>
  <c r="M76" i="4"/>
  <c r="O76" i="4" s="1"/>
  <c r="M86" i="4"/>
  <c r="O86" i="4" s="1"/>
  <c r="M96" i="4"/>
  <c r="O96" i="4" s="1"/>
  <c r="M116" i="4"/>
  <c r="O116" i="4" s="1"/>
  <c r="M127" i="4"/>
  <c r="O127" i="4" s="1"/>
  <c r="H6" i="3"/>
  <c r="H9" i="3"/>
  <c r="H27" i="3"/>
  <c r="H119" i="3"/>
  <c r="M8" i="4"/>
  <c r="O8" i="4" s="1"/>
  <c r="M18" i="4"/>
  <c r="O18" i="4" s="1"/>
  <c r="M28" i="4"/>
  <c r="O28" i="4" s="1"/>
  <c r="M38" i="4"/>
  <c r="O38" i="4" s="1"/>
  <c r="M48" i="4"/>
  <c r="O48" i="4" s="1"/>
  <c r="M78" i="4"/>
  <c r="O78" i="4" s="1"/>
  <c r="M88" i="4"/>
  <c r="O88" i="4" s="1"/>
  <c r="M98" i="4"/>
  <c r="O98" i="4" s="1"/>
  <c r="M108" i="4"/>
  <c r="O108" i="4" s="1"/>
  <c r="M118" i="4"/>
  <c r="O118" i="4" s="1"/>
  <c r="M128" i="4"/>
  <c r="O128" i="4" s="1"/>
  <c r="H74" i="3"/>
  <c r="L58" i="4" s="1"/>
  <c r="N58" i="4" s="1"/>
  <c r="H89" i="3"/>
  <c r="H104" i="3"/>
  <c r="M19" i="4"/>
  <c r="O19" i="4" s="1"/>
  <c r="M29" i="4"/>
  <c r="O29" i="4" s="1"/>
  <c r="M39" i="4"/>
  <c r="O39" i="4" s="1"/>
  <c r="M49" i="4"/>
  <c r="O49" i="4" s="1"/>
  <c r="M59" i="4"/>
  <c r="O59" i="4" s="1"/>
  <c r="M89" i="4"/>
  <c r="O89" i="4" s="1"/>
  <c r="M99" i="4"/>
  <c r="O99" i="4" s="1"/>
  <c r="M109" i="4"/>
  <c r="O109" i="4" s="1"/>
  <c r="M119" i="4"/>
  <c r="O119" i="4" s="1"/>
  <c r="M129" i="4"/>
  <c r="O129" i="4" s="1"/>
  <c r="M10" i="4"/>
  <c r="O10" i="4" s="1"/>
  <c r="M20" i="4"/>
  <c r="O20" i="4" s="1"/>
  <c r="M30" i="4"/>
  <c r="O30" i="4" s="1"/>
  <c r="M40" i="4"/>
  <c r="O40" i="4" s="1"/>
  <c r="M70" i="4"/>
  <c r="O70" i="4" s="1"/>
  <c r="M100" i="4"/>
  <c r="O100" i="4" s="1"/>
  <c r="M110" i="4"/>
  <c r="O110" i="4" s="1"/>
  <c r="M120" i="4"/>
  <c r="O120" i="4" s="1"/>
  <c r="M130" i="4"/>
  <c r="O130" i="4" s="1"/>
  <c r="H159" i="3"/>
  <c r="H168" i="3"/>
  <c r="H151" i="3"/>
  <c r="H58" i="3"/>
  <c r="H62" i="3"/>
  <c r="M11" i="4"/>
  <c r="O11" i="4" s="1"/>
  <c r="M31" i="4"/>
  <c r="O31" i="4" s="1"/>
  <c r="M41" i="4"/>
  <c r="O41" i="4" s="1"/>
  <c r="M51" i="4"/>
  <c r="O51" i="4" s="1"/>
  <c r="M61" i="4"/>
  <c r="O61" i="4" s="1"/>
  <c r="M81" i="4"/>
  <c r="O81" i="4" s="1"/>
  <c r="M111" i="4"/>
  <c r="O111" i="4" s="1"/>
  <c r="M131" i="4"/>
  <c r="O131" i="4" s="1"/>
  <c r="Z150" i="3"/>
  <c r="L2" i="4"/>
  <c r="N2" i="4" s="1"/>
  <c r="L4" i="4"/>
  <c r="N4" i="4" s="1"/>
  <c r="L6" i="4"/>
  <c r="N6" i="4" s="1"/>
  <c r="L8" i="4"/>
  <c r="N8" i="4" s="1"/>
  <c r="L10" i="4"/>
  <c r="N10" i="4" s="1"/>
  <c r="L12" i="4"/>
  <c r="N12" i="4" s="1"/>
  <c r="L14" i="4"/>
  <c r="N14" i="4" s="1"/>
  <c r="L16" i="4"/>
  <c r="N16" i="4" s="1"/>
  <c r="L18" i="4"/>
  <c r="N18" i="4" s="1"/>
  <c r="L20" i="4"/>
  <c r="N20" i="4" s="1"/>
  <c r="L22" i="4"/>
  <c r="N22" i="4" s="1"/>
  <c r="L24" i="4"/>
  <c r="N24" i="4" s="1"/>
  <c r="L26" i="4"/>
  <c r="N26" i="4" s="1"/>
  <c r="L28" i="4"/>
  <c r="N28" i="4" s="1"/>
  <c r="L30" i="4"/>
  <c r="N30" i="4" s="1"/>
  <c r="L32" i="4"/>
  <c r="N32" i="4" s="1"/>
  <c r="L34" i="4"/>
  <c r="N34" i="4" s="1"/>
  <c r="L36" i="4"/>
  <c r="N36" i="4" s="1"/>
  <c r="L38" i="4"/>
  <c r="N38" i="4" s="1"/>
  <c r="L40" i="4"/>
  <c r="N40" i="4" s="1"/>
  <c r="L42" i="4"/>
  <c r="N42" i="4" s="1"/>
  <c r="L44" i="4"/>
  <c r="N44" i="4" s="1"/>
  <c r="L46" i="4"/>
  <c r="N46" i="4" s="1"/>
  <c r="L48" i="4"/>
  <c r="N48" i="4" s="1"/>
  <c r="L50" i="4"/>
  <c r="N50" i="4" s="1"/>
  <c r="L52" i="4"/>
  <c r="N52" i="4" s="1"/>
  <c r="L54" i="4"/>
  <c r="N54" i="4" s="1"/>
  <c r="L56" i="4"/>
  <c r="N56" i="4" s="1"/>
  <c r="L60" i="4"/>
  <c r="N60" i="4" s="1"/>
  <c r="L62" i="4"/>
  <c r="N62" i="4" s="1"/>
  <c r="L64" i="4"/>
  <c r="N64" i="4" s="1"/>
  <c r="L66" i="4"/>
  <c r="N66" i="4" s="1"/>
  <c r="L68" i="4"/>
  <c r="N68" i="4" s="1"/>
  <c r="L70" i="4"/>
  <c r="N70" i="4" s="1"/>
  <c r="L72" i="4"/>
  <c r="N72" i="4" s="1"/>
  <c r="L74" i="4"/>
  <c r="N74" i="4" s="1"/>
  <c r="L76" i="4"/>
  <c r="N76" i="4" s="1"/>
  <c r="L78" i="4"/>
  <c r="N78" i="4" s="1"/>
  <c r="L80" i="4"/>
  <c r="N80" i="4" s="1"/>
  <c r="L82" i="4"/>
  <c r="N82" i="4" s="1"/>
  <c r="L84" i="4"/>
  <c r="N84" i="4" s="1"/>
  <c r="L86" i="4"/>
  <c r="N86" i="4" s="1"/>
  <c r="L88" i="4"/>
  <c r="N88" i="4" s="1"/>
  <c r="L92" i="4"/>
  <c r="N92" i="4" s="1"/>
  <c r="L94" i="4"/>
  <c r="N94" i="4" s="1"/>
  <c r="L96" i="4"/>
  <c r="N96" i="4" s="1"/>
  <c r="L98" i="4"/>
  <c r="N98" i="4" s="1"/>
  <c r="L100" i="4"/>
  <c r="N100" i="4" s="1"/>
  <c r="L102" i="4"/>
  <c r="N102" i="4" s="1"/>
  <c r="L104" i="4"/>
  <c r="N104" i="4" s="1"/>
  <c r="L106" i="4"/>
  <c r="N106" i="4" s="1"/>
  <c r="L108" i="4"/>
  <c r="N108" i="4" s="1"/>
  <c r="L110" i="4"/>
  <c r="N110" i="4" s="1"/>
  <c r="L112" i="4"/>
  <c r="N112" i="4" s="1"/>
  <c r="L114" i="4"/>
  <c r="N114" i="4" s="1"/>
  <c r="L116" i="4"/>
  <c r="N116" i="4" s="1"/>
  <c r="L118" i="4"/>
  <c r="N118" i="4" s="1"/>
  <c r="L120" i="4"/>
  <c r="N120" i="4" s="1"/>
  <c r="L122" i="4"/>
  <c r="N122" i="4" s="1"/>
  <c r="L124" i="4"/>
  <c r="N124" i="4" s="1"/>
  <c r="L126" i="4"/>
  <c r="N126" i="4" s="1"/>
  <c r="L128" i="4"/>
  <c r="N128" i="4" s="1"/>
  <c r="L130" i="4"/>
  <c r="N130" i="4" s="1"/>
  <c r="V168" i="3"/>
  <c r="V159" i="3"/>
  <c r="L3" i="4"/>
  <c r="N3" i="4" s="1"/>
  <c r="L5" i="4"/>
  <c r="N5" i="4" s="1"/>
  <c r="L7" i="4"/>
  <c r="N7" i="4" s="1"/>
  <c r="L9" i="4"/>
  <c r="N9" i="4" s="1"/>
  <c r="L11" i="4"/>
  <c r="N11" i="4" s="1"/>
  <c r="L13" i="4"/>
  <c r="N13" i="4" s="1"/>
  <c r="L15" i="4"/>
  <c r="N15" i="4" s="1"/>
  <c r="L17" i="4"/>
  <c r="N17" i="4" s="1"/>
  <c r="L19" i="4"/>
  <c r="N19" i="4" s="1"/>
  <c r="L21" i="4"/>
  <c r="N21" i="4" s="1"/>
  <c r="L23" i="4"/>
  <c r="N23" i="4" s="1"/>
  <c r="L27" i="4"/>
  <c r="N27" i="4" s="1"/>
  <c r="L29" i="4"/>
  <c r="N29" i="4" s="1"/>
  <c r="L31" i="4"/>
  <c r="N31" i="4" s="1"/>
  <c r="L33" i="4"/>
  <c r="N33" i="4" s="1"/>
  <c r="L35" i="4"/>
  <c r="N35" i="4" s="1"/>
  <c r="L39" i="4"/>
  <c r="N39" i="4" s="1"/>
  <c r="L41" i="4"/>
  <c r="N41" i="4" s="1"/>
  <c r="L43" i="4"/>
  <c r="N43" i="4" s="1"/>
  <c r="L45" i="4"/>
  <c r="N45" i="4" s="1"/>
  <c r="L47" i="4"/>
  <c r="N47" i="4" s="1"/>
  <c r="L49" i="4"/>
  <c r="N49" i="4" s="1"/>
  <c r="L51" i="4"/>
  <c r="N51" i="4" s="1"/>
  <c r="L53" i="4"/>
  <c r="N53" i="4" s="1"/>
  <c r="L55" i="4"/>
  <c r="N55" i="4" s="1"/>
  <c r="L57" i="4"/>
  <c r="N57" i="4" s="1"/>
  <c r="L59" i="4"/>
  <c r="N59" i="4" s="1"/>
  <c r="L61" i="4"/>
  <c r="N61" i="4" s="1"/>
  <c r="L63" i="4"/>
  <c r="N63" i="4" s="1"/>
  <c r="L65" i="4"/>
  <c r="N65" i="4" s="1"/>
  <c r="L67" i="4"/>
  <c r="N67" i="4" s="1"/>
  <c r="L69" i="4"/>
  <c r="N69" i="4" s="1"/>
  <c r="L71" i="4"/>
  <c r="N71" i="4" s="1"/>
  <c r="L73" i="4"/>
  <c r="N73" i="4" s="1"/>
  <c r="L75" i="4"/>
  <c r="N75" i="4" s="1"/>
  <c r="L77" i="4"/>
  <c r="N77" i="4" s="1"/>
  <c r="L79" i="4"/>
  <c r="N79" i="4" s="1"/>
  <c r="L81" i="4"/>
  <c r="N81" i="4" s="1"/>
  <c r="L83" i="4"/>
  <c r="N83" i="4" s="1"/>
  <c r="L85" i="4"/>
  <c r="N85" i="4" s="1"/>
  <c r="L87" i="4"/>
  <c r="N87" i="4" s="1"/>
  <c r="L89" i="4"/>
  <c r="N89" i="4" s="1"/>
  <c r="L91" i="4"/>
  <c r="N91" i="4" s="1"/>
  <c r="L93" i="4"/>
  <c r="N93" i="4" s="1"/>
  <c r="L95" i="4"/>
  <c r="N95" i="4" s="1"/>
  <c r="L97" i="4"/>
  <c r="N97" i="4" s="1"/>
  <c r="L99" i="4"/>
  <c r="N99" i="4" s="1"/>
  <c r="L101" i="4"/>
  <c r="N101" i="4" s="1"/>
  <c r="L103" i="4"/>
  <c r="N103" i="4" s="1"/>
  <c r="L105" i="4"/>
  <c r="N105" i="4" s="1"/>
  <c r="L107" i="4"/>
  <c r="N107" i="4" s="1"/>
  <c r="L109" i="4"/>
  <c r="N109" i="4" s="1"/>
  <c r="L111" i="4"/>
  <c r="N111" i="4" s="1"/>
  <c r="L113" i="4"/>
  <c r="N113" i="4" s="1"/>
  <c r="L115" i="4"/>
  <c r="N115" i="4" s="1"/>
  <c r="L117" i="4"/>
  <c r="N117" i="4" s="1"/>
  <c r="L119" i="4"/>
  <c r="N119" i="4" s="1"/>
  <c r="L121" i="4"/>
  <c r="N121" i="4" s="1"/>
  <c r="L123" i="4"/>
  <c r="N123" i="4" s="1"/>
  <c r="L125" i="4"/>
  <c r="N125" i="4" s="1"/>
  <c r="L127" i="4"/>
  <c r="N127" i="4" s="1"/>
  <c r="L129" i="4"/>
  <c r="N129" i="4" s="1"/>
  <c r="L131" i="4"/>
  <c r="N131" i="4" s="1"/>
  <c r="J159" i="3" l="1"/>
  <c r="M121" i="4" s="1"/>
  <c r="O121" i="4" s="1"/>
  <c r="M159" i="3"/>
  <c r="K159" i="3"/>
  <c r="M118" i="3"/>
  <c r="J118" i="3"/>
  <c r="M90" i="4" s="1"/>
  <c r="O90" i="4" s="1"/>
  <c r="K118" i="3"/>
  <c r="K121" i="3"/>
  <c r="M121" i="3"/>
  <c r="J121" i="3"/>
  <c r="M93" i="4" s="1"/>
  <c r="O93" i="4" s="1"/>
  <c r="M134" i="3"/>
  <c r="K134" i="3"/>
  <c r="J134" i="3"/>
  <c r="M102" i="4" s="1"/>
  <c r="O102" i="4" s="1"/>
  <c r="M106" i="3"/>
  <c r="J106" i="3"/>
  <c r="M82" i="4" s="1"/>
  <c r="O82" i="4" s="1"/>
  <c r="K106" i="3"/>
  <c r="K14" i="3"/>
  <c r="M14" i="3"/>
  <c r="J14" i="3"/>
  <c r="M13" i="4" s="1"/>
  <c r="O13" i="4" s="1"/>
  <c r="K168" i="3"/>
  <c r="J168" i="3"/>
  <c r="M126" i="4" s="1"/>
  <c r="O126" i="4" s="1"/>
  <c r="M168" i="3"/>
  <c r="M88" i="3"/>
  <c r="K88" i="3"/>
  <c r="J88" i="3"/>
  <c r="M68" i="4" s="1"/>
  <c r="O68" i="4" s="1"/>
  <c r="M103" i="3"/>
  <c r="J103" i="3"/>
  <c r="M79" i="4" s="1"/>
  <c r="O79" i="4" s="1"/>
  <c r="K103" i="3"/>
  <c r="K26" i="3"/>
  <c r="J26" i="3"/>
  <c r="M22" i="4" s="1"/>
  <c r="O22" i="4" s="1"/>
  <c r="M26" i="3"/>
  <c r="Q150" i="1"/>
  <c r="R150" i="1" s="1"/>
  <c r="U150" i="1" s="1"/>
  <c r="T152" i="1"/>
  <c r="T153" i="1" s="1"/>
  <c r="T154" i="1" s="1"/>
  <c r="T155" i="1" s="1"/>
  <c r="T156" i="1" s="1"/>
  <c r="M119" i="3"/>
  <c r="K119" i="3"/>
  <c r="J119" i="3"/>
  <c r="M91" i="4" s="1"/>
  <c r="O91" i="4" s="1"/>
  <c r="M76" i="3"/>
  <c r="K76" i="3"/>
  <c r="J76" i="3"/>
  <c r="M60" i="4" s="1"/>
  <c r="O60" i="4" s="1"/>
  <c r="M91" i="3"/>
  <c r="J91" i="3"/>
  <c r="M71" i="4" s="1"/>
  <c r="O71" i="4" s="1"/>
  <c r="K91" i="3"/>
  <c r="K74" i="3"/>
  <c r="J74" i="3"/>
  <c r="M58" i="4" s="1"/>
  <c r="O58" i="4" s="1"/>
  <c r="M74" i="3"/>
  <c r="M27" i="3"/>
  <c r="K27" i="3"/>
  <c r="J27" i="3"/>
  <c r="M23" i="4" s="1"/>
  <c r="O23" i="4" s="1"/>
  <c r="M73" i="3"/>
  <c r="K73" i="3"/>
  <c r="J73" i="3"/>
  <c r="M57" i="4" s="1"/>
  <c r="O57" i="4" s="1"/>
  <c r="M42" i="3"/>
  <c r="J42" i="3"/>
  <c r="M34" i="4" s="1"/>
  <c r="O34" i="4" s="1"/>
  <c r="K42" i="3"/>
  <c r="T855" i="1"/>
  <c r="Q854" i="1"/>
  <c r="R854" i="1" s="1"/>
  <c r="U854" i="1" s="1"/>
  <c r="M29" i="3"/>
  <c r="J29" i="3"/>
  <c r="M25" i="4" s="1"/>
  <c r="O25" i="4" s="1"/>
  <c r="K29" i="3"/>
  <c r="M138" i="3"/>
  <c r="K138" i="3"/>
  <c r="J138" i="3"/>
  <c r="M106" i="4" s="1"/>
  <c r="O106" i="4" s="1"/>
  <c r="M62" i="3"/>
  <c r="K62" i="3"/>
  <c r="J62" i="3"/>
  <c r="M50" i="4" s="1"/>
  <c r="O50" i="4" s="1"/>
  <c r="M6" i="3"/>
  <c r="K6" i="3"/>
  <c r="J6" i="3"/>
  <c r="M6" i="4" s="1"/>
  <c r="O6" i="4" s="1"/>
  <c r="M150" i="3"/>
  <c r="K150" i="3"/>
  <c r="J150" i="3"/>
  <c r="M114" i="4" s="1"/>
  <c r="O114" i="4" s="1"/>
  <c r="M9" i="3"/>
  <c r="K9" i="3"/>
  <c r="J9" i="3"/>
  <c r="M9" i="4" s="1"/>
  <c r="O9" i="4" s="1"/>
  <c r="K45" i="3"/>
  <c r="M45" i="3"/>
  <c r="J45" i="3"/>
  <c r="M37" i="4" s="1"/>
  <c r="O37" i="4" s="1"/>
  <c r="L37" i="4"/>
  <c r="N37" i="4" s="1"/>
  <c r="L90" i="4"/>
  <c r="N90" i="4" s="1"/>
  <c r="M58" i="3"/>
  <c r="K58" i="3"/>
  <c r="J58" i="3"/>
  <c r="M46" i="4" s="1"/>
  <c r="O46" i="4" s="1"/>
  <c r="J104" i="3"/>
  <c r="M80" i="4" s="1"/>
  <c r="O80" i="4" s="1"/>
  <c r="M104" i="3"/>
  <c r="K104" i="3"/>
  <c r="K149" i="3"/>
  <c r="J149" i="3"/>
  <c r="M113" i="4" s="1"/>
  <c r="O113" i="4" s="1"/>
  <c r="M149" i="3"/>
  <c r="T419" i="1"/>
  <c r="T420" i="1" s="1"/>
  <c r="T421" i="1" s="1"/>
  <c r="T422" i="1" s="1"/>
  <c r="T423" i="1" s="1"/>
  <c r="Q423" i="1" s="1"/>
  <c r="R423" i="1" s="1"/>
  <c r="U423" i="1" s="1"/>
  <c r="Q417" i="1"/>
  <c r="R417" i="1" s="1"/>
  <c r="U417" i="1" s="1"/>
  <c r="M151" i="3"/>
  <c r="K151" i="3"/>
  <c r="J151" i="3"/>
  <c r="M115" i="4" s="1"/>
  <c r="O115" i="4" s="1"/>
  <c r="M89" i="3"/>
  <c r="K89" i="3"/>
  <c r="J89" i="3"/>
  <c r="M69" i="4" s="1"/>
  <c r="O69" i="4" s="1"/>
  <c r="J133" i="3"/>
  <c r="M101" i="4" s="1"/>
  <c r="O101" i="4" s="1"/>
  <c r="M133" i="3"/>
  <c r="K133" i="3"/>
  <c r="T671" i="1"/>
  <c r="T672" i="1" s="1"/>
  <c r="T673" i="1" s="1"/>
  <c r="T674" i="1" s="1"/>
  <c r="T675" i="1" s="1"/>
  <c r="Q675" i="1" s="1"/>
  <c r="R675" i="1" s="1"/>
  <c r="U675" i="1" s="1"/>
  <c r="Q669" i="1"/>
  <c r="R669" i="1" s="1"/>
  <c r="U669" i="1" s="1"/>
  <c r="Q156" i="1" l="1"/>
  <c r="R156" i="1" s="1"/>
  <c r="U156" i="1" s="1"/>
  <c r="T157" i="1"/>
  <c r="T158" i="1" s="1"/>
  <c r="Q158" i="1" l="1"/>
  <c r="R158" i="1" s="1"/>
  <c r="U158" i="1" s="1"/>
  <c r="T159" i="1"/>
</calcChain>
</file>

<file path=xl/comments1.xml><?xml version="1.0" encoding="utf-8"?>
<comments xmlns="http://schemas.openxmlformats.org/spreadsheetml/2006/main">
  <authors>
    <author>Unknown User</author>
  </authors>
  <commentList>
    <comment ref="E98" authorId="0" shapeId="0">
      <text>
        <r>
          <rPr>
            <sz val="12"/>
            <color theme="1"/>
            <rFont val="等线"/>
            <family val="2"/>
            <charset val="134"/>
            <scheme val="minor"/>
          </rPr>
          <t>18-21，21℃就可以开始加
  - 胡昌跃</t>
        </r>
      </text>
    </comment>
    <comment ref="E102" authorId="0" shapeId="0">
      <text>
        <r>
          <rPr>
            <sz val="12"/>
            <color theme="1"/>
            <rFont val="等线"/>
            <family val="2"/>
            <charset val="134"/>
            <scheme val="minor"/>
          </rPr>
          <t>与MOR的预警值不一致
  - 胡昌跃</t>
        </r>
      </text>
    </comment>
    <comment ref="E103" authorId="0" shapeId="0">
      <text>
        <r>
          <rPr>
            <sz val="12"/>
            <color theme="1"/>
            <rFont val="等线"/>
            <family val="2"/>
            <charset val="134"/>
            <scheme val="minor"/>
          </rPr>
          <t>MOR里是反应60min
  - 胡昌跃</t>
        </r>
      </text>
    </comment>
    <comment ref="E123" authorId="0" shapeId="0">
      <text>
        <r>
          <rPr>
            <sz val="12"/>
            <color theme="1"/>
            <rFont val="等线"/>
            <family val="2"/>
            <charset val="134"/>
            <scheme val="minor"/>
          </rPr>
          <t>预警值与MOR不一致，设置原则是什么，哪个是对的？
  - 胡昌跃</t>
        </r>
      </text>
    </comment>
    <comment ref="J599" authorId="0" shapeId="0">
      <text>
        <r>
          <rPr>
            <sz val="12"/>
            <color theme="1"/>
            <rFont val="等线"/>
            <family val="2"/>
            <charset val="134"/>
            <scheme val="minor"/>
          </rPr>
          <t>搅拌开
  - 胡昌跃</t>
        </r>
      </text>
    </comment>
  </commentList>
</comments>
</file>

<file path=xl/sharedStrings.xml><?xml version="1.0" encoding="utf-8"?>
<sst xmlns="http://schemas.openxmlformats.org/spreadsheetml/2006/main" count="5391" uniqueCount="757">
  <si>
    <r>
      <rPr>
        <sz val="10"/>
        <color rgb="FF000000"/>
        <rFont val="Times New Roman"/>
        <family val="1"/>
      </rPr>
      <t>Modules/模块</t>
    </r>
  </si>
  <si>
    <r>
      <rPr>
        <sz val="10"/>
        <color rgb="FF000000"/>
        <rFont val="Times New Roman"/>
        <family val="1"/>
      </rPr>
      <t>Tech/工艺</t>
    </r>
  </si>
  <si>
    <r>
      <rPr>
        <sz val="10"/>
        <color rgb="FF000000"/>
        <rFont val="Times New Roman"/>
        <family val="1"/>
      </rPr>
      <t>Equipment/设备</t>
    </r>
  </si>
  <si>
    <r>
      <rPr>
        <sz val="10"/>
        <color rgb="FF000000"/>
        <rFont val="Times New Roman"/>
        <family val="1"/>
      </rPr>
      <t>Synthesis reactor/合成釜</t>
    </r>
  </si>
  <si>
    <r>
      <rPr>
        <sz val="10"/>
        <color rgb="FF000000"/>
        <rFont val="Times New Roman"/>
        <family val="1"/>
      </rPr>
      <t>Recipe parameter/配方参数</t>
    </r>
  </si>
  <si>
    <r>
      <rPr>
        <sz val="10"/>
        <color rgb="FF000000"/>
        <rFont val="Times New Roman"/>
        <family val="1"/>
      </rPr>
      <t>氮气鼓泡</t>
    </r>
  </si>
  <si>
    <r>
      <rPr>
        <sz val="10"/>
        <color rgb="FF000000"/>
        <rFont val="Times New Roman"/>
        <family val="1"/>
      </rPr>
      <t>搅拌</t>
    </r>
  </si>
  <si>
    <r>
      <rPr>
        <sz val="10"/>
        <color rgb="FF000000"/>
        <rFont val="Times New Roman"/>
        <family val="1"/>
      </rPr>
      <t>保温</t>
    </r>
  </si>
  <si>
    <r>
      <rPr>
        <sz val="10"/>
        <color rgb="FF000000"/>
        <rFont val="Times New Roman"/>
        <family val="1"/>
      </rPr>
      <t>Activation tank/激活罐</t>
    </r>
  </si>
  <si>
    <r>
      <rPr>
        <sz val="10"/>
        <color rgb="FF000000"/>
        <rFont val="Times New Roman"/>
        <family val="1"/>
      </rPr>
      <t>Time/次数</t>
    </r>
  </si>
  <si>
    <r>
      <rPr>
        <sz val="10"/>
        <color rgb="FF000000"/>
        <rFont val="Times New Roman"/>
        <family val="1"/>
      </rPr>
      <t>配方物料名称</t>
    </r>
  </si>
  <si>
    <r>
      <rPr>
        <sz val="10"/>
        <color rgb="FF000000"/>
        <rFont val="Times New Roman"/>
        <family val="1"/>
      </rPr>
      <t>配方投料量/kg</t>
    </r>
  </si>
  <si>
    <r>
      <rPr>
        <sz val="10"/>
        <color rgb="FF000000"/>
        <rFont val="Times New Roman"/>
        <family val="1"/>
      </rPr>
      <t>配方中误差值/kg</t>
    </r>
  </si>
  <si>
    <r>
      <rPr>
        <sz val="10"/>
        <color rgb="FF000000"/>
        <rFont val="Times New Roman"/>
        <family val="1"/>
      </rPr>
      <t>辅助查询列</t>
    </r>
  </si>
  <si>
    <r>
      <rPr>
        <sz val="10"/>
        <color rgb="FF000000"/>
        <rFont val="Times New Roman"/>
        <family val="1"/>
      </rPr>
      <t>MOR 投料表</t>
    </r>
  </si>
  <si>
    <r>
      <rPr>
        <sz val="10"/>
        <color rgb="FF000000"/>
        <rFont val="Times New Roman"/>
        <family val="1"/>
      </rPr>
      <t>MOR投料表误差</t>
    </r>
  </si>
  <si>
    <r>
      <rPr>
        <sz val="10"/>
        <color rgb="FF000000"/>
        <rFont val="Times New Roman"/>
        <family val="1"/>
      </rPr>
      <t>操作</t>
    </r>
  </si>
  <si>
    <r>
      <rPr>
        <sz val="10"/>
        <color rgb="FF000000"/>
        <rFont val="Times New Roman"/>
        <family val="1"/>
      </rPr>
      <t>比对</t>
    </r>
  </si>
  <si>
    <r>
      <rPr>
        <sz val="10"/>
        <color rgb="FF000000"/>
        <rFont val="Times New Roman"/>
        <family val="1"/>
      </rPr>
      <t>误差差值</t>
    </r>
  </si>
  <si>
    <r>
      <rPr>
        <sz val="10"/>
        <color rgb="FF0000FF"/>
        <rFont val="Times New Roman"/>
        <family val="1"/>
      </rPr>
      <t>3.0 Pre-treatment 预处理</t>
    </r>
  </si>
  <si>
    <t>3.0(1) Water content/测水分</t>
  </si>
  <si>
    <t>Add 369.85kg DMF（5.69W,6.0Vol）by spray balls into activation tank TJ4S-1213-Sy16-R01.Start the agitator of activation tank to 115±5 rpm (target: 115 rpm). Stir for 10min±5min (target: 10min). Then transfer the solution into synthesis reactor TJ4S-1213-Sy16. Confirm complete transfer. Turn on the nitrogen of synthesis reactor to 8.5±4m³/h (target: 8.5 m³/h). Start the agitator of synthesis reactor to 20±10rpm (target: 20 rpm). Stir for 10min±5min (target: 10min). Stop the stirring and turn off the nitrogen. Sample the draining solution for water content analysis.Start draining the solution from synthesis reactor with diaphramp pump. Drain until there is no drip, the operator visually confirms the draining end point.If KF≤500ppm, move to next operation. If KF&gt;500 ppm, repeat Module 3.0 until KF≤500 ppm.
通过淋洗球向激活罐TJ4S-1213-Sy16-R01中加入369.85kg N,N-二甲基甲酰胺（5.69W,6.0Vol）（Acceptable weighing range/可接受称量范围：347.66kg~392.04kg），开启激活罐搅拌转速至115±5 rpm (目标转速: 115 rpm)。搅拌10min±5min（目标时间:10min）后，转移至固相合成釜TJ4S-1213-Sy16.中。开启合成釜下口鼓氮气，氮气流速开至8.5±4m³/h (目标流速: 8.5 m³/h)，开启固相合成釜搅拌转速至20±10 rpm (目标转速: 20 rpm)，搅拌10min±5min（目标时间:10min）后，停止搅拌，关闭氮气，取样检测体系KF，通过隔膜泵从合成釜中排出溶液。排液至无液体滴出，由操作人员目视确认排液终点。若含水≤500ppm，则进行下一操作；若含水＞500ppm，则重复进行模块3.0直至含水≤500ppm</t>
  </si>
  <si>
    <r>
      <rPr>
        <sz val="10"/>
        <color rgb="FF000000"/>
        <rFont val="Times New Roman"/>
        <family val="1"/>
      </rPr>
      <t>Rinse DMF_AT/DMF喷淋</t>
    </r>
  </si>
  <si>
    <t>[0min]Line-》DMF-Rinse-&gt;activation tank, weight setting: 369.85kg
[0min] 线路-》DMF-喷淋-&gt;激活罐, 打料量：369.85kg</t>
  </si>
  <si>
    <t>DMF</t>
  </si>
  <si>
    <r>
      <rPr>
        <sz val="10"/>
        <color rgb="FF000000"/>
        <rFont val="Times New Roman"/>
        <family val="1"/>
      </rPr>
      <t>Nitrogen_DMF/氮气吹扫-DMF喷淋</t>
    </r>
  </si>
  <si>
    <r>
      <rPr>
        <sz val="10"/>
        <color rgb="FF000000"/>
        <rFont val="Times New Roman"/>
        <family val="1"/>
      </rPr>
      <t>[0min]Line-》DMF Rinse-Nitrogen purge-&gt;activation tank, time setting: 0.1min
[0min] 线路-》DMF-喷淋-氮气吹扫-&gt;激活罐, 打料时间：0.1min</t>
    </r>
  </si>
  <si>
    <r>
      <rPr>
        <sz val="10"/>
        <color rgb="FF000000"/>
        <rFont val="Times New Roman"/>
        <family val="1"/>
      </rPr>
      <t>Stir_AT/搅拌</t>
    </r>
  </si>
  <si>
    <r>
      <rPr>
        <sz val="10"/>
        <color rgb="FF000000"/>
        <rFont val="Times New Roman"/>
        <family val="1"/>
      </rPr>
      <t>[0min]activation tank agitator-》Speed setting: 115r/min, time setting: 10min
[0min] 激活罐搅拌机-》转速：115r/min, 执行10min</t>
    </r>
  </si>
  <si>
    <r>
      <rPr>
        <sz val="10"/>
        <color rgb="FF000000"/>
        <rFont val="Times New Roman"/>
        <family val="1"/>
      </rPr>
      <t>时间控制</t>
    </r>
  </si>
  <si>
    <r>
      <rPr>
        <sz val="10"/>
        <color rgb="FF000000"/>
        <rFont val="Times New Roman"/>
        <family val="1"/>
      </rPr>
      <t>Synchronization/同步</t>
    </r>
  </si>
  <si>
    <r>
      <rPr>
        <sz val="10"/>
        <color rgb="FF000000"/>
        <rFont val="Times New Roman"/>
        <family val="1"/>
      </rPr>
      <t>Transfer AT_SR/转移</t>
    </r>
  </si>
  <si>
    <t>[0min]Line-》activation tank-&gt;synthesis reactor, according to human judgment.
[0min] 线路-》激活罐-&gt;合成釜（人工判定）, 人工判定！,</t>
  </si>
  <si>
    <r>
      <rPr>
        <sz val="10"/>
        <color rgb="FF000000"/>
        <rFont val="Times New Roman"/>
        <family val="1"/>
      </rPr>
      <t>Nitrogen_Transfer AT_SR/转移吹扫</t>
    </r>
  </si>
  <si>
    <r>
      <rPr>
        <sz val="10"/>
        <color rgb="FF000000"/>
        <rFont val="Times New Roman"/>
        <family val="1"/>
      </rPr>
      <t>[0min]Line-》Nitrogen purge for activation tank-&gt;synthesis reactor, time setting: 1min
[0min] 线路-》激活罐-氮气吹扫-&gt;合成釜, 打料时间：1min</t>
    </r>
  </si>
  <si>
    <r>
      <rPr>
        <sz val="10"/>
        <color rgb="FF000000"/>
        <rFont val="Times New Roman"/>
        <family val="1"/>
      </rPr>
      <t>Bubble_SR_On/氮气鼓泡开</t>
    </r>
  </si>
  <si>
    <t>[0min]Nitrogen bubbling -》Flow setting: 8.5m³/h, positive pressure, pressure setting: 0.005MPa, start-up
[0min] 鼓氮气-》流量:8.5m³/h, 正压, 设定压力0.005Mpa,启动</t>
  </si>
  <si>
    <r>
      <rPr>
        <sz val="10"/>
        <color rgb="FF000000"/>
        <rFont val="Times New Roman"/>
        <family val="1"/>
      </rPr>
      <t>打开</t>
    </r>
  </si>
  <si>
    <r>
      <rPr>
        <sz val="10"/>
        <color rgb="FF000000"/>
        <rFont val="Times New Roman"/>
        <family val="1"/>
      </rPr>
      <t>Stir_SR/搅拌</t>
    </r>
  </si>
  <si>
    <t>[0min]synthesis reactor agitator-》Speed setting: 20r/min, time setting: 10min
[0min] 合成釜搅拌机-》转速：20r/min, 执行10min</t>
  </si>
  <si>
    <r>
      <rPr>
        <sz val="10"/>
        <color rgb="FF000000"/>
        <rFont val="Times New Roman"/>
        <family val="1"/>
      </rPr>
      <t>Bubble_SR_Off/氮气鼓泡关</t>
    </r>
  </si>
  <si>
    <r>
      <rPr>
        <sz val="10"/>
        <color rgb="FF000000"/>
        <rFont val="Times New Roman"/>
        <family val="1"/>
      </rPr>
      <t>[0min]Nitrogen bubbling -》Flow setting: 8.5m³/h, positive pressure, pressure setting: 0.005MPa, shutdown
[0min] 鼓氮气-》流量:8.5m³/h, 正压, 设定压力0.005Mpa,停止</t>
    </r>
  </si>
  <si>
    <r>
      <rPr>
        <sz val="10"/>
        <color rgb="FF000000"/>
        <rFont val="Times New Roman"/>
        <family val="1"/>
      </rPr>
      <t>关闭</t>
    </r>
  </si>
  <si>
    <r>
      <rPr>
        <sz val="10"/>
        <color rgb="FF000000"/>
        <rFont val="Times New Roman"/>
        <family val="1"/>
      </rPr>
      <t>Pause_SR/暂停-取样</t>
    </r>
  </si>
  <si>
    <r>
      <rPr>
        <sz val="10"/>
        <color rgb="FF000000"/>
        <rFont val="Times New Roman"/>
        <family val="1"/>
      </rPr>
      <t>Pause:Execution type : Parallel-synthesis reactor
暂停-》 控制类型：并行-合成釜</t>
    </r>
  </si>
  <si>
    <r>
      <rPr>
        <sz val="10"/>
        <color rgb="FF000000"/>
        <rFont val="Times New Roman"/>
        <family val="1"/>
      </rPr>
      <t>Drain_SR_Waste/排废</t>
    </r>
  </si>
  <si>
    <t>[0min]Line-》synthesis reactor-&gt;waste tank（1）, according to human judgement.
[0min] 线路-》合成釜-&gt;废液罐（氨基酸活化后溶液&amp;洗脱_人工判定）,人工判定！,</t>
  </si>
  <si>
    <t>☐3.0 Pre-treatment 预处理</t>
  </si>
  <si>
    <t>3.0(2) Water content/测水分</t>
  </si>
  <si>
    <t>3.1 to 3.4 （1）Fmoc-Gly-OH coupling 芴甲氧羰基-甘氨酸偶联</t>
  </si>
  <si>
    <t>3.1.1 to 3.1.5 Resin swelling/树脂溶胀</t>
  </si>
  <si>
    <t>Adjust the synthesis reactor jacket temperature TJ4S-1213-Sy16 to 25±5℃ (target: 25℃).
 Add 65.00 kg 2-Chlorotrityl chloride resin (1.00eq) with powder feeding bags after dispensing. Rinse synthesis reactor (TJ4S-1213-Sy16) wall by spray balls with 492.70 kg (7.58W, 8.0Vol) DMF. Turn on the nitrogen of synthesis reactor to 8.5±4m³/h (target: 8.5 m³/h) .Bubble with nitrogen for 5±2min (target 5min). Then the agitator of synthesis reactor to 20±10rpm (target: 20 rpm). Adjust the internal temperature to 25±5℃ (target: 25℃). Continue stirring for 45±15min (target 45min) at 25±5℃ (target: 25℃), stop stirring, turn off the nitrogen. Start draining the solution from synthesis reactor with diaphramp pump. Drain until there is no drip, the operator visually confirms the draining end point.
将合成釜夹套调温至25±5℃ ( (目标温度：25℃) 
。通过投料袋向合成釜 TJ4S-1213-Sy16中加入65.00kg 2-氯三苯甲基氯树脂（1.00eq）（Acceptable weighing range/可接受称量范围：64.87~65.13 kg）。通过淋洗球向合成釜（TJ4S-1213-Sy16）中加入492.70 kg（7.58W,8.0Vol）N,N-二甲基甲酰胺（Acceptable weighing range/可接受称量范围：463.14kg~522.26kg）。开启合成釜下口鼓氮气，氮气流速开至8.5±4m³/h (目标流速: 8.5 m³/h), 鼓氮气5±2min (目标时间：5min)后，开启固相合成釜搅拌转速至20±10 rpm (目标转速: 20 rpm)。将内温调温至25±5℃(目标温度：25℃)，控内温25±5℃(目标温度：25℃)，继续搅拌45±15min (目标时间：45min)后停止搅拌，关闭氮气，通过隔膜泵从合成釜中排出溶液。排液至无液体滴出，由操作人员目视确认排液终点。</t>
  </si>
  <si>
    <r>
      <rPr>
        <sz val="10"/>
        <color rgb="FF000000"/>
        <rFont val="Times New Roman"/>
        <family val="1"/>
      </rPr>
      <t>JTR_SR_On/保温开</t>
    </r>
  </si>
  <si>
    <r>
      <rPr>
        <sz val="10"/>
        <color rgb="FF000000"/>
        <rFont val="Times New Roman"/>
        <family val="1"/>
      </rPr>
      <t>[0min]The jacket temperature of synthesis reactor-》Type: maintain, the jacket inlet temperature setting: 25℃, start-up
[0min] 合成釜:控温-》类型：保温, 夹套进口温度设定值:25℃,启动</t>
    </r>
  </si>
  <si>
    <r>
      <rPr>
        <sz val="10"/>
        <color rgb="FF000000"/>
        <rFont val="Times New Roman"/>
        <family val="1"/>
      </rPr>
      <t>TCT_AT/温控计时</t>
    </r>
  </si>
  <si>
    <t>[0min]Temperature control timing of activation tank-》Temperature range setting: 0-30℃, time setting: 0.1min. Over-temperature warning L/H limit: 2/28℃
[0min] 激活罐:温控计时反应-》温度区间0-30℃环境下反应0.1min.预警下限/上限2/28℃</t>
  </si>
  <si>
    <r>
      <rPr>
        <sz val="10"/>
        <color rgb="FF000000"/>
        <rFont val="Times New Roman"/>
        <family val="1"/>
      </rPr>
      <t>Manual add 2-Chlorotrityl chloride resin_SR/</t>
    </r>
    <r>
      <rPr>
        <i/>
        <sz val="10"/>
        <color rgb="FF000000"/>
        <rFont val="Times New Roman"/>
        <family val="1"/>
      </rPr>
      <t>手动投料</t>
    </r>
  </si>
  <si>
    <t>[0min]synthesis reactor: add by manual-》material: 2-Chlorotrityl chloride resin, weight setting: 65.00kg, weight error: 0.13kg
[0min] 合成釜:手动投料-》物料：2-Chlorotrityl chloride resin，投料重量：65.00kg，重量误差±0.13kg</t>
  </si>
  <si>
    <r>
      <rPr>
        <sz val="10"/>
        <color rgb="FF000000"/>
        <rFont val="Times New Roman"/>
        <family val="1"/>
      </rPr>
      <t>Add DMF_SR/DMF进料</t>
    </r>
  </si>
  <si>
    <t>[0min]Line-》DMF-&gt;synthesis reactor, weight setting: 492.70kg
[0min] 线路-》DMF-&gt;合成釜, 打料量：492.70kg</t>
  </si>
  <si>
    <t>3.1.3</t>
  </si>
  <si>
    <r>
      <rPr>
        <sz val="10"/>
        <color rgb="FF000000"/>
        <rFont val="Times New Roman"/>
        <family val="1"/>
      </rPr>
      <t>Nitrogen_DMF/氮气吹扫-DMF</t>
    </r>
  </si>
  <si>
    <r>
      <rPr>
        <sz val="10"/>
        <color rgb="FF000000"/>
        <rFont val="Times New Roman"/>
        <family val="1"/>
      </rPr>
      <t>[0min]Line-》Nitrogen purge-DMF-&gt;synthesis reactor: time setting: 0.1min
[0min] 线路-》DMF-氮气吹扫-&gt;合成釜, 打料时间：0.1min</t>
    </r>
  </si>
  <si>
    <r>
      <rPr>
        <sz val="10"/>
        <color rgb="FF000000"/>
        <rFont val="Times New Roman"/>
        <family val="1"/>
      </rPr>
      <t>[0min]Nitrogen bubbling -》Flow setting: 8.5m³/h, positive pressure, pressure setting: 0.005MPa, start-up
[0min] 鼓氮气-》流量:8.5m³/h, 正压, 设定压力0.005Mpa,启动</t>
    </r>
  </si>
  <si>
    <r>
      <rPr>
        <sz val="10"/>
        <color rgb="FF000000"/>
        <rFont val="Times New Roman"/>
        <family val="1"/>
      </rPr>
      <t>Stir_SR_On/搅拌开</t>
    </r>
  </si>
  <si>
    <r>
      <rPr>
        <sz val="10"/>
        <color rgb="FF000000"/>
        <rFont val="Times New Roman"/>
        <family val="1"/>
      </rPr>
      <t>[5min]synthesis reactor agitator-》Speed setting: 20r/min, start-up
[5min] 合成釜搅拌机-》转速：20r/min,启动</t>
    </r>
  </si>
  <si>
    <r>
      <rPr>
        <sz val="10"/>
        <color rgb="FF000000"/>
        <rFont val="Times New Roman"/>
        <family val="1"/>
      </rPr>
      <t>TCT_SR/确认达到温度范围</t>
    </r>
  </si>
  <si>
    <t>[0min]Temperature control timing of synthesis reactor-》Temperature range setting: 21-29℃, time setting: 0.1min.Over-temperature warning L/H limit: 22/28℃
[0min] 合成釜:温控计时反应-》温度区间21-29℃环境下反应0.1min.预警下限/上限22/28℃</t>
  </si>
  <si>
    <r>
      <rPr>
        <sz val="10"/>
        <color rgb="FF000000"/>
        <rFont val="Times New Roman"/>
        <family val="1"/>
      </rPr>
      <t>TCT_SR/温控计时</t>
    </r>
  </si>
  <si>
    <t>[0min]Temperature control timing of synthesis reactor-》Temperature range setting: 20-30℃, time setting: 45min. Over-temperature warning L/H limit: 22/28℃
[0min] 合成釜:温控计时反应-》温度区间20-30℃环境下反应45min.预警下限/上限22/28℃</t>
  </si>
  <si>
    <r>
      <rPr>
        <sz val="10"/>
        <color rgb="FF000000"/>
        <rFont val="Times New Roman"/>
        <family val="1"/>
      </rPr>
      <t>Stir_SR_Off/搅拌关</t>
    </r>
  </si>
  <si>
    <r>
      <rPr>
        <sz val="10"/>
        <color rgb="FF000000"/>
        <rFont val="Times New Roman"/>
        <family val="1"/>
      </rPr>
      <t>[0min]synthesis reactor agitator-》Speed setting: 20r/min, shutdown
[0min] 合成釜搅拌机-》转速：20r/min,停止</t>
    </r>
  </si>
  <si>
    <t>3.1.6 to 3.1.8 Dissolve/溶解</t>
  </si>
  <si>
    <t>Adjust the jacket temperature of activation tank TJ4S-1213-Sy16-R01 to 25±5℃ (target: 25℃). Add 369.85kg DMF (5.69W, 6vol) by spray balls into the activation tank TJ4S-1213-Sy16-R01. Start the agitator of activation tank to 115±5 rpm (target: 115 rpm). Add Fmoc-Gly-OH with powder feeding bags into the activation tank TJ4S-1213-Sy16-R01. Rinse the port of the activation tank TJ4S-1213-Sy16-R01 with 61.75kg (0.95W, 1.0vol) DMF by spray balls. Adjust internal temperature of the mixture to 15±5℃. Continue agitation of activation tank to 115±5 rpm (target: 115 rpm). Maintain stirring for NLT 15min at 15±5℃ (target: 15℃).Confirm no visible solids and later use.
将激活罐TJ4S-1213-Sy16-R01夹套调温至25±5℃（目标温度：25℃）。向激活罐TJ4S-1213-Sy16-R01中加入369.85kg N,N-二甲基甲酰胺（5.69W, 6.0vol）（Acceptable weighing range/可接受称量范围：351.36kg~388.34kg），开启激活罐搅拌转速至115±5 rpm (目标转速: 115 rpm)。通过投料袋向激活罐TJ4S-1213-Sy16-R01中加入_________ kg芴甲氧羰基-甘氨酸（2.25eq）（Acceptable weighing range//可接受称量范围：_________  kg ~_________ kg）。通过淋洗球用61.75kg N,N-二甲基甲酰胺（0.95W, 1.0vol）（Acceptable weighing range/可接受称量范围：58.05kg~65.46kg）淋洗激活罐投料口。内温调温至15±5℃。控内温15±5℃（目标温度:15℃），维持激活罐搅拌转速至115±5 rpm (目标转速: 115 rpm)，继续搅拌至少15min，确认无明显固体，待用。</t>
  </si>
  <si>
    <t>JTR_AT_On/保温开</t>
  </si>
  <si>
    <t>[0min]The jacket temperature of activation tank-》Type: maintain, the jacket temperature setting: 25℃, start-up
[0min] 激活罐:控温-》类型：保温, 夹套进口温度设定值:25℃,启动</t>
  </si>
  <si>
    <t>3.1.6</t>
  </si>
  <si>
    <r>
      <rPr>
        <sz val="10"/>
        <color rgb="FF000000"/>
        <rFont val="Times New Roman"/>
        <family val="1"/>
      </rPr>
      <t>Add DMF_AT/DMF进料</t>
    </r>
  </si>
  <si>
    <r>
      <rPr>
        <sz val="10"/>
        <color rgb="FF000000"/>
        <rFont val="Times New Roman"/>
        <family val="1"/>
      </rPr>
      <t>Stir_AT_On/搅拌开</t>
    </r>
  </si>
  <si>
    <r>
      <rPr>
        <sz val="10"/>
        <color rgb="FF000000"/>
        <rFont val="Times New Roman"/>
        <family val="1"/>
      </rPr>
      <t>[0min]Activation tank agitator-》Speed setting: 115r/min, start-up
[0min] 激活罐搅拌机-》转速：115r/min,启动</t>
    </r>
  </si>
  <si>
    <r>
      <rPr>
        <sz val="10"/>
        <color rgb="FF000000"/>
        <rFont val="Times New Roman"/>
        <family val="1"/>
      </rPr>
      <t>Manual add Fmoc-Gly-OH_AT/手动投料</t>
    </r>
  </si>
  <si>
    <r>
      <rPr>
        <sz val="10"/>
        <color rgb="FF000000"/>
        <rFont val="Times New Roman"/>
        <family val="1"/>
      </rPr>
      <t>[0min]Activation tank: add by manual-》material: Fmoc-Gly-OH, weight setting: ______kg, weight error: ±______kg
[0min] 激活罐:手动投料-》物料：Fmoc-Gly-OH，投料重量：______kg，重量误差±______kg</t>
    </r>
  </si>
  <si>
    <r>
      <rPr>
        <sz val="10"/>
        <color rgb="FF000000"/>
        <rFont val="Times New Roman"/>
        <family val="1"/>
      </rPr>
      <t>Rinse-Feeding port DMF_AT/激活罐DMF喷淋投料口</t>
    </r>
  </si>
  <si>
    <t>[0min]Line-》DMF Rinse-Feeding port-&gt;activation tank, weight setting: 61.75kg
[0min] 线路-》DMF-喷淋-固体喷淋-&gt;激活罐, 打料量：61.75kg</t>
  </si>
  <si>
    <t>3.1.8</t>
  </si>
  <si>
    <r>
      <rPr>
        <sz val="10"/>
        <color rgb="FF000000"/>
        <rFont val="Times New Roman"/>
        <family val="1"/>
      </rPr>
      <t>Nitrogen purge-Feeding port/氮气吹扫-固体</t>
    </r>
  </si>
  <si>
    <r>
      <rPr>
        <sz val="10"/>
        <color rgb="FF000000"/>
        <rFont val="Times New Roman"/>
        <family val="1"/>
      </rPr>
      <t>[0min]Line-》Nitrogen purge DMF Rinse-Feeding port-&gt;activation tank, time setting: 0.1min
[0min] 线路-》DMF-喷淋--固体喷淋-氮气吹扫-&gt;激活罐,打料时间：0.1min</t>
    </r>
  </si>
  <si>
    <t>JTR_AT_Off/保温关</t>
  </si>
  <si>
    <t>[0min]The jacket temperature of activation tank-》Type: maintain, the jacket temperature setting: 25℃, shutdown
[0min] 激活罐:控温-》类型：保温, 夹套进口温度设定值:25℃,停止</t>
  </si>
  <si>
    <r>
      <rPr>
        <sz val="10"/>
        <color rgb="FF000000"/>
        <rFont val="Times New Roman"/>
        <family val="1"/>
      </rPr>
      <t>JTR_AT_On/保温开</t>
    </r>
  </si>
  <si>
    <r>
      <rPr>
        <sz val="10"/>
        <color rgb="FF000000"/>
        <rFont val="Times New Roman"/>
        <family val="1"/>
      </rPr>
      <t>[0min]The jacket temperature of activation tank-》Type: maintain, the jacket temperature setting: 10℃, start-up
[0min] 激活罐:控温-》类型：保温, 夹套进口温度设定值:10℃,启动</t>
    </r>
  </si>
  <si>
    <r>
      <rPr>
        <sz val="10"/>
        <color rgb="FF000000"/>
        <rFont val="Times New Roman"/>
        <family val="1"/>
      </rPr>
      <t>TCT_AT/确认达到温度范围</t>
    </r>
  </si>
  <si>
    <t>[0min]Temperature control timing of activation tank-》Temperature range setting: 10-20℃, time setting: 0.1min. Over-temperature warning L/H limit: 12/18℃
[0min] 激活罐:温控计时反应-》温度区间10-20℃环境下反应0.1min.预警下限/上限12/18℃</t>
  </si>
  <si>
    <t>TCT_AT/搅拌15min</t>
  </si>
  <si>
    <t>[0min]Temperature control timing of activation tank-》Temperature range setting: 10-20℃, time setting: 15min. Over-temperature warning L/H limit: 12/18℃
[0min] 激活罐:温控计时反应-》温度区间10-20℃环境下反应15min.预警下限/上限12/18℃</t>
  </si>
  <si>
    <t>TCT_AT/温控计时-确认无明显固体</t>
  </si>
  <si>
    <t>[0min]Temperature control timing of activation tank-》Temperature range setting: 10-20℃, time setting: 9999min. Over-temperature warning L/H limit: 12/18℃
[0min] 激活罐:温控计时反应-》温度区间10-20℃环境下反应9999min.预警下限/上限12/18℃</t>
  </si>
  <si>
    <t>3.1.9 and 3.1.10  Wash resin/树脂洗涤</t>
  </si>
  <si>
    <t>Add 308.10kg DMF (4.740W, 5.0Vol) by spray balls into synthesis reactor TJ4S-1213-Sy16.
 Turn on the nitrogen of synthesis reactor to 8.5±4m³/h (target: 8.5 m³/h).Bubble with nitrogen for 5±2 min (target: 5min). .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通过淋洗球向合成釜TJ4S-1213-Sy16中加入308.10kg N,N-二甲基甲酰胺（4.74W, 5.0Vol）。（Acceptable weighing range/可接受称量范围：289.61kg~326.59kg）。
开启合成釜下口鼓氮气，氮气流速开至8.5±4m³/h (目标流速: 8.5 m³/h)，鼓氮气5±2min (目标时间：5min)后，开启固相合成釜搅拌转速至20±10 rpm (目标转速: 20 rpm)，搅拌10±2min（目标时间：10min）后，停止搅拌，关闭氮气，通过隔膜泵从合成釜中排出溶液。排液至无液体滴出，由操作人员目视确认排液终点。</t>
  </si>
  <si>
    <r>
      <rPr>
        <sz val="10"/>
        <color rgb="FF000000"/>
        <rFont val="Times New Roman"/>
        <family val="1"/>
      </rPr>
      <t>[0min]Line-》DMF-&gt;synthesis reactor, weight setting: 308.10kg
[0min] 线路-》DMF-&gt;合成釜, 打料量：308.10kg</t>
    </r>
  </si>
  <si>
    <t>3.1.9</t>
  </si>
  <si>
    <r>
      <rPr>
        <sz val="10"/>
        <color rgb="FF000000"/>
        <rFont val="Times New Roman"/>
        <family val="1"/>
      </rPr>
      <t>[5min]synthesis reactor agitator-》Speed setting: 20r/min, time setting: 10min
[5min] 合成釜搅拌机-》转速：20r/min, 执行10min</t>
    </r>
  </si>
  <si>
    <r>
      <rPr>
        <sz val="10"/>
        <color rgb="FF0000FF"/>
        <rFont val="Times New Roman"/>
        <family val="1"/>
      </rPr>
      <t>3.2.1 and 3.2.2 Activate/活化</t>
    </r>
  </si>
  <si>
    <t>Add DIPEA (6.00eq) into activation tank TJ4S-1213-Sy16-R01 through metering pump at a reference rate of 20~40 kg/h at 15±5℃ (target: 15℃). The addition rate depends on temperature control. 
At 15±5℃ (target: 15℃). Continue agitation of activation tank to 115±5 rpm (target: 115 rpm).  Stir for Maintain stirring for 5±5min (Target:5min) after addition.
控内温15±5℃ (目标温度：15℃)，向激活罐TJ4S-1213-Sy16-R01通过计量泵加入______  kg N,N-二异丙基乙胺（6.00eq）（Acceptable weighing range/可接受称量范围：_______kg~_______kg），参考加料速度20~40kg/h，实际以控内温为主。控内温15±5℃(目标温度：15℃)，维持激活罐搅拌转速至115±5 rpm (目标转速: 115 rpm)，继续搅拌5±5min(目标时间：5min)。</t>
  </si>
  <si>
    <r>
      <rPr>
        <sz val="10"/>
        <color rgb="FF000000"/>
        <rFont val="Times New Roman"/>
        <family val="1"/>
      </rPr>
      <t>Drip DIPEA_AT/向激活罐中加入DIPEA</t>
    </r>
  </si>
  <si>
    <r>
      <rPr>
        <sz val="10"/>
        <color rgb="FF000000"/>
        <rFont val="Times New Roman"/>
        <family val="1"/>
      </rPr>
      <t>[0min]Drip 2-》Material: DIPEA, weight setting:______kg, the time of the drip: 60min, the temperature of start drip range setting: 10-17℃, the temperature of stop drip range setting: 10-18℃
[0min] 滴加线路2-》物料：DIPEA, 滴加重量：______  kg, 滴加时间：60min,泵启上下限：10-17℃, 泵停上下限：10-18℃</t>
    </r>
  </si>
  <si>
    <r>
      <rPr>
        <sz val="10"/>
        <color rgb="FF000000"/>
        <rFont val="Times New Roman"/>
        <family val="1"/>
      </rPr>
      <t>Nitrogen purge_DIPEA/氮气吹扫-DIPEA</t>
    </r>
  </si>
  <si>
    <r>
      <rPr>
        <sz val="10"/>
        <color rgb="FF000000"/>
        <rFont val="Times New Roman"/>
        <family val="1"/>
      </rPr>
      <t>[0min]Line-》Nitrogen purge-Drip 2-&gt;activation tank, time setting: 0.1min
[0min] 线路-》氮气吹扫滴加线路2-&gt;激活罐, 打料时间：0.1min</t>
    </r>
  </si>
  <si>
    <t>TCT_AT/搅拌5min</t>
  </si>
  <si>
    <t>[0min]Temperature control timing of activation tank-》Temperature range setting: 10-20℃, time setting: 5min. Over-temperature warning L/H limit: 12/18℃
[0min] 激活罐:温控计时反应-》温度区间10-20℃环境下反应5min.预警下限/上限12/18℃</t>
  </si>
  <si>
    <r>
      <rPr>
        <sz val="10"/>
        <color rgb="FF000000"/>
        <rFont val="Times New Roman"/>
        <family val="1"/>
      </rPr>
      <t>Stir_AT_Off/搅拌关</t>
    </r>
  </si>
  <si>
    <r>
      <rPr>
        <sz val="10"/>
        <color rgb="FF000000"/>
        <rFont val="Times New Roman"/>
        <family val="1"/>
      </rPr>
      <t>[0min]Activation tank agitator-》Speed setting: 115r/min, shutdown
[0min] 激活罐搅拌机-》转速：115r/min,停止</t>
    </r>
  </si>
  <si>
    <t>Stir_AT_On/搅拌开</t>
  </si>
  <si>
    <t>[0min]Activation tank agitator-》Speed setting: 30r/min, start-up
[0min] 激活罐搅拌机-》转速：30r/min,启动</t>
  </si>
  <si>
    <r>
      <rPr>
        <sz val="10"/>
        <color rgb="FF0000FF"/>
        <rFont val="Times New Roman"/>
        <family val="1"/>
      </rPr>
      <t>3.3.1 and 3.3.2 Transfer/转移</t>
    </r>
  </si>
  <si>
    <t>Transfer the mixture in activation tank TJ4S-1213-Sy16-R01 into synthesis reactor TJ4S-1213-Sy16.
 Add 61.75 kg DMF (0.95W, 1.0Vol) by spray balls into activation tank TJ4S-1213-Sy16 to rinse the wall.
将激活罐TJ4S-1213-Sy16-R01中体系转移至合成釜中TJ4S-1213-Sy16。
转移完毕，通过淋洗球向激活罐TJ4S-1213-Sy16-R01中加入61.75 kg N,N-二甲基甲酰胺（0.95W，1.0Vol）（Acceptable weighing range/可接受称量范围：58.05kg~65.46kg）淋洗釜壁。</t>
  </si>
  <si>
    <t>Stir_AT_Off/搅拌关</t>
  </si>
  <si>
    <t>[0min]Activation tank agitator-》Speed setting: 30r/min, shutdown
[0min] 激活罐搅拌机-》转速：30r/min,停止</t>
  </si>
  <si>
    <t>[0min]Line-》DMF-Rinse-&gt;activation tank, weight setting: 61.75kg
[0min] 线路-》DMF-喷淋-&gt;激活罐, 打料量：61.75kg</t>
  </si>
  <si>
    <t>3.3.2</t>
  </si>
  <si>
    <r>
      <rPr>
        <sz val="10"/>
        <color rgb="FF0000FF"/>
        <rFont val="Times New Roman"/>
        <family val="1"/>
      </rPr>
      <t>3.3.3 to 3.3.5 （1）Coupling/偶联</t>
    </r>
  </si>
  <si>
    <t>Turn on the nitrogen of synthesis reactor to 8.5±4m³/h (target: 8.5 m³/h). Bubble with nitrogen for 5±2min (target: 5min).Start the agitator of synthesis reactor to 20±10rpm (target: 20 rpm). Transfer the mixture(DMF) from the activation tank TJ4S-1213-Sy16-R01 to the synthesis reactor TJ4S-1213-Sy16.
 Adjust temperature to 25±5℃ in synthesis reactor TJ4S-1213-Sy16. The mixture is allowed to react at internal temperature【25±5℃ (target: 25℃, starts timing when the temperature reaches 20℃)】for 2.5h~5.0h (target:3h).Stop stirring,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rpm)，将激活罐TJ4S-1213-Sy16-R01中体系转移至合成釜TJ4S-1213-Sy16中。
合成釜TJ4S-1213-Sy16内温调温至25±5℃。控内温【25±5℃（目标温度:25℃）】（保温开始以温度达到20℃开始计时），反应2.5h~5.0h（目标时间:3h）.停止搅拌，关闭氮气，通过隔膜泵从合成釜中排出溶液。排液至无液体滴出，由操作人员目视确认排液终点。</t>
  </si>
  <si>
    <t>[5min]synthesis reactor agitator-》Speed setting: 20r/min, start-up
[5min] 合成釜搅拌机-》转速：20r/min,启动</t>
  </si>
  <si>
    <r>
      <rPr>
        <sz val="10"/>
        <color rgb="FF000000"/>
        <rFont val="Times New Roman"/>
        <family val="1"/>
      </rPr>
      <t>JTR_AT_Off/保温关</t>
    </r>
  </si>
  <si>
    <r>
      <rPr>
        <sz val="10"/>
        <color rgb="FF000000"/>
        <rFont val="Times New Roman"/>
        <family val="1"/>
      </rPr>
      <t>[0min]The jacket temperature of activation tank-》Type: maintain, the jacket temperature setting: 10℃, shutdown
[0min] 激活罐:控温-》类型：保温, 夹套进口温度设定值:10℃,停止</t>
    </r>
  </si>
  <si>
    <r>
      <rPr>
        <sz val="10"/>
        <color rgb="FF000000"/>
        <rFont val="Times New Roman"/>
        <family val="1"/>
      </rPr>
      <t>Pause_AT/暂停-确认转移完全</t>
    </r>
  </si>
  <si>
    <r>
      <rPr>
        <sz val="10"/>
        <color rgb="FF000000"/>
        <rFont val="Times New Roman"/>
        <family val="1"/>
      </rPr>
      <t>Pause:Execution type : Parallel-Activation Tank
暂停-》 控制类型：并行-激活罐</t>
    </r>
  </si>
  <si>
    <t>[0min]Temperature control timing of synthesis reactor-》Temperature range setting: 20-30℃, time setting: 0.1min. Over-temperature warning L/H limit: 22/28℃
[0min] 合成釜:温控计时反应-》温度区间20-30℃环境下反应0.1min.预警下限/上限22/28℃</t>
  </si>
  <si>
    <r>
      <rPr>
        <sz val="10"/>
        <color rgb="FF000000"/>
        <rFont val="Times New Roman"/>
        <family val="1"/>
      </rPr>
      <t>TCT_SR/</t>
    </r>
    <r>
      <rPr>
        <i/>
        <sz val="10"/>
        <color rgb="FF000000"/>
        <rFont val="Times New Roman"/>
        <family val="1"/>
      </rPr>
      <t>温控计时</t>
    </r>
  </si>
  <si>
    <t>[0min]Temperature control timing of synthesis reactor-》Temperature range setting: 20-30℃, time setting: 180min. Over-temperature warning L/H limit: 22/28℃
[0min] 合成釜:温控计时反应-》温度区间20-30℃环境下反应180min.预警下限/上限22/28℃</t>
  </si>
  <si>
    <r>
      <rPr>
        <sz val="10"/>
        <color rgb="FF000000"/>
        <rFont val="Times New Roman"/>
        <family val="1"/>
      </rPr>
      <t>JTR_SR_Off/保温关</t>
    </r>
  </si>
  <si>
    <t>[0min]The jacket temperature of synthesis reactor-》Type: maintain, the jacket inlet temperature setting: 25℃, shutdown
[0min] 合成釜:控温-》类型：保温, 夹套进口温度设定值:25℃,停止</t>
  </si>
  <si>
    <t>[0min]The jacket temperature of synthesis reactor-》Type: maintain, the jacket inlet temperature setting: 17℃, start-up
[0min] 合成釜:控温-》类型：保温, 夹套进口温度设定值:17℃,启动</t>
  </si>
  <si>
    <t>3.3.6 and 3.3.7 Wash activation tank and wash resin/激活罐洗涤和树脂洗涤</t>
  </si>
  <si>
    <t>Rinse the activation tank TJ4S-1213-Sy16-R01 with 492.70kg DMF (7.58W ,8.0Vol) by spray balls.Circulate and clean the activating liquid transfer pipeline 1, liquid charging port cleaning pipeline 2 and solid charging port cleaning pipeline 3, clean every pipeline for 2±1min.
 After the liquid is filtered out of the synthesis reactor TJ4S-1213-Sy16 and transfer the liquid to the synthesis reactor TJ4S-1213-Sy16. Bubble with nitrogenTurn on the nitrogen of synthesis reactor to 8.5±4m³/h (target: 8.5 m³/h), Bubble with nitrogen afterfor 5±2 min(target:5min), . Start the agitator of synthesis reactor to 20±10rpm (target: 20 rpm).
start the agitator. After stirring for 10±2min (target: 10min), stop stirring, 
turn off the nitrogen. Start draing the solution from synthesis reactor with diaphramp pump. Drain until there is no drip, the operator visually confirms the draining end point.
通过淋洗球向激活罐TJ4S-1213-Sy16-R01中加入492.70kg N, N-二甲基甲酰胺（7.58W ,8.0Vol）（Acceptable weighing range/可接受称量范围：463.14kg~522.26kg），循环清洗激活液转移管路1，和液体加料口清洗管路2和固体加料口清洗管路3，每条线路各清洗2±1min。
待合成釜排废完毕后将激活罐中体系转移至合成釜中，开启合成釜下口鼓氮气，氮气流速开至8.5±4m³/h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</si>
  <si>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[0min]Line-》DMF-Rinse-&gt;activation tank, weight setting: 492.70kg 
[0min] 线路-》DMF-喷淋-&gt;激活罐, 打料量：492.70kg</t>
  </si>
  <si>
    <t>3.3.6</t>
  </si>
  <si>
    <r>
      <rPr>
        <sz val="10"/>
        <color rgb="FF000000"/>
        <rFont val="Times New Roman"/>
        <family val="1"/>
      </rPr>
      <t>Circ.Clean L1/循环清洗1</t>
    </r>
  </si>
  <si>
    <r>
      <rPr>
        <sz val="10"/>
        <color rgb="FF000000"/>
        <rFont val="Times New Roman"/>
        <family val="1"/>
      </rPr>
      <t>[0min]Line-》Cycle cleaning  for activation tank-&gt;activation tank, time setting: 2min
[0min] 线路-》激活罐循环清洗-&gt;激活罐, 打料时间：2min</t>
    </r>
  </si>
  <si>
    <r>
      <rPr>
        <sz val="10"/>
        <color rgb="FF000000"/>
        <rFont val="Times New Roman"/>
        <family val="1"/>
      </rPr>
      <t>Nitrogen purge L1/氮气压回1</t>
    </r>
  </si>
  <si>
    <r>
      <rPr>
        <sz val="10"/>
        <color rgb="FF000000"/>
        <rFont val="Times New Roman"/>
        <family val="1"/>
      </rPr>
      <t>[0min]Line-》Cycle cleaning  for activation tank -&gt; Nitrogen purge-&gt;activation tank, time setting: 1min
[0min] 线路-》激活罐循环-氮气压回-&gt;激活罐, 打料时间：1min</t>
    </r>
  </si>
  <si>
    <r>
      <rPr>
        <sz val="10"/>
        <color rgb="FF000000"/>
        <rFont val="Times New Roman"/>
        <family val="1"/>
      </rPr>
      <t>Circ.Clean L2/循环清洗2</t>
    </r>
  </si>
  <si>
    <r>
      <rPr>
        <sz val="10"/>
        <color rgb="FF000000"/>
        <rFont val="Times New Roman"/>
        <family val="1"/>
      </rPr>
      <t>[0min]Line-》Cycle cleaning 2 for activation tank-&gt;activation tank, time setting: 2min
[0min] 线路-》激活罐循环清洗2-&gt;激活罐, 打料时间：2min</t>
    </r>
  </si>
  <si>
    <r>
      <rPr>
        <sz val="10"/>
        <color rgb="FF000000"/>
        <rFont val="Times New Roman"/>
        <family val="1"/>
      </rPr>
      <t>Nitrogen purge L2/氮气压回2</t>
    </r>
  </si>
  <si>
    <r>
      <rPr>
        <sz val="10"/>
        <color rgb="FF000000"/>
        <rFont val="Times New Roman"/>
        <family val="1"/>
      </rPr>
      <t>[0min]Cycle cleaning  for activation tank -&gt; Nitrogen purge2-&gt;activation tank, time setting: 1min
[0min] 线路-》激活罐循环-氮气压回2-&gt;激活罐, 打料时间：1min</t>
    </r>
  </si>
  <si>
    <r>
      <rPr>
        <sz val="10"/>
        <color rgb="FF000000"/>
        <rFont val="Times New Roman"/>
        <family val="1"/>
      </rPr>
      <t>Circ.Clean L3/循环清洗3</t>
    </r>
  </si>
  <si>
    <r>
      <rPr>
        <sz val="10"/>
        <color rgb="FF000000"/>
        <rFont val="Times New Roman"/>
        <family val="1"/>
      </rPr>
      <t>[0min]Line-》Cycle cleaning 3 for activation tank-&gt;activation tank, time setting: 2min
[0min] 线路-》激活罐循环清洗3-&gt;激活罐, 打料时间：2min</t>
    </r>
  </si>
  <si>
    <r>
      <rPr>
        <sz val="10"/>
        <color rgb="FF000000"/>
        <rFont val="Times New Roman"/>
        <family val="1"/>
      </rPr>
      <t>Nitrogen purge L3/氮气压回3</t>
    </r>
  </si>
  <si>
    <r>
      <rPr>
        <sz val="10"/>
        <color rgb="FF000000"/>
        <rFont val="Times New Roman"/>
        <family val="1"/>
      </rPr>
      <t>[0min]Cycle cleaning  for activation tank -&gt; Nitrogen purge3-&gt;activation tank, time setting: 1min
[0min] 线路-》激活罐循环-氮气压回3-&gt;激活罐, 打料时间：1min</t>
    </r>
  </si>
  <si>
    <t>[0min]Temperature control timing of activation tank-》Temperature range setting: 0-30℃, time setting: 0.1min. Over-temperature warning L/H limit: 2/28℃
[0min] 激活罐:温控计时反应-》温度区间0-30℃环境下反应0.1min. 预警下限/上限2/28℃</t>
  </si>
  <si>
    <r>
      <rPr>
        <sz val="10"/>
        <color rgb="FF0000FF"/>
        <rFont val="Times New Roman"/>
        <family val="1"/>
      </rPr>
      <t>3.4.1 to 3.4.5 Capping/封端</t>
    </r>
  </si>
  <si>
    <t>Add 554.45 kg DMF (8.53W, 9.0Vol) by spray balls into synthesis reactor TJ4S-1213-Sy16. Turn on the nitrogen of synthesis reactor to 8.5±4m³/h (target: 8.5 m³/h). Bubble with nitrogen for 5±2min (target: 5min), start the agitator of synthesis reactor to 20±10rpm (target: 20 rpm). Add methanol (10.00eq) through peristaltic pump into synthesis reactor TJ4S-1213-Sy16. Adjust the internal temperature to 17~23℃(Target:20℃). Add DIPEA ( 5.00eq) (reference rate of 20~40 kg/h) into synthesis reactor TJ4S-1213-Sy16 at【17~23℃】（Target:20 ℃）. Adjust synthesis reactor TJ4S-1213-Sy16 internal temperature to 25±5 ℃ (target: 25 ℃) after addition.The mixture is allowed to react at internal temperature 25±5℃ (target: 25℃), start timing when temperature reaches 20℃) for 60min±30min (target: 60min), Start draining the solution from synthesis reactor with diaphragm pump. Drain until there is no drip, the operator visually confirms the draining end point.
通过淋洗球向合成釜TJ4S-1213-Sy16中加入554.45 kg N,N-二甲基甲酰胺（8.53W, 9Vol）（Acceptable weighing range/可接受称量范围：521.18kg~587.72kg），开启合成釜下口鼓氮气，氮气流速开至8.5±4m³/h (目标流速: 8.5 m³/h)，鼓氮气5min±2min（目标时间：5min）后，开启固相合成釜搅拌转速至20±10 rpm (目标转速: 20 rpm)。
通过蠕动泵向合成釜TJ4S-1213-Sy16中加入______ kg甲醇（10.00eq）（Acceptable weighing range/可接受称量范围：______  kg~______  kg），将内温调温至17~23℃（目标温度：20℃）。控内温【17~23℃】（目标温度20℃），向合成釜TJ4S-1213-Sy16中加入_________  kg N,N-二异丙基乙胺（5.00eq）（Acceptable weighing range/可接受称量范围：_________ kg~_________kg），参考滴加速度20~40kg/h,以控内温为主。加毕，将合成釜TJ4S-1213-Sy16内温调温至25±5 ℃(目标温度：25 ℃)。控内温25±5℃（目标温度25℃，20℃开始计时），反应60min±30min（目标时间：60min），停止搅拌，关闭氮气，通过隔膜泵从合成釜中排出溶液。排液至无液体滴出，由操作人员目视确认排液终点。</t>
  </si>
  <si>
    <t>[0min]Line-》DMF-&gt;synthesis reactor, weight setting: 554.45kg
[0min] 线路-》DMF-&gt;合成釜, 打料量：554.45kg</t>
  </si>
  <si>
    <t>3.4.1</t>
  </si>
  <si>
    <t>[0min]Line-》Nitrogen purge-DMF-&gt;synthesis reactor: time setting: 0.1min
[0min] 线路-》DMF-氮气吹扫-&gt;合成釜, 打料时间：0.1min</t>
  </si>
  <si>
    <r>
      <rPr>
        <sz val="10"/>
        <color rgb="FF000000"/>
        <rFont val="Times New Roman"/>
        <family val="1"/>
      </rPr>
      <t>TCT_SR/温控计时-加甲醇</t>
    </r>
  </si>
  <si>
    <t>[0min]Temperature control timing of synthesis reactor-》Temperature range setting: 0-30℃, time setting: 9999min. Over-temperature warning L/H limit: 2/28℃
[0min] 合成釜:温控计时反应-》温度区间0-30℃环境下反应9999min.预警下限/上限2/28℃</t>
  </si>
  <si>
    <t>[0min]Temperature control timing of synthesis reactor-》Temperature range setting: 17-20℃, time setting: 0.1min. Over-temperature warning L/H limit: 18/20℃
[0min] 合成釜:温控计时反应-》温度区间17-20℃环境下反应0.1min.预警下限/上限18/20℃</t>
  </si>
  <si>
    <r>
      <rPr>
        <sz val="10"/>
        <color rgb="FF000000"/>
        <rFont val="Times New Roman"/>
        <family val="1"/>
      </rPr>
      <t>TCT_SR/温控计时-加DIPEA</t>
    </r>
  </si>
  <si>
    <t>[0min]Temperature control timing of synthesis reactor-》Temperature range setting: 17-23℃, time setting: 9999min. Over-temperature warning L/H limit: 18/22℃
[0min] 合成釜:温控计时反应-》温度区间17-23℃环境下反应9999min.预警下限/上限18/22℃</t>
  </si>
  <si>
    <t>[0min]The jacket temperature of synthesis reactor-》Type: maintain, the jacket inlet temperature setting: 17℃, shutdown
[0min] 合成釜:控温-》类型：保温, 夹套进口温度设定值:17℃,停止</t>
  </si>
  <si>
    <r>
      <rPr>
        <sz val="10"/>
        <color rgb="FF000000"/>
        <rFont val="Times New Roman"/>
        <family val="1"/>
      </rPr>
      <t>[0min]The jacket temperature of synthesis reactor-》Type: maintain, the jacket inlet temperature setting: 26℃, start-up
[0min] 合成釜:控温-》类型：保温, 夹套进口温度设定值:26℃,启动</t>
    </r>
  </si>
  <si>
    <t>[0min]Temperature control timing of synthesis reactor-》Temperature range setting: 20-30℃, time setting: 60min. Over-temperature warning L/H limit: 22/28℃
[0min] 合成釜:温控计时反应-》温度区间20-30℃环境下反应60min.预警下限/上限22/28℃</t>
  </si>
  <si>
    <t>[0min]Nitrogen bubbling -》Flow setting: 8.5m³/h, positive pressure, pressure setting: 0.005MPa, shutdown
[0min] 鼓氮气-》流量:8.5m³/h, 正压, 设定压力0.005Mpa,停止</t>
  </si>
  <si>
    <r>
      <rPr>
        <sz val="10"/>
        <color rgb="FF0000FF"/>
        <rFont val="Times New Roman"/>
        <family val="1"/>
      </rPr>
      <t>3.4.6 Wash resin/树脂洗涤</t>
    </r>
  </si>
  <si>
    <t>Add 492.70kg DMF (7.58W, 8.0Vol) by spray balls into the synthesis reactor TJ4S-1213-Sy16. Turn on the nitrogen of synthesis reactor to 8.5±4m³/h (target: 8.5 m³/h). Bubble with nitrogen for 5±2min (target: 5min),  Start the agitator of synthesis reactor to 20±10rpm (target: 20 rpm). After Stir for 15min±2min (target: 15min).  stop stirring, turn off the nitrogen. Start draining the solution from synthesis reactor with diaphramp pump. Drain until there is no drip, the operator visually confirms the draining end point.
通过淋洗球向合成釜TJ4S-1213-Sy16中加入492.70kg N,N-二甲基甲酰胺（7.58W, 8.0Vol）（Acceptable weighing range/可接受称量范围：463.14kg~522.26kg）。开启合成釜下口鼓氮气，氮气流速开至8.5±4m³/h (目标流速: 8.5 m³/h)，鼓氮气5±2min（目标时间：5min）后，开启固相合成釜搅拌转速至20±10 rpm (目标转速: 20 rpm)，搅拌15±2min (目标时间: 15min)后，停止搅拌，关闭氮气，通过隔膜泵从合成釜中排出溶液。排液至无液体滴出，由操作人员目视确认排液终点。</t>
  </si>
  <si>
    <t>3.4.6</t>
  </si>
  <si>
    <r>
      <rPr>
        <sz val="10"/>
        <color rgb="FF000000"/>
        <rFont val="Times New Roman"/>
        <family val="1"/>
      </rPr>
      <t>[5min]synthesis reactor agitator-》Speed setting: 20r/min, time setting: 15min
[5min] 合成釜搅拌机-》转速：20r/min, 执行15min</t>
    </r>
  </si>
  <si>
    <r>
      <rPr>
        <sz val="10"/>
        <color rgb="FF0000FF"/>
        <rFont val="Times New Roman"/>
        <family val="1"/>
      </rPr>
      <t>Confirm/确认</t>
    </r>
  </si>
  <si>
    <r>
      <rPr>
        <sz val="10"/>
        <color rgb="FF000000"/>
        <rFont val="Times New Roman"/>
        <family val="1"/>
      </rPr>
      <t>Confirm to proceed the next module. /确认进行下一模块。</t>
    </r>
  </si>
  <si>
    <r>
      <rPr>
        <sz val="10"/>
        <color rgb="FF000000"/>
        <rFont val="Times New Roman"/>
        <family val="1"/>
      </rPr>
      <t>[0min]The jacket temperature of synthesis reactor-》Type: maintain, the jacket inlet temperature setting: 26℃, shutdown
[0min] 合成釜:控温-》类型：保温, 夹套进口温度设定值:26℃,停止</t>
    </r>
  </si>
  <si>
    <r>
      <rPr>
        <sz val="10"/>
        <color rgb="FF000000"/>
        <rFont val="Times New Roman"/>
        <family val="1"/>
      </rPr>
      <t xml:space="preserve">Pause_SR/暂停 </t>
    </r>
  </si>
  <si>
    <r>
      <rPr>
        <sz val="10"/>
        <color rgb="FF000000"/>
        <rFont val="Times New Roman"/>
        <family val="1"/>
      </rPr>
      <t>Pause_AT/暂停</t>
    </r>
  </si>
  <si>
    <r>
      <rPr>
        <sz val="10"/>
        <color rgb="FF0000FF"/>
        <rFont val="Times New Roman"/>
        <family val="1"/>
      </rPr>
      <t>3.5 to 3.7 （2）Fmoc-L-Thr(tBu)-OH coupling 芴甲氧羰基-叔丁基-L-苏氨酸偶联</t>
    </r>
  </si>
  <si>
    <r>
      <rPr>
        <sz val="10"/>
        <color rgb="FF0000FF"/>
        <rFont val="Times New Roman"/>
        <family val="1"/>
      </rPr>
      <t>3.5.1 to 3.5.3 De-Fmoc/</t>
    </r>
    <r>
      <rPr>
        <sz val="10"/>
        <color rgb="FF0000FF"/>
        <rFont val="Times New Roman"/>
        <family val="1"/>
      </rPr>
      <t>脱Fmoc</t>
    </r>
  </si>
  <si>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 (target: 25℃). After stirring for 110~130 min (target: 2 h) at 25±5 ℃(target: 25 ℃), stop stirring, turn off the nitrogen. Start draining the solution from synthesis reactor with diaphramp pump. Drain until there is no drip, the operator visually confirms the draining end point.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rpm)，调温至25±5℃(目标温度：25 ℃)。
控内温25±5℃(目标温度：25 ℃)， 搅拌110~130 min（目标时间：2 h）后，停止搅拌，关闭氮气，通过隔膜泵从合成釜中排出溶液。排液至无液体滴出，由操作人员目视确认排液终点。</t>
  </si>
  <si>
    <t>[0min]The jacket temperature of synthesis reactor-》Type: maintain, the jacket inlet temperature setting: 25℃, start-up
[0min] 合成釜:控温-》类型：保温, 夹套进口温度设定值:25℃,启动</t>
  </si>
  <si>
    <t>3.5.1</t>
  </si>
  <si>
    <t>Activation tank/激活罐</t>
  </si>
  <si>
    <t>TCT_AT/温控计时</t>
  </si>
  <si>
    <r>
      <rPr>
        <sz val="10"/>
        <color rgb="FF000000"/>
        <rFont val="Times New Roman"/>
        <family val="1"/>
      </rPr>
      <t>Add deprotection solution 1/脱保护1进料</t>
    </r>
  </si>
  <si>
    <t>[0min]Line-》De-solution1-&gt;synthesis reactor, weight setting: 483.60kg
[0min] 线路-》脱保护1溶剂-&gt;合成釜, 打料量：483.60kg</t>
  </si>
  <si>
    <t>20% piperidine solution</t>
  </si>
  <si>
    <r>
      <rPr>
        <sz val="10"/>
        <color rgb="FF000000"/>
        <rFont val="Times New Roman"/>
        <family val="1"/>
      </rPr>
      <t>Nitrogen purge De-solution1/氮气吹扫-脱保护1</t>
    </r>
  </si>
  <si>
    <r>
      <rPr>
        <sz val="10"/>
        <color rgb="FF000000"/>
        <rFont val="Times New Roman"/>
        <family val="1"/>
      </rPr>
      <t>[0min]Line-》Nitrogen purge De-solution 1-&gt;synthesis reactor: time setting: 0.1min
[0min] 线路-》脱保护1-氮气吹扫-&gt;合成釜, 打料时间：0.1min</t>
    </r>
  </si>
  <si>
    <t>[0min]Temperature control timing of synthesis reactor-》Temperature range setting: 20-30℃, time setting: 120min. Over-temperature warning L/H limit: 22/28℃
[0min] 合成釜:温控计时反应-》温度区间20-30℃环境下反应120min.预警下限/上限22/28℃</t>
  </si>
  <si>
    <t>3.5.4 Wash resin/树脂洗涤</t>
  </si>
  <si>
    <t>Add 453.70kg IPAc (6.98W, 8.0Vol) by spray balls into the synthesis reactor TJ4S-1213-Sy16. Turn on the nitrogen of synthesis reactor to 8.5±4m³/h (target: 8.5 m³/h). Bubble with nitrogen for 5±2min (target: 5min).Start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中加453.70kg乙酸异丙酯（(6.98W, 8.0Vol)）（Acceptable weighing range/可接受称量范围：426.48kg~480.92kg），开启合成釜下口鼓氮气，氮气流速开至8.5±4m³/h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</si>
  <si>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r>
      <rPr>
        <sz val="10"/>
        <color rgb="FF000000"/>
        <rFont val="Times New Roman"/>
        <family val="1"/>
      </rPr>
      <t>Add IPAC_SR/IPAC进料</t>
    </r>
  </si>
  <si>
    <t>[0min]Line-》IPAC-&gt;synthesis reactor, weight setting: 453.70kg
[0min] 线路-》IPAC-&gt;合成釜, 打料量：453.70kg</t>
  </si>
  <si>
    <t>3.5.4</t>
  </si>
  <si>
    <r>
      <rPr>
        <sz val="10"/>
        <color rgb="FF000000"/>
        <rFont val="Times New Roman"/>
        <family val="1"/>
      </rPr>
      <t>Nitrogen_IPAC/氮气吹扫-IPAC</t>
    </r>
  </si>
  <si>
    <r>
      <rPr>
        <sz val="10"/>
        <color rgb="FF000000"/>
        <rFont val="Times New Roman"/>
        <family val="1"/>
      </rPr>
      <t>[0min]Line-》Nitrogen purge-IPAC-&gt;synthesis reactor: time setting: 0.1min
[0min] 线路-》IPAC-氮气吹扫-&gt;合成釜, 打料时间：0.1min</t>
    </r>
  </si>
  <si>
    <r>
      <rPr>
        <sz val="10"/>
        <color rgb="FF000000"/>
        <rFont val="Times New Roman"/>
        <family val="1"/>
      </rPr>
      <t>Drain_SR_Waste 2/排废2</t>
    </r>
  </si>
  <si>
    <t>[0min]Line-》synthesis reactor-&gt;waste tank（2）, according to human judgement.
[0min] 线路-》合成釜-&gt;废液罐（氨基酸活化后溶液&amp;洗脱2_人工判定）,人工判定！,</t>
  </si>
  <si>
    <t>3.5.5 and 3.5.6 Wash resin/树脂洗涤</t>
  </si>
  <si>
    <t>Add 492.70kg DMF (7.58W, 8.0Vol) by spray balls into the synthesis reactor TJ4S-1213-Sy16.
 Turn on the nitrogen of synthesis reactor to 8.5±4m³/h (target: 8.5 m³/h) .Bubble with nitrogen for 5±2min (target: 5min), Start the agitator of synthesis reactor to 20±10rpm (target: 20 rpm). After stirring for 15±2min (target: 15min), stop stirring, turn off the nitrogen. Start draing the solution from synthesis reactor with diaphramp pump. Drain until there is no drip, the operator visually confirms the draining end point.
通过淋洗球向合成釜TJ4S-1213-Sy16中加入492.70kg N,N-二甲基甲酰胺（7.58W, 8.0Vol）（Acceptable weighing range/可接受称量范围：463.14kg~522.26kg）。
开启合成釜下口鼓氮气，氮气流速开至8.5±4m³/h (目标流速: 8.5 m³/h)，鼓氮气5±2min（目标时间：5min）后，开启固相合成釜搅拌转速至20±10 rpm (目标转速: 20 rpm)，搅拌15min±2min（目标时间:15min）后，停止搅拌，关闭氮气，通过隔膜泵从合成釜中排出溶液。排液至无液体滴出，由操作人员目视确认排液终点。</t>
  </si>
  <si>
    <t>3.5.5</t>
  </si>
  <si>
    <t>Drain_SR_Waste 2/排废2</t>
  </si>
  <si>
    <t>3.5.7 and 3.5.8 Wash resin/树脂洗涤</t>
  </si>
  <si>
    <t>3.5.7</t>
  </si>
  <si>
    <t>3.6.1 to 3.6.8 Dissolve and activate/溶解与活化</t>
  </si>
  <si>
    <t>Adjust the jacket temperature of activation tank TJ4S-1213-Sy16-R01 to 20±5℃ (target: 20℃). Add 246.35kg DMF (3.79kg/kg, 4.0Vol) by spray balls into activation tank TJ4S-1213-Sy16-R01. Start the agitator of activation tank to 115±5 rpm (target: 115 rpm). Add Fmoc-L-Thr(tBu)-OH (2.00eq) with powder feeding bags into activation tank TJ4S-1213-Sy16-R01. Continue agitation of activation tank to 115±5 rpm (target: 115 rpm). Maintain stirring for NLT 15min.Confirm no visible solids and later use.Adjust the activation tank TJ4S-1213-Sy16-R01 temperature to 5±5℃. Add PyBOP (2.0eq) with powder feeding bags into activation tank TJ4S-1213-Sy16-R01 at 5±5℃ (target: 5℃). Add Oxyma Pure (2.00eq) with powder feeding bags into activation tank TJ4S-1213-Sy16-R01 at 5±5℃ (target: 5℃). Rinse reactor wall with 61.75kg DMF (0.95W, 1.0Vol) by spray balls. Add DIPEA (3.0eq) through metering pump into activation tank TJ4S-1213-Sy16-R01 at a reference rate of 20~40 kg/h at5±5℃ (target: 5℃). The addition rate depends on temperature control. At 5±5℃ (target: 5℃). Continue agitation of activation tank to 115±5 rpm (target: 115 rpm). Maintain stirring for 20±5min (Target: 20min) after addition.
将激活罐TJ4S-1213-Sy16-R01夹套调温至20±5℃（目标温度：20℃）。通过淋洗球向激活罐TJ4S-1213-Sy16-R01中加入246.35kg N, N-二甲基甲酰胺（3.79kg/kg, 4.0Vol）（Acceptable weighing range/可接受称量范围：234.03kg~258.67kg），开启激活罐搅拌转速至115±5 rpm (目标转速: 115 rpm)。
通过投料袋向激活罐TJ4S-1213-Sy16-R01中加入_________kg 芴甲氧羰基-叔丁基-L-苏氨酸（2.00eq）（Acceptable weighing range/可接受称量范围：_________  kg~____________kg）。维持激活罐搅拌转速至115±5 rpm (目标转速: 115 rpm),继续搅拌至少15min，确认无明显固体，激活罐温度TJ4S-1213-Sy16-R01调温至5±5℃。控内温5±5℃（目标温度:5℃），通过投料袋向激活罐TJ4S-1213-Sy16-R01中加入_________  kg 1H-苯并三唑-1-基氧三吡咯烷基六氟磷酸盐（2.00eq）（Acceptable weighing range/可接受称量范围：_________ kg~______ kg）。控内温5±5℃（目标温度:5℃），通过投料袋向激活罐TJ4S-1213-Sy16-R01中加入______  kg 2-肟氰乙酸乙酯（2.00eq）（Acceptable weighing range/可接受称量范围：_________kg ~______  kg）。通过淋洗球用61.75kg N,N-二甲基甲酰胺（0.95W，1.0Vol）（Acceptable weighing range/可接受称量范围：58.05kg~65.46kg）淋洗釜壁。控内温5±5℃(目标温度：5℃)，通过计量泵向激活罐TJ4S-1213-Sy16-R01中加入_________kg N,N-二异丙基乙胺（3.0eq）（Acceptable weighing range/可接受称量范围：_________kg~_________kg），参考加料速度20~40kg/h，实际以控内温为主。滴毕，控内温5±5℃(目标温度：5℃)，维持激活罐搅拌转速至115±5 rpm (目标转速: 115 rpm)，继续搅拌20±5min(目标时间：20min)。</t>
  </si>
  <si>
    <r>
      <rPr>
        <sz val="10"/>
        <color rgb="FF000000"/>
        <rFont val="Times New Roman"/>
        <family val="1"/>
      </rPr>
      <t>JTR_AT_On/</t>
    </r>
    <r>
      <rPr>
        <i/>
        <sz val="10"/>
        <color rgb="FF000000"/>
        <rFont val="Times New Roman"/>
        <family val="1"/>
      </rPr>
      <t>保温开</t>
    </r>
  </si>
  <si>
    <t>[0min]The jacket temperature of activation tank-》Type: maintain, the jacket temperature setting: 20℃, start-up
[0min] 激活罐:控温-》类型：保温, 夹套进口温度设定值:20℃,启动</t>
  </si>
  <si>
    <t>3.6.1</t>
  </si>
  <si>
    <t>[0min]Line-》DMF-Rinse-&gt;activation tank, weight setting: 246.35kg
[0min] 线路-》DMF-喷淋-&gt;激活罐, 打料量：246.35kg</t>
  </si>
  <si>
    <r>
      <rPr>
        <sz val="10"/>
        <color rgb="FF000000"/>
        <rFont val="Times New Roman"/>
        <family val="1"/>
      </rPr>
      <t>Manual add Fmoc-L-Thr(tBu)-OH_AT/手动投料</t>
    </r>
  </si>
  <si>
    <r>
      <rPr>
        <sz val="10"/>
        <color rgb="FF000000"/>
        <rFont val="Times New Roman"/>
        <family val="1"/>
      </rPr>
      <t>[0min]Activation tank: add by manual-》material: Fmoc-L-Thr(tBu)-OH, weight setting: ______kg, weight error: ±______kg
[0min] 激活罐:手动投料-》物料：Fmoc-L-Thr(tBu)-OH，投料重量：______kg，重量误差±______kg</t>
    </r>
  </si>
  <si>
    <t>[0min]Temperature control timing of activation tank-》Temperature range setting: 0-30℃, time setting: 15min. Over-temperature warning L/H limit: 2/28℃
[0min] 激活罐:温控计时反应-》温度区间0-30℃环境下反应15min.预警下限/上限2/28℃</t>
  </si>
  <si>
    <t>[0min]Temperature control timing of activation tank-》Temperature range setting: 0-30℃, time setting: 9999min. Over-temperature warning L/H limit: 2/28℃
[0min] 激活罐:温控计时反应-》温度区间0-30℃环境下反应9999min.预警下限/上限2/28℃</t>
  </si>
  <si>
    <t>[0min]The jacket temperature of activation tank-》Type: maintain, the jacket temperature setting: 20℃, shutdown
[0min] 激活罐:控温-》类型：保温, 夹套进口温度设定值:20℃,停止</t>
  </si>
  <si>
    <r>
      <rPr>
        <sz val="10"/>
        <color rgb="FF000000"/>
        <rFont val="Times New Roman"/>
        <family val="1"/>
      </rPr>
      <t>[0min]The jacket temperature of activation tank-》Type: maintain, the jacket temperature setting: 0℃, start-up
[0min] 激活罐:控温-》类型：保温, 夹套进口温度设定值:0℃,启动</t>
    </r>
  </si>
  <si>
    <t>[0min]Temperature control timing of activation tank-》Temperature range setting: 0-5℃, time setting: 0.1min. Over-temperature warning L/H limit: 2/5℃
[0min] 激活罐:温控计时反应-》温度区间0-5℃环境下反应0.1min.预警下限/上限2/5℃</t>
  </si>
  <si>
    <r>
      <rPr>
        <sz val="10"/>
        <color rgb="FF000000"/>
        <rFont val="Times New Roman"/>
        <family val="1"/>
      </rPr>
      <t>Manual add PyBOP_AT/手动投料</t>
    </r>
  </si>
  <si>
    <r>
      <rPr>
        <sz val="10"/>
        <color rgb="FF000000"/>
        <rFont val="Times New Roman"/>
        <family val="1"/>
      </rPr>
      <t>[0min]Activation tank: add by manual-》material: PyBOP, weight setting: ______kg, weight error: ±______kg
[0min] 激活罐:手动投料-》物料：PyBOP，投料重量：______kg，重量误差±______kg</t>
    </r>
  </si>
  <si>
    <r>
      <rPr>
        <sz val="10"/>
        <color rgb="FF000000"/>
        <rFont val="Times New Roman"/>
        <family val="1"/>
      </rPr>
      <t>TCT_AT/确认温度平稳</t>
    </r>
  </si>
  <si>
    <r>
      <rPr>
        <sz val="10"/>
        <color rgb="FF000000"/>
        <rFont val="Times New Roman"/>
        <family val="1"/>
      </rPr>
      <t>Manual add OxymaPure_AT/手动投料</t>
    </r>
  </si>
  <si>
    <r>
      <rPr>
        <sz val="10"/>
        <color rgb="FF000000"/>
        <rFont val="Times New Roman"/>
        <family val="1"/>
      </rPr>
      <t>[0min]Activation tank: add by manual-》material: OxymaPure, weight setting: ______kg, weight error: ±______kg
[0min] 激活罐:手动投料-》物料：OxymaPure，投料重量：______kg，重量误差±______kg</t>
    </r>
  </si>
  <si>
    <t>3.6.6</t>
  </si>
  <si>
    <r>
      <rPr>
        <sz val="10"/>
        <color rgb="FF000000"/>
        <rFont val="Times New Roman"/>
        <family val="1"/>
      </rPr>
      <t>[0min]Drip 2-》Material: DIPEA, weight setting: ______kg, the time of the drip: 80min, the temperature of start drip range setting: 0-6℃, the temperature of stop drip range setting: 0-7℃
[0min] 滴加线路2-》物料：DIPEA, 滴加重量：______kg, 滴加时间：80min,泵启上下限：0-6℃, 泵停上下限：0-7℃</t>
    </r>
  </si>
  <si>
    <t>TCT_AT/搅拌20min</t>
  </si>
  <si>
    <t>[0min]Temperature control timing of activation tank-》Temperature range setting: 0-10℃, time setting: 20min. Over-temperature warning L/H limit: 2/8℃
[0min] 激活罐:温控计时反应-》温度区间0-10℃环境下反应20min.预警下限/上限2/8℃</t>
  </si>
  <si>
    <t>3.7.1 Add/加料</t>
  </si>
  <si>
    <t>Add 184.60kg DMF(2.84W,3.0Vol) by spray balls into synthesis reactor TJ4S-1213-Sy16 . Turn on the nitrogen of synthesis reactor to 8.5±4m³/h (target: 8.5 m³/h). Bubble with nitrogen for 5±2min (target: 5min), Start the agitator of synthesis reactor to 20±10rpm (target: 20 rpm).
通过淋洗球向合成釜TJ4S-1213-Sy16 中加入184.60kg N,N-二甲基甲酰胺（2.84W,3.0Vol）（Acceptable weighing range/可接受称量范围：173.52kg~195.68kg），开启合成釜下口鼓氮气，氮气流速开至8.5±4m³/h (目标流速: 8.5 m³/h)，鼓氮气5±2min（目标时间：5min）后,开启固相合成釜搅拌转速至20±10 rpm (目标转速: 20 rpm)。</t>
  </si>
  <si>
    <t>[0min]Line-》DMF-&gt;synthesis reactor, weight setting: 184.60kg
[0min] 线路-》DMF-&gt;合成釜, 打料量：184.60kg</t>
  </si>
  <si>
    <t>3.7.1</t>
  </si>
  <si>
    <t>3.7.2 and 3.7.3 Transfer/转移</t>
  </si>
  <si>
    <t>Transfer the mixture in activation tank TJ4S-1213-Sy16-R01 into synthesis reactor TJ4S-1213-Sy16.
Add 61.75 kg DMF (0.95W, 1.0Vol) by spray balls into activation tank TJ4S-1213-Sy16-R01 to rinse the wall. 
将激活罐TJ4S-1213-Sy16-R01中体系转移至合成釜中TJ4S-1213-Sy16。
转移完毕，通过淋洗球向激活罐TJ4S-1213-Sy16-R01中加入61.75 kg N,N-二甲基甲酰胺（0.95W,1Vol）（Acceptable weighing range/可接受称量范围：58.05kg~65.46kg）淋洗釜壁。</t>
  </si>
  <si>
    <t>3.7.3</t>
  </si>
  <si>
    <t>3.7.4 to 3.7.6 （2）Coupling/偶联</t>
  </si>
  <si>
    <t>Transfer the mixture from the activation tank TJ4S-1213-Sy16-R01 to the synthesis reactor TJ4S-1213-Sy16. Adjust the internal temperature in synthesis reactor TJ4S-1213-Sy16 to 【25±5℃ (target: 25℃)】.
 The mixture is allowed to react at 【25±5 ℃ (target: 25 ℃)】, start timing when the temperature reaches 20 ℃. The reaction is 3.5h~8h (target: 4h).After 1h±15min (target: 1h), sample the mixture every 1h±15min for Bromophenol‑blue colorimetric test analysis until two consecutive samples test as negative (the resin is yellow to orange, react completely; the resin is blue to black, react imcompletely) or the reaction has stirred for 3.5h~8h(target: 4h). Stop the stirrer and turn off the nitrogen. Start drain the solution from synthesis reactor with diaphramp pump. Drain until there is no drip, the operator visually confirms the draining end point.
激活罐TJ4S-1213-Sy16-R01中体系转移至合成釜TJ4S-1213-Sy16中。
合成釜TJ4S-1213-Sy16内温调温至【25±5℃(目标温度：25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 (目标时间：4h)，以较长时间的情况为准。停止搅拌，关闭氮气，通过隔膜泵从合成釜中排出溶液。排液至无液体滴出，由操作人员目视确认排液终点。</t>
  </si>
  <si>
    <r>
      <rPr>
        <sz val="10"/>
        <color rgb="FF000000"/>
        <rFont val="Times New Roman"/>
        <family val="1"/>
      </rPr>
      <t>[0min]The jacket temperature of activation tank-》Type: maintain, the jacket temperature setting: 0℃, shutdown
[0min] 激活罐:控温-》类型：保温, 夹套进口温度设定值:0℃,停止</t>
    </r>
  </si>
  <si>
    <r>
      <rPr>
        <sz val="10"/>
        <color rgb="FF000000"/>
        <rFont val="Times New Roman"/>
        <family val="1"/>
      </rPr>
      <t>TCT_SR/温控计时-取样</t>
    </r>
  </si>
  <si>
    <t>[0min]Temperature control timing of synthesis reactor-》Temperature range setting: 20-30℃, time setting: 9999min. Over-temperature warning L/H limit: 22/28℃
[0min] 合成釜:温控计时反应-》温度区间20-30℃环境下反应9999min.预警下限/上限22/28℃</t>
  </si>
  <si>
    <t>3.7.7 and 3.7.8 Wash activation tank and wash resin/激活罐洗涤和树脂洗涤</t>
  </si>
  <si>
    <t>3.7.7</t>
  </si>
  <si>
    <r>
      <rPr>
        <sz val="10"/>
        <color rgb="FF0000FF"/>
        <rFont val="Times New Roman"/>
        <family val="1"/>
      </rPr>
      <t xml:space="preserve">3.8 to 3.10 </t>
    </r>
    <r>
      <rPr>
        <sz val="10"/>
        <color rgb="FF0000FF"/>
        <rFont val="Times New Roman"/>
        <family val="1"/>
      </rPr>
      <t>（3）Fmoc-L-Ala-OH·H2O coupling 芴甲氧羰基-L-丙氨酸一水合物偶联</t>
    </r>
  </si>
  <si>
    <t>3.8.1 to 3.8.3 De-Fmoc/脱Fmoc</t>
  </si>
  <si>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 (target: 25℃). After stirring for 110~130 min (target: 2 h) at 25±5 ℃ (target: 25 ℃), stop stirring, turn off the nitrogen. Start draining the solution from synthesis reactor with diaphramp pump. Drain until there is no drip, the operator visually confirms the draining end point.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rpm)，调温至25±5℃(目标温度：25 ℃)。
控内温25±5℃(目标温度：25 ℃)， 搅拌110~130 min（目标时间：2 h）后，停止搅拌，关闭氮气，通过隔膜泵从合成釜中排出溶液。排液至无液体滴出，由操作人员目视确认排液终点。</t>
  </si>
  <si>
    <t>3.8.1</t>
  </si>
  <si>
    <t>3.8.4 Wash resin/树脂洗涤</t>
  </si>
  <si>
    <t>Add 453.70kg IPAc (6.98W, 8.0Vol) by spray balls into the synthesis reactor TJ4S-1213-Sy16. Turn on the nitrogen of synthesis reactor to 8.5±4m³/h (target: 8.5 m³/h) 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中加453.70kg乙酸异丙酯（(6.98W, 8.0Vol)）（Acceptable weighing range/可接受称量范围：426.48kg~480.92kg），开启合成釜下口鼓氮气，氮气流速开至8.5±4m³/h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</si>
  <si>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3.8.4</t>
  </si>
  <si>
    <t>3.8.5 and 3.8.6 Wash resin/树脂洗涤</t>
  </si>
  <si>
    <t>Add 492.70kg DMF (7.58W, 8.0Vol) by spray balls into the synthesis reactor TJ4S-1213-Sy16.
 Turn on the nitrogen of synthesis reactor to 8.5±4m³/h (target: 8.5 m³/h) .Bubble with nitrogen for 5±2min (target: 5min), Start the agitator of synthesis reactor to 20±10rpm (target: 20 rpm). After stirring for 15±2min (target: 15min), stop stirring, turn off the nitrogen. Drain until there is no drip, the operator visually confirms the discharge end point.
通过淋洗球向合成釜TJ4S-1213-Sy16中加入492.70kg N,N-二甲基甲酰胺（7.58W, 8.0Vol）（Acceptable weighing range/可接受称量范围：463.14kg~522.26kg）。
开启合成釜下口鼓氮气，氮气流速开至8.5±4m³/h (目标流速: 8.5 m³/h)，鼓氮气5±2min（目标时间：5min）后，开启固相合成釜搅拌转速至20±10 rpm (目标转速: 20 rpm)，搅拌15min±2min（目标时间:15min）后，停止搅拌，关闭氮气，通过隔膜泵从合成釜中排出溶液。排液至无液体滴出，由操作人员目视确认排液终点。</t>
  </si>
  <si>
    <t>3.8.5</t>
  </si>
  <si>
    <t>3.8.7 and 3.8.8 Wash resin/树脂洗涤</t>
  </si>
  <si>
    <t>3.8.7</t>
  </si>
  <si>
    <t>3.9.1 to 3.9.7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</si>
  <si>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Fmoc-L-Ala-OH·H2O (2.00eq) with powder feeding bags into activation tank TJ4S-1213-Sy16-R01. Continue agitation of activation tank to 115±5 rpm (target: 115 rpm). Maintain Stirring for NLT 15min. Confirm no visible solids and later use.Adjust the activation tank TJ4S-1213-Sy16-R01 temperature to 20±5℃. Add Oxyma Pure (2.00eq) with powder feeding bags into activation tank TJ4S-1213-Sy16-R01 at 20±5℃ (target: 20℃). Rinse reactor wall with 61.75kg DMF (0.95W, 1.0Vol) by spray balls. Add DIC (2.20eq) through metering pump into activation tank TJ4S-1213-Sy16-R01 at a reference rate of 40~80 kg/h at 20±5℃ (target: 20℃). The addition rate depends on temperature control. At 20±5℃ (target: 20℃). Continue agitation of activation tank to 115±5 rpm (target: 115 rpm). Maintain stirring for 20±5min (Target:20min) 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rpm)。通过投料袋向激活罐TJ4S-1213-Sy16-R01中加入______kg 芴甲氧羰基-L-丙氨酸一水合物（2.00eq）（Acceptable weighing range/可接受称量范围：______kg~ ______kg）。
维持激活罐搅拌转速至115±5 rpm (目标转速: 115 rpm)，继续搅拌至少15min。确认无明显固体，激活罐温度TJ4S-1213-Sy16-R01调温至20±5℃。控内温20±5℃（目标温度:20℃），通过投料袋向激活罐TJ4S-1213-Sy16-R01中加入______  kg 2-肟氰乙酸乙酯（2.00eq）（Acceptable weighing range/可接受称量范围：_________kg ~______  kg）。通过淋洗球用61.75kg N,N-二甲基甲酰胺（0.95W，1.0Vol）（Acceptable weighing range/可接受称量范围：58.05kg~65.46kg）淋洗釜壁。控内温20±5℃(目标温度：20℃)，通过计量泵向激活罐TJ4S-1213-Sy16-R01加入_________kg N,N'-二异丙基碳二亚胺（2.20eq）（Acceptable weighing range/可接受称量范围：_________kg~_________kg），参考加料速度40~80kg/h，实际以控内温为主。滴毕，控内温20±5℃(目标温度：20℃)，维持激活罐搅拌转速至115±5 rpm (目标转速: 115 rpm),继续搅拌20±5min(目标时间：20min)。</t>
  </si>
  <si>
    <t>3.9.1</t>
  </si>
  <si>
    <r>
      <rPr>
        <sz val="10"/>
        <color rgb="FF000000"/>
        <rFont val="Times New Roman"/>
        <family val="1"/>
      </rPr>
      <t>Manual add Fmoc-L-Ala-OH·H2O_AT/手动投料</t>
    </r>
  </si>
  <si>
    <r>
      <rPr>
        <sz val="10"/>
        <color rgb="FF000000"/>
        <rFont val="Times New Roman"/>
        <family val="1"/>
      </rPr>
      <t>[0min]Activation tank: add by manual-》material: Fmoc-L-Ala-OH·H2O, weight setting: ______kg, weight error: ±______kg
[0min] 激活罐:手动投料-》物料：Fmoc-L-Ala-OH·H2O，投料重量：______kg，重量误差±______kg</t>
    </r>
  </si>
  <si>
    <r>
      <rPr>
        <sz val="10"/>
        <color rgb="FF000000"/>
        <rFont val="Times New Roman"/>
        <family val="1"/>
      </rPr>
      <t>JTR_AT_Off/</t>
    </r>
    <r>
      <rPr>
        <i/>
        <sz val="10"/>
        <color rgb="FF000000"/>
        <rFont val="Times New Roman"/>
        <family val="1"/>
      </rPr>
      <t>保温关</t>
    </r>
  </si>
  <si>
    <r>
      <rPr>
        <sz val="10"/>
        <color rgb="FF000000"/>
        <rFont val="Times New Roman"/>
        <family val="1"/>
      </rPr>
      <t>[0min]The jacket temperature of activation tank-》Type: maintain, the jacket temperature setting: 15℃, start-up
[0min] 激活罐:控温-》类型：保温, 夹套进口温度设定值:15℃,启动</t>
    </r>
  </si>
  <si>
    <t>[0min]Temperature control timing of activation tank-》Temperature range setting: 15-25℃, time setting: 0.1min. Over-temperature warning L/H limit: 17/23℃
[0min] 激活罐:温控计时反应-》温度区间15-25℃环境下反应0.1min.预警下限/上限17/23℃</t>
  </si>
  <si>
    <t>3.9.5</t>
  </si>
  <si>
    <t>[0min]Temperature control timing of synthesis reactor-》Temperature range setting: 0-30℃, time setting: 0.1min. Over-temperature warning L/H limit: 2/28℃
[0min] 合成釜:温控计时反应-》温度区间0-30℃环境下反应0.1min.预警下限/上限2/28℃</t>
  </si>
  <si>
    <r>
      <rPr>
        <sz val="10"/>
        <color rgb="FF000000"/>
        <rFont val="Times New Roman"/>
        <family val="1"/>
      </rPr>
      <t>Drip DIC_AT/向激活罐中加入DIC</t>
    </r>
  </si>
  <si>
    <r>
      <rPr>
        <sz val="10"/>
        <color rgb="FF000000"/>
        <rFont val="Times New Roman"/>
        <family val="1"/>
      </rPr>
      <t>[0min]Drip 1-》Material: DIC, weight setting: ______kg, the time of the drip: 30min, the temperature of start drip range setting: 15-22℃, the temperature of stop drip range setting: 15-23℃
[0min] 滴加线路1-》物料：DIC, 滴加重量：______kg, 滴加时间：30min,泵启上下限：15-22℃, 泵停上下限：15-23℃</t>
    </r>
  </si>
  <si>
    <r>
      <rPr>
        <sz val="10"/>
        <color rgb="FF000000"/>
        <rFont val="Times New Roman"/>
        <family val="1"/>
      </rPr>
      <t>Nitrogen purge-DIC/氮气吹扫-DIC</t>
    </r>
  </si>
  <si>
    <r>
      <rPr>
        <sz val="10"/>
        <color rgb="FF000000"/>
        <rFont val="Times New Roman"/>
        <family val="1"/>
      </rPr>
      <t>[0min]Line-》Nitrogen purge-Drip 1-&gt;activation tank, time setting: 0.1min
[0min] 线路-》氮气吹扫滴加线路1-&gt;激活罐, 打料时间：0.1min</t>
    </r>
  </si>
  <si>
    <t>[0min]Temperature control timing of activation tank-》Temperature range setting: 15-25℃, time setting: 20min. Over-temperature warning L/H limit: 17/23℃
[0min] 激活罐:温控计时反应-》温度区间15-25℃环境下反应20min.预警下限/上限17/23℃</t>
  </si>
  <si>
    <r>
      <rPr>
        <sz val="10"/>
        <color rgb="FF0000FF"/>
        <rFont val="Times New Roman"/>
        <family val="1"/>
      </rPr>
      <t>3.10.1 and 3.10.2 Transfer/</t>
    </r>
    <r>
      <rPr>
        <sz val="10"/>
        <color rgb="FF0000FF"/>
        <rFont val="Times New Roman"/>
        <family val="1"/>
      </rPr>
      <t>转移</t>
    </r>
  </si>
  <si>
    <t>3.10.2</t>
  </si>
  <si>
    <r>
      <rPr>
        <sz val="10"/>
        <color rgb="FF0000FF"/>
        <rFont val="Times New Roman"/>
        <family val="1"/>
      </rPr>
      <t>3.10.3 to 3.10.5 （3）Coupling/偶联</t>
    </r>
  </si>
  <si>
    <t>Turn on the nitrogen of synthesis reactor to 8.5±4m³/h (target: 8.5 m³/h). Bubble with nitrogen for 5±2min (target: 5min), Start the agitator of synthesis reactor to 20±10rpm (target: 20 rpm). Transfer the mixture (DMF) from the activation tank TJ4S-1213-Sy16-R01 to the synthesis reactor TJ4S-1213-Sy16.
 Adjust the internal temperature in synthesis reactor TJ4S-1213-Sy16 to 【25±5℃ (target: 25℃)】. The mixture is allowed to react at  internal temperature【25±5 ℃ (target: 25 ℃), start timing when the temperature reaches 20 ℃】. The reaction is 3.5h~8h (target: 4h).After 1h±15min (target: 1h), sample the mixture every 1h±15min for Bromophenol‑blue colorimetric test analysis until two consecutive samples test as negative (the resin is yellow to orange, react completely; the resin is blue to black, 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rpm)，激活罐TJ4S-1213-Sy16-R01中体系转移至合成釜TJ4S-1213-Sy16中。合成釜TJ4S-1213-Sy16内温调温至【25±5℃(目标温度：25 ℃)】。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</si>
  <si>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00"/>
        <rFont val="Times New Roman"/>
        <family val="1"/>
      </rPr>
      <t>[0min]The jacket temperature of activation tank-》Type: maintain, the jacket temperature setting: 15℃, shutdown
[0min] 激活罐:控温-》类型：保温, 夹套进口温度设定值:15℃,停止</t>
    </r>
  </si>
  <si>
    <r>
      <rPr>
        <sz val="10"/>
        <color rgb="FF0000FF"/>
        <rFont val="Times New Roman"/>
        <family val="1"/>
      </rPr>
      <t>3.10.6 and 3.10.7 Wash activation tank and wash resin/激活罐洗涤和树脂洗涤</t>
    </r>
  </si>
  <si>
    <t>3.10.6</t>
  </si>
  <si>
    <t>[0min]Temperature control timing of activation tank-》Temperature range setting: 0-30℃, time setting: 0.1min. Over-temperature warning L/H limit: 2-28℃
[0min] 激活罐:温控计时反应-》温度区间0-30℃环境下反应0.1min. 预警下限/上限2/28℃</t>
  </si>
  <si>
    <r>
      <rPr>
        <sz val="10"/>
        <color rgb="FF000000"/>
        <rFont val="Times New Roman"/>
        <family val="1"/>
      </rPr>
      <t>Confirm to proceed the next module/确认进行下一模块。</t>
    </r>
  </si>
  <si>
    <r>
      <rPr>
        <sz val="10"/>
        <color rgb="FF0000FF"/>
        <rFont val="Times New Roman"/>
        <family val="1"/>
      </rPr>
      <t>3.11 to 3.13 （4）Fmoc-L-Cys(Trt)-OH coupling Fmoc-S-三苯甲基-L-半胱氨酸偶联</t>
    </r>
  </si>
  <si>
    <t>3.11.1 to 3.11.3 De-Fmoc/脱Fmoc</t>
  </si>
  <si>
    <t>3.11.1</t>
  </si>
  <si>
    <t>3.11.4 Wash resin/树脂洗涤</t>
  </si>
  <si>
    <t>Add 453.70kg IPAc (6.98W, 8.0Vol) by spray balls into the synthesis reactor TJ4S-1213-Sy16. Turn on the nitrogen of synthesis reactor to 8.5±4m³/h (target: 8.5 m³/h) .Bubble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中加453.70kg乙酸异丙酯（(6.98W, 8.0Vol)）（Acceptable weighing range/可接受称量范围：426.48kg~480.92kg），开启合成釜下口鼓氮气，氮气流速开至8.5±4m³/h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</si>
  <si>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3.11.4</t>
  </si>
  <si>
    <r>
      <rPr>
        <sz val="10"/>
        <color rgb="FF0000FF"/>
        <rFont val="Times New Roman"/>
        <family val="1"/>
      </rPr>
      <t>3.11.5 and 3.11.6 Wash resin/</t>
    </r>
    <r>
      <rPr>
        <sz val="10"/>
        <color rgb="FF0000FF"/>
        <rFont val="Times New Roman"/>
        <family val="1"/>
      </rPr>
      <t>树脂洗涤</t>
    </r>
  </si>
  <si>
    <t>3.11.5</t>
  </si>
  <si>
    <t>3.11.7 and 3.11.8  Wash resin/树脂洗涤</t>
  </si>
  <si>
    <t>3.11.7</t>
  </si>
  <si>
    <t>3.12.1 to 3.12.5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</si>
  <si>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Fmoc-L-Cys(Trt)-OH (2.00eq) with powder feeding bags into activation tank TJ4S-1213-Sy16-R01. Add Oxyma Pure (3.00eq) with powder feeding bags into activation tank TJ4S-1213-Sy16-R01. Rinse reactor wall with 61.75kg DMF (0.95W, 1.0Vol) by spray balls. Continue agitation of activation tank to 115±5 rpm (target: 115 rpm). Maintain stirring for NLT 15min. Confirm no visible solids and later use. Adjust the activation tank TJ4S-1213-Sy16-R01 temperature to 5±5 ℃. Continue agitation of activation tank to 115±5 rpm (target: 115 rpm). Maintain stirring for 5±5min (Target:5min) at 5±5 ℃ (target: 5℃).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Fmoc-S-三苯甲基-L-半胱氨酸（2.00eq）（Acceptable weighing range/可接受称量范围：_________  kg~____________kg）。通过投料袋向激活罐TJ4S-1213-Sy16-R01中加入___________ kg 2-肟氰乙酸乙酯（3.00eq）（Acceptable weighing range/可接受称量范围：_________kg ~______  kg）。通过淋洗球用61.75kg N,N-二甲基甲酰胺（0.95W，1.0Vol）（Acceptable weighing range/可接受称量范围：58.05kg~65.46kg）淋洗釜壁。维持激活罐搅拌转速至115±5 rpm (目标转速: 115 rpm)，继续搅拌至少15min。确认无明显固体，待用。将激活罐温度TJ4S-1213-Sy16-R01调温至5±5 ℃。控内温5±5 ℃（目标温度:5 ℃）维持激活罐搅拌转速至115±5 rpm (目标转速: 115 rpm),继续5±5min(目标时间：5min)，待用。</t>
  </si>
  <si>
    <t>3.12.1</t>
  </si>
  <si>
    <r>
      <rPr>
        <sz val="10"/>
        <color rgb="FF000000"/>
        <rFont val="Times New Roman"/>
        <family val="1"/>
      </rPr>
      <t>Manual add Fmoc-L-Cys</t>
    </r>
    <r>
      <rPr>
        <i/>
        <sz val="10"/>
        <color rgb="FF000000"/>
        <rFont val="Times New Roman"/>
        <family val="1"/>
      </rPr>
      <t>(Trt)-OH_AT/手动投料</t>
    </r>
  </si>
  <si>
    <t>[0min]Activation tank: add by manual-》material: Fmoc-L-Cys(Trt)-OH, weight setting: ______kg, weight error: ±______kg
[0min] 激活罐:手动投料-》物料：Fmoc-L-Cys(Trt)-OH，投料重量：______kg，重量误差±______kg</t>
  </si>
  <si>
    <t>3.12.4</t>
  </si>
  <si>
    <t>[0min]Temperature control timing of activation tank-》Temperature range setting: 0-10℃, time setting: 5min. Over-temperature warning L/H limit: 2/8℃
[0min] 激活罐:温控计时反应-》温度区间0-10℃环境下反应5min. 预警下限/上限2/8℃</t>
  </si>
  <si>
    <r>
      <rPr>
        <sz val="10"/>
        <color rgb="FF0000FF"/>
        <rFont val="Times New Roman"/>
        <family val="1"/>
      </rPr>
      <t>3.13.1 and 3.13.2  Transfer/转移</t>
    </r>
  </si>
  <si>
    <t>3.13.2</t>
  </si>
  <si>
    <r>
      <rPr>
        <sz val="10"/>
        <color rgb="FF0000FF"/>
        <rFont val="Times New Roman"/>
        <family val="1"/>
      </rPr>
      <t>3.13.3 and 3.13.4 Prepare DIC/DMF solution/配溶液</t>
    </r>
  </si>
  <si>
    <t>Add 61.75kg DMF (0.95W, 1.0Vol) into the hastelloy agitator tank TJ4S-1200-AT01. Start the agitator of the tank to 60±20 rpm (target: 60 rpm).Then add DIC(3.30eq) by peristaltic pump. 
Continue agitation of tank to 60±20 rpm (target: 60rpm). Maintain stirring for NLT 15min for later use.
向哈氏合金搅拌罐TJ4S-1200-AT01中加入61.75kg N,N-二甲基甲酰胺（0.95W, 1.0Vol）（Acceptable weighing range/可接受称量范围：58.05kg~65.46kg），开启搅拌转速至60±20 rpm (目标转速: 60 rpm)。通过蠕动泵泵入_________kg N,N’-二异丙基碳二亚胺（3.30eq）（Acceptable weighing range/可接受称量范围：_________kg~_________kg）。
维持搅拌罐搅拌转速至60±20 rpm(目标转速：60rpm)，继续搅拌至少15min，待用。</t>
  </si>
  <si>
    <t>Note: prapare solution in hastelloy agitator tank, there is no instruction.
说明：使用哈氏合金搅拌罐配制，无指令。</t>
  </si>
  <si>
    <t>3.13.3</t>
  </si>
  <si>
    <r>
      <rPr>
        <sz val="10"/>
        <color rgb="FF0000FF"/>
        <rFont val="Times New Roman"/>
        <family val="1"/>
      </rPr>
      <t>3.13.5 to 3.13.9</t>
    </r>
    <r>
      <rPr>
        <i/>
        <sz val="10"/>
        <color rgb="FF0000FF"/>
        <rFont val="Times New Roman"/>
        <family val="1"/>
      </rPr>
      <t>（4）Coupling/偶联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</si>
  <si>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mixture in synthesis reactor TJ4S-1213-Sy16 to15~25℃（Target:20 ℃）.Transfer the DIC/DMF solution (Prepared in Ins.3.13.4) into the mixture at internal temperature15~25℃（Target：20℃）. Adjust the internal temperature in synthesis reactor TJ4S-1213-Sy16 to 20±5℃ (target: 20℃). The mixture is allowed to react at internal temperature【20±5 ℃ (target: 20 ℃)】, start timing when the temperature reaches 15 ℃. The reaction is 3.5h~8h (target: 4h).After 1h±15min (target: 1h), sample the mixture every 1h±15min for Bromophenol‑blue colorimetric test analysis until two consecutive samples test as negative (the resin is yellow to orange, react completely; the resin is blue to black, 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合成釜TJ4S-1213-Sy16调温至15~25℃（目标温度:20℃）。控内温15~25℃（目标温度:20℃），转移操作3.13.4配制的N,N’-二异丙基碳二亚胺/N,N-二甲基甲酰胺溶液。合成釜TJ4S-1213-Sy16内温调温至20±5℃(目标温度：20 ℃)。控内温【20±5℃（目标温度20℃，15℃开始计时）】,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</si>
  <si>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00"/>
        <rFont val="Times New Roman"/>
        <family val="1"/>
      </rPr>
      <t>[0min]The jacket temperature of synthesis reactor-》Type: maintain, the jacket inlet temperature setting: 0℃, start-up
[0min] 合成釜:控温-》类型：保温, 夹套进口温度设定值:0℃,启动</t>
    </r>
  </si>
  <si>
    <t>[0min]Temperature control timing of synthesis reactor-》Temperature range setting: 15-20℃, time setting: 0.1min. Over-temperature warning L/H limit: 17/20℃
[0min] 合成釜:温控计时反应-》温度区间15-20℃环境下反应0.1min.预警下限/上限17/20℃</t>
  </si>
  <si>
    <r>
      <rPr>
        <sz val="10"/>
        <color rgb="FF000000"/>
        <rFont val="Times New Roman"/>
        <family val="1"/>
      </rPr>
      <t>[0min]The jacket temperature of synthesis reactor-》Type: maintain, the jacket inlet temperature setting: 0℃, shutdown
[0min] 合成釜:控温-》类型：保温, 夹套进口温度设定值:0℃,停止</t>
    </r>
  </si>
  <si>
    <r>
      <rPr>
        <sz val="10"/>
        <color rgb="FF000000"/>
        <rFont val="Times New Roman"/>
        <family val="1"/>
      </rPr>
      <t>[0min]The jacket temperature of synthesis reactor-》Type: maintain, the jacket inlet temperature setting: 15℃, start-up
[0min] 合成釜:控温-》类型：保温, 夹套进口温度设定值:15℃,启动</t>
    </r>
  </si>
  <si>
    <r>
      <rPr>
        <sz val="10"/>
        <color rgb="FF000000"/>
        <rFont val="Times New Roman"/>
        <family val="1"/>
      </rPr>
      <t>TCT_SR/温控计时-加DIC/DMF溶液</t>
    </r>
  </si>
  <si>
    <t>[0min]Temperature control timing of synthesis reactor-》Temperature range setting: 15-25℃, time setting: 9999min. Over-temperature warning L/H limit: 17/23℃
[0min] 合成釜:温控计时反应-》温度区间15-25℃环境下反应9999min.预警下限/上限17/23℃</t>
  </si>
  <si>
    <r>
      <rPr>
        <sz val="10"/>
        <color rgb="FF000000"/>
        <rFont val="Times New Roman"/>
        <family val="1"/>
      </rPr>
      <t>[0min]The jacket temperature of synthesis reactor-》Type: maintain, the jacket inlet temperature setting: 15℃, shutdown
[0min] 合成釜:控温-》类型：保温, 夹套进口温度设定值:15℃,停止</t>
    </r>
  </si>
  <si>
    <t>[0min]The jacket temperature of synthesis reactor-》Type: maintain, the jacket inlet temperature setting: 20℃, start-up
[0min] 合成釜:控温-》类型：保温, 夹套进口温度设定值:20℃,启动</t>
  </si>
  <si>
    <t>[0min]Temperature control timing of synthesis reactor-》Temperature range setting: 15-25℃, time setting: 0.1min. Over-temperature warning L/H limit: 17/23℃
[0min] 合成釜:温控计时反应-》温度区间15-25℃环境下反应0.1min.预警下限/上限17/23℃</t>
  </si>
  <si>
    <t>[0min]Temperature control timing of synthesis reactor-》Temperature range setting: 15-25℃, time setting: 60min. Over-temperature warning L/H limit: 17/23℃
[0min] 合成釜:温控计时反应-》温度区间15-25℃环境下反应60min.预警下限/上限17/23℃</t>
  </si>
  <si>
    <t>[0min]Temperature control timing of synthesis reactor-》Temperature range setting: 20-30℃, time setting: 9999min. Over-temperature warning L/H limit: 17/23℃
[0min] 合成釜:温控计时反应-》温度区间15-25℃环境下反应9999min.预警下限/上限17/23℃</t>
  </si>
  <si>
    <t>[0min]The jacket temperature of synthesis reactor-》Type: maintain, the jacket inlet temperature setting: 20℃, shutdown
[0min] 合成釜:控温-》类型：保温, 夹套进口温度设定值:20℃,停止</t>
  </si>
  <si>
    <r>
      <rPr>
        <sz val="10"/>
        <color rgb="FF0000FF"/>
        <rFont val="Times New Roman"/>
        <family val="1"/>
      </rPr>
      <t>3.13.10 and 3.13.11 Wash activation tank and wash resin/激活罐洗涤和树脂洗涤</t>
    </r>
  </si>
  <si>
    <t>3.13.10</t>
  </si>
  <si>
    <r>
      <rPr>
        <sz val="10"/>
        <color rgb="FF0000FF"/>
        <rFont val="Times New Roman"/>
        <family val="1"/>
      </rPr>
      <t>3.14 to 3.16</t>
    </r>
    <r>
      <rPr>
        <sz val="10"/>
        <color rgb="FF0000FF"/>
        <rFont val="Times New Roman"/>
        <family val="1"/>
      </rPr>
      <t>（5）Fmoc-L-Th(tBu)-OH coupling 芴甲氧羰基-叔丁基-L-苏氨酸偶联</t>
    </r>
  </si>
  <si>
    <t>3.14.1 to 3.14.3 De-Fmoc/脱Fmoc</t>
  </si>
  <si>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 (target: 25℃). After stirring for 【110~130 min (target: 2h)】 at 25±5℃ (target: 25℃), stop stirring, turn off the nitrogen. Drain until there is no drip, the operator visually confirms the discharge end point. Move to next operation.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rpm)，调温至25±5℃(目标温度：25 ℃)。控内温25±5℃（目标温度:25℃）搅拌【110~130 min（目标时间:2h）】后，停止搅拌，关闭氮气，滤除反应液至无滴出，人员目视确认排废终点，进行下一步操作。</t>
  </si>
  <si>
    <t>3.14.1</t>
  </si>
  <si>
    <t>3.14.4 Wash resin/树脂洗涤</t>
  </si>
  <si>
    <t>Add 453.70kg IPAc (6.98W, 8.0Vol) by spray balls into the synthesis reactor TJ4S-1213-Sy16. Turn on the nitrogen of synthesis reactor to 8.5±4m³/h (target: 8.5 m³/h). Bubble with nitrogen 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中加453.70kg乙酸异丙酯（(6.98W, 8.0Vol)）（Acceptable weighing range/可接受称量范围：426.48kg~480.92kg），开启合成釜下口鼓氮气，氮气流速开至8.5±4m³/h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</si>
  <si>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3.14.4</t>
  </si>
  <si>
    <t>3.14.5 and 3.14.6 Wash resin/树脂洗涤</t>
  </si>
  <si>
    <t>3.14.5</t>
  </si>
  <si>
    <r>
      <rPr>
        <sz val="10"/>
        <color rgb="FF0000FF"/>
        <rFont val="Times New Roman"/>
        <family val="1"/>
      </rPr>
      <t>3.14.7 and 3.14.8 Wash resin/</t>
    </r>
    <r>
      <rPr>
        <i/>
        <sz val="10"/>
        <color rgb="FF0000FF"/>
        <rFont val="Times New Roman"/>
        <family val="1"/>
      </rPr>
      <t>树脂洗涤</t>
    </r>
  </si>
  <si>
    <t>3.14.7</t>
  </si>
  <si>
    <t>3.15.1 to 3.15.7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</si>
  <si>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Fmoc-L-Thr(tBu)-OH(2.00eq) with powder feeding bags into activation tank TJ4S-1213-Sy16-R01. Continue agitation of activation tank to 115±5 rpm (target: 115 rpm).Maintain stirring for NLT 15min. Confirm no visible solids. Adjust the activation tank TJ4S-1213-Sy16-R01 temperature to 20±5℃. Add Oxyma Pure (2.00eq) with powder feeding bags into activation tank TJ4S-1213-Sy16-R01 at 20±5℃ (target: 20℃). Rinse reactor wall with 61.75kg DMF (0.95W, 1.0Vol) by spray balls. Add DIC (2.20eq) through metering pump at a reference rate of 40~80 kg/h at 【20±5℃ (target: 20℃)】. The addition rate depends on temperature control. At 20±5℃ (target: 20℃). Continue agitation of activation tank to 115±5 rpm (target: 115 rpm). Maintain stirring for【20±5min (Target:20min)】after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芴甲氧羰基-叔丁基-L-苏氨酸（2.00eq）（Acceptable weighing range/可接受称量范围：_________  kg~____________kg）。维持激活罐搅拌转速至115±5 rpm (目标转速: 115 rpm),继续搅拌至少15min，确认无明显固体，激活罐TJ4S-1213-Sy16-R01温度调温至20±5℃(目标温度：20℃)。控内温20±5℃（目标温度:20℃），通过投料袋向激活罐TJ4S-1213-Sy16-R01加入______  kg 2-肟氰乙酸乙酯（2.00eq）（Acceptable weighing range/可接受称量范围：_________kg ~______  kg）。通过淋洗球用61.75kg N,N-二甲基甲酰胺（0.95W，1.0Vol）（Acceptable weighing range/可接受称量范围：58.05kg~65.46kg）淋洗釜壁。控内温【20±5℃(目标温度：20℃)】，通过计量泵向激活罐TJ4S-1213-Sy16-R01中加入_________kg N,N'-二异丙基碳二亚胺（2.20eq）（Acceptable weighing range/可接受称量范围：_________kg~_________kg），参考加料速度40~80kg/h，实际以控温为主。滴毕，控内温20±5℃(目标温度：20℃)，维持激活罐搅拌转速至115±5 rpm (目标转速: 115 rpm)，继续搅拌【20±5min(目标时间：20min)】。</t>
  </si>
  <si>
    <t>3.15.1</t>
  </si>
  <si>
    <t>Manual add Fmoc-L-Thr(tBu)-OH_AT/手动投料</t>
  </si>
  <si>
    <t>3.15.5</t>
  </si>
  <si>
    <t>3.16.1 and 3.16.2 Transfer/转移</t>
  </si>
  <si>
    <t>3.16.2</t>
  </si>
  <si>
    <r>
      <rPr>
        <sz val="10"/>
        <color rgb="FF0000FF"/>
        <rFont val="Times New Roman"/>
        <family val="1"/>
      </rPr>
      <t>3.16.3 to 3.16.5 （5）Coupling/偶联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</si>
  <si>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internal temperature in synthesis reactor TJ4S-1213-Sy16 to 【25±5℃ (target: 25℃)】.  The mixture is allowed to react at【25±5 ℃ (target: 25 ℃), start timing when the temperature reaches 20 ℃. The reaction is 3.5h~8h(target: 4h)】.After 1h±15min (target: 1h), sample the mixture every 1h±15min for Bromophenol‑blue colorimetric test analysis until two consecutive samples test as negative (the resin is yellow to orange, react completely; the resin is blue to black,react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合成釜TJ4S-1213-Sy16内温调温至【25±5℃(目标温度：25 ℃)】。控内温【25±5℃（目标温度25℃，20℃开始计时）, ）反应时间是3.5h~8h(目标时间：4h)】.反应1h±15min（目标时间:1h）后取样进行溴酚蓝检测。每隔1h±15min取样一次，直至连续两次取样结果阴性（树脂黄色至橙色，反应完全;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</si>
  <si>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FF"/>
        <rFont val="Times New Roman"/>
        <family val="1"/>
      </rPr>
      <t>3.16.6 and 3.16.7 Wash activation tank and wash resin/激活罐洗涤和树脂洗涤</t>
    </r>
  </si>
  <si>
    <t>[0min]Line-》DMF-Rinse-&gt;activation tank, weight setting: 492.70kg
[0min] 线路-》DMF-喷淋-&gt;激活罐, 打料量：492.70kg</t>
  </si>
  <si>
    <t>3.16.6</t>
  </si>
  <si>
    <r>
      <rPr>
        <sz val="10"/>
        <color rgb="FF0000FF"/>
        <rFont val="Times New Roman"/>
        <family val="1"/>
      </rPr>
      <t>3.17 to 3.19（6）Fmoc-L-Ala-OH·H2O coupling 芴甲氧羰基-L-丙氨酸一水合物偶联</t>
    </r>
  </si>
  <si>
    <t>3.17.1 to 3.17.3  De-Fmoc/脱Fmoc</t>
  </si>
  <si>
    <t>3.17.1</t>
  </si>
  <si>
    <t>3.17.4 Wash resin/树脂洗涤</t>
  </si>
  <si>
    <t>Add 453.70kg IPAc (6.98W, 8.0Vol) by spray balls into the synthesis reactor TJ4S-1213-Sy16. Turn on the nitrogen of synthesis reactor to 8.5±4m³/h (target: 8.5 m³/h).Bubble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中加453.70kg乙酸异丙酯（6.98W, 8.0Vol）（Acceptable weighing range/可接受称量范围：426.48kg~480.92kg），开启合成釜下口鼓氮气，氮气流速开至8.5±4m³/h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</si>
  <si>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3.17.4</t>
  </si>
  <si>
    <t>3.17.5 and 3.17.6 Wash resin/树脂洗涤</t>
  </si>
  <si>
    <t>3.17.5</t>
  </si>
  <si>
    <t>3.17.7 and 3.17.8 Wash resin/树脂洗涤</t>
  </si>
  <si>
    <t>3.17.7</t>
  </si>
  <si>
    <t>3.18.1 to 3.18.7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</si>
  <si>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Fmoc-L-Ala-OH·H2O (2.00eq) with powder feeding bags into activation tank TJ4S-1213-Sy16-R01. Continue agitation of activation tank to 115±5 rpm (target: 115 rpm). Maintain stirring for NLT 15min. Confirm no visible solids .Adjust to 20±5℃(target：20℃). Add Oxyma Pure (2.00eq) with powder feeding bags into activation tank TJ4S-1213-Sy16-R01 at 20±5℃ (target: 20℃). Rinse reactor wall with 61.75kg DMF (0.95W, 1.0Vol) by spray balls. Add DIC (2.20eq) through metering pump at a reference rate of 40~80 kg/h at 20±5℃ (target: 20℃). The addition rate depends on temperature control. At 20±5℃ (target: 20℃). Continue agitation of activation tank to 115±5 rpm (target: 115 rpm). Maintain stirring for 20±5min (Target:20min) 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芴甲氧羰基-L-丙氨酸一水合物（2.00eq）（Acceptable weighing range/可接受称量范围：_________  kg~____________kg）。维持激活罐搅拌转速至115±5 rpm (目标转速: 115 rpm),继续搅拌至少15min，确认无明显固体，调温至20±5℃(目标温度：20℃)。控内温20±5℃（目标温度:20℃），通过投料袋向激活罐TJ4S-1213-Sy16-R01加入______  kg 2-肟氰乙酸乙酯（2.00eq）（Acceptable weighing range/可接受称量范围：_________kg ~______  kg）。通过淋洗球用61.75kg N,N-二甲基甲酰胺（0.95W，1.0Vol）（Acceptable weighing range/可接受称量范围：58.05kg~65.46kg）淋洗釜壁。控内温20±5℃(目标温度：20℃)，通过计量泵向激活罐TJ4S-1213-Sy16-R01中加入_________kg N,N'-二异丙基碳二亚胺（2.20eq）（Acceptable weighing range/可接受称量范围：_________kg~_________kg），参考加料速度40~80kg/h，实际以控内温为主。滴毕，控内温20±5℃(目标温度：20℃)，维持激活罐搅拌转速至115±5 rpm (目标转速: 115 rpm)，继续搅拌20±5min(目标时间：20min)。</t>
  </si>
  <si>
    <t>3.18.1</t>
  </si>
  <si>
    <t>3.18.5</t>
  </si>
  <si>
    <t>3.19.1 and 3.19.2 Transfer/转移</t>
  </si>
  <si>
    <t>3.19.2</t>
  </si>
  <si>
    <r>
      <rPr>
        <sz val="10"/>
        <color rgb="FF0000FF"/>
        <rFont val="Times New Roman"/>
        <family val="1"/>
      </rPr>
      <t>3.19.3 to 3.19.5 （6）Coupling/偶联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</si>
  <si>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internal temperature in synthesis reactor TJ4S-1213-Sy16 to 【25±5℃ (target: 25℃)】. The mixture is allowed to react at internal temperature【25±5 ℃ (target: 25 ℃), start timing when the temperature reaches 20 ℃. he minimum reaction is 3.5h~8h(target: 4h)】.After 1h±15min (target: 1h), sample the mixture every 1h±15min for Bromophenol‑blue colorimetric test analysis until two consecutive samples test as negative (the resin is yellow to orange, react completely; the resin is blue to black,react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合成釜TJ4S-1213-Sy16内温调温至【25±5℃(目标温度：25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</si>
  <si>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FF"/>
        <rFont val="Times New Roman"/>
        <family val="1"/>
      </rPr>
      <t>3.19.6 and 3.19.7 Wash activation tank and wash resin/激活罐洗涤和树脂洗涤</t>
    </r>
  </si>
  <si>
    <t>Rinse the activation tank TJ4S-1213-Sy16-R01 with 616.20kg DMF (9.48W,10.0Vol) by spray balls. Circulate and clean the activating liquid transfer pipeline1, liquid charging port cleaning pipeline 2 and solid charging port cleaning pipeline 3, clean every pipeline for 2±1min.
 After the liquid is filtered out of the synthesis reactor TJ4S-1213-Sy16 and transfer the liquid to the synthesis reactor TJ4S-1213-Sy16.Turn on the nitrogen of synthesis reactor to 8.5±4m³/h (target: 8.5 m³/h), Bubble with nitrogen for 5±2min(target:5min), Start the agitator of synthesis reactor to 20±10rpm (target: 20 rpm). After stirring for 10±2min (target: 10min), stop stirring, turn off the nitrogen. Start draing the solution from synthesis reactor with diaphramp pump. Drain until there is no drip, the operator visually confirms the draining end point.
通过淋洗球向激活罐中加入616.20kg N, N-二甲基甲酰胺（9.48W ,10.0Vol）（Acceptable weighing range/可接受称量范围：579.23kg~653.17kg），循环清洗激活液转移管路1，液体加料口清洗管路2和固体加料口清洗管路3，每条线路各清洗2±1min。
待合成釜排废完毕后将激活罐中体系转移至合成釜中，开启合成釜下口鼓氮气，氮气流速开至8.5±4m³/h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</si>
  <si>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r>
      <rPr>
        <sz val="10"/>
        <color rgb="FF000000"/>
        <rFont val="Times New Roman"/>
        <family val="1"/>
      </rPr>
      <t>[0min]Line-》DMF-Rinse-&gt;activation tank, weight setting: 616.20kg
[0min] 线路-》DMF-喷淋-&gt;激活罐, 打料量：616.20kg</t>
    </r>
  </si>
  <si>
    <t>3.19.6</t>
  </si>
  <si>
    <r>
      <rPr>
        <sz val="10"/>
        <color rgb="FF0000FF"/>
        <rFont val="Times New Roman"/>
        <family val="1"/>
      </rPr>
      <t>3.20 to 3.22 （7）Fmoc-L-Thr(tBu)-OH coupling 芴甲氧羰基-叔丁基-L-苏氨酸偶联</t>
    </r>
  </si>
  <si>
    <t>3.20.1 to 3.20.3 De-Fmoc/脱Fmoc</t>
  </si>
  <si>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 (target: 25℃). After stirring for 110~130 min (target: 2h) at 25±5℃ (target: 25℃), stop stirring, turn off the nitrogen. Drain until there is no drip, the operator visually confirms the discharge end point. Move to next operation.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rpm)，调温至25±5℃(目标温度：25 ℃)。
控内温25±5℃（目标温度:25℃）搅拌110~130 min（目标时间:2h）后，停止搅拌，关闭氮气，滤除反应液至无滴出，人员目视确认排废终点，进行下一步操作。</t>
  </si>
  <si>
    <t>3.20.1</t>
  </si>
  <si>
    <t>3.20.4 Wash resin/树脂洗涤</t>
  </si>
  <si>
    <t>Add 567.45kg IPAc(8.73W,10.0Vol) by spray balls into the synthesis reactor TJ4S-1213-Sy16. Turn on the nitrogen of synthesis reactor to 8.5±4m³/h (target: 8.5 m³/h) .Bubble with nitrogen for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中加567.45kg 乙酸异丙酯（8.73W,10.0Vol）（Acceptable weighing range/可接受称量范围：533.40kg~601.50kg），开启合成釜下口鼓氮气，氮气流速开至8.5±4m³/h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</si>
  <si>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r>
      <rPr>
        <sz val="10"/>
        <color rgb="FF000000"/>
        <rFont val="Times New Roman"/>
        <family val="1"/>
      </rPr>
      <t>[0min]Line-》IPAC-&gt;synthesis reactor, weight setting: 567.45kg
[0min] 线路-》IPAC-&gt;合成釜, 打料量：567.45kg</t>
    </r>
  </si>
  <si>
    <t>3.20.4</t>
  </si>
  <si>
    <t>3.20.5 and 3.20.6 Wash resin/树脂洗涤</t>
  </si>
  <si>
    <t>Add 616.20kg DMF(9.48W,10.0Vol) by spray balls into the synthesis reactor TJ4S-1213-Sy16.
 Turn on the nitrogen of synthesis reactor to 8.5±4m³/h (target: 8.5 m³/h) .Bubble with nitrogen for for 5±2min (target: 5min), Start the agitator of synthesis reactor to 20±10rpm (target: 20 rpm). After stirring for 15±2min (target: 15min), stop stirring, turn off the nitrogen. Start draing the solution from synthesis reactor with diaphramp pump. Drain until there is no drip, the operator visually confirms the draining end point.
通过淋洗球向合成釜TJ4S-1213-Sy16中加入616.20kg N,N-二甲基甲酰胺（9.48W,10.0Vol）（Acceptable weighing range/可接受称量范围：579.23kg~653.17kg）。
开启合成釜下口鼓氮气，氮气流速开至8.5±4m³/h (目标流速: 8.5 m³/h)，鼓氮气5±2min（目标时间：5min）后，开启固相合成釜搅拌转速至20±10 rpm (目标转速: 20 rpm)，搅拌15min±2min（目标时间:15min）后，停止搅拌，关闭氮气，通过隔膜泵从合成釜中排出溶液。排液至无液体滴出，由操作人员目视确认排液终点。</t>
  </si>
  <si>
    <r>
      <rPr>
        <sz val="10"/>
        <color rgb="FF000000"/>
        <rFont val="Times New Roman"/>
        <family val="1"/>
      </rPr>
      <t>[0min]Line-》DMF-&gt;synthesis reactor, weight setting: 616.20kg
[0min] 线路-》DMF-&gt;合成釜, 打料量：616.20kg</t>
    </r>
  </si>
  <si>
    <t>3.20.5</t>
  </si>
  <si>
    <t>3.20.7 and 3.20.8 Wash resin/树脂洗涤</t>
  </si>
  <si>
    <t>3.20.7</t>
  </si>
  <si>
    <t>3.21.1 to 3.21.7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</si>
  <si>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Fmoc-L-Thr(tBu)-OH(2.00eq) with powder feeding bags into activation tank TJ4S-1213-Sy16-R01. Continue agitation of activation tank to 115±5 rpm (target: 115 rpm). Maintain stirring for NLT 15min. Confirm no visible solids .Adjust the activation tank TJ4S-1213-Sy16-R01 temperature to 20±5℃ (target: 20℃). 
Add Oxyma Pure (2.00eq) with powder feeding bags into activation tank TJ4S-1213-Sy16-R01 at 20±5℃ (target: 20℃). 
Rinse reactor wall with 61.75kg DMF (0.948W, 1.0Vol) by spray balls. 
Add DIC (2.20eq) through peristaltic pump at a reference rate of 40~80 kg/h at 20±5℃ (target: 20℃). The addition rate depends on temperature control.
At 20±5℃ (target: 20℃). Continue agitation of activation tank to 115±5 rpm (target: 115 rpm). Maintain stirring for 20±5min (Target:20min)after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rpm)。通过投料袋向激活罐TJ4S-1213-Sy16-R01中加入_________kg 芴甲氧羰基-叔丁基-L-苏氨酸（2.00eq）（Acceptable weighing range/可接受称量范围：_________  kg~____________kg）。维持激活罐搅拌转速至115±5 rpm (目标转速: 115 rpm)，继续搅拌至少15min。确认无明显固体，激活罐温度TJ4S-1213-Sy16-R01调温至20±5℃（目标温度:20℃）。控内温20±5℃（目标温度:20℃），通过投料袋向激活罐TJ4S-1213-Sy16-R01中加入______  kg 2-肟氰乙酸乙酯（2.00eq）（Acceptable weighing range/可接受称量范围：_________kg ~______  kg）通过淋洗球用61.75kg N,N-二甲基甲酰胺（0.948W，1.0Vol）（Acceptable weighing range/可接受称量范围：58.05kg~65.46kg）淋洗釜壁。
控内温【20±5℃(目标温度：20℃)】，加入_________kg N,N'-二异丙基碳二亚胺（2.20eq）（Acceptable weighing range/可接受称量范围：_________kg~_________kg），参考加料速度40~80kg/h，实际以控内温为主。滴毕，控内温20±5℃(目标温度：20℃)，维持激活罐搅拌转速至115±5 rpm (目标转速: 115 rpm)，继续搅拌20±5min(目标时间：20min)。</t>
  </si>
  <si>
    <t>3.21.1</t>
  </si>
  <si>
    <t>3.21.5</t>
  </si>
  <si>
    <t>3.22.1 and 3.22.2 Transfer/转移</t>
  </si>
  <si>
    <t>3.22.2</t>
  </si>
  <si>
    <r>
      <rPr>
        <sz val="10"/>
        <color rgb="FF0000FF"/>
        <rFont val="Times New Roman"/>
        <family val="1"/>
      </rPr>
      <t>3.22.3 to 3.22.5 （7）Coupling/偶联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</si>
  <si>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internal temperature in synthesis reactor TJ4S-1213-Sy16 to 【25±5℃ (target: 25℃)】. The mixture is allowed to react at internal temperature【 25±5 ℃ (target: 25 ℃), start timing when the temperature reaches 20 ℃. The reaction is 3.5h~8h(target: 4h)】. After 1h±15min (target: 1h), sample the mixture every 1h±15min for Bromophenol‑blue colorimetric test analysis until two consecutive samples test as negative (the resin is yellow to orange, react completely; the resin is blue to black, 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合成釜TJ4S-1213-Sy16内温调温至【25±5℃(目标温度：25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</si>
  <si>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FF"/>
        <rFont val="Times New Roman"/>
        <family val="1"/>
      </rPr>
      <t>3.22.6 and 3.22.7 Wash activation tank and wash resin/激活罐洗涤和树脂洗涤</t>
    </r>
  </si>
  <si>
    <t>3.22.6</t>
  </si>
  <si>
    <t>3.23 to 3.25 （8）Fmoc-L-Asn(Trt)-OH coupling/ Fmoc-N-三苯甲基-L-天冬酰胺偶联</t>
  </si>
  <si>
    <t>3.23.1 to 3.23.3 De-Fmoc/脱Fmoc</t>
  </si>
  <si>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(target: 25℃) 】. After stirring for【110~130 min (target: 2h) at 25±5℃ (target: 25℃)】, stop stirring, turn off the nitrogen. Start draining the solution from synthesis reactor with diaphramp pump. Drain until there is no drip, the operator visually confirms the draining end point.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 ℃(目标温度：25 ℃)】。控内温【25±5℃（目标温度:25℃）搅拌110~130 min（目标时间:2h）】后，停止搅拌，关闭氮气，通过隔膜泵从合成釜中排出溶液。排液至无液体滴出，由操作人员目视确认排液终点。</t>
  </si>
  <si>
    <t>3.23.1</t>
  </si>
  <si>
    <t>3.23.4 Wash resin/树脂洗涤</t>
  </si>
  <si>
    <t>Add 567.45kg IPAc(8.73W,10.0Vol) by spray balls into the synthesis reactor TJ4S-1213-Sy16. Turn on the nitrogen of synthesis reactor to 8.5±4m³/h (target: 8.5 m³/h). 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中加567.45kg 乙酸异丙酯（8.73W,10.0Vol）（Acceptable weighing range/可接受称量范围：533.40kg~601.50kg），开启合成釜下口鼓氮气，氮气流速开至8.5±4m³/h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</si>
  <si>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3.23.4</t>
  </si>
  <si>
    <t>3.23.5 and 3.23.6 Wash resin/树脂洗涤</t>
  </si>
  <si>
    <t>3.23.5</t>
  </si>
  <si>
    <t>3.23.7 and 3.23.8 Wash resin/树脂洗涤</t>
  </si>
  <si>
    <t>3.23.7</t>
  </si>
  <si>
    <t>3.24.1 to 3.24.7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</si>
  <si>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Fmoc-L-Asn(Trt)-OH(2.00eq) with powder feeding bags into activation tank TJ4S-1213-Sy16-R01. Continue agitation of activation tank to 115±5 rpm (target: 115 rpm). Maintain stirring for NLT 15min. Confirm no visible solids. Adjust the activation tank TJ4S-1213-Sy16-R01 temperature to 20±5℃(target：20℃). Add Oxyma Pure (2.00eq) with powder feeding bags into activation tank TJ4S-1213-Sy16-R01 at 20±5℃ (target: 20℃). Rinse reactor wall with 61.75kg DMF (0.95W, 1.0Vol) by spray balls. Add DIC (2.20eq) through metering pump at a reference rate of 40~80 kg/h at 20±5℃ (target: 20℃). The addition rate depends on temperature control. At 20±5℃ (target: 20℃). Continue agitation of activation tank to 115±5 rpm (target: 115 rpm). Maintain stirring for 20±5min (Target:20min)after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Fmoc-N-三苯甲基-L-天冬酰胺（2.00eq）（Acceptable weighing range/可接受称量范围：_________  kg~____________kg）。维持激活罐搅拌转速至115±5 rpm (目标转速: 115 rpm)，继续搅拌至少15min，确认无明显固体，激活罐温度TJ4S-1213-Sy16-R01调温至20±5℃(目标温度：20℃)。控内温20±5℃（目标温度:20℃），通过投料袋向激活罐TJ4S-1213-Sy16-R01加入______  kg 2-肟氰乙酸乙酯（2.00eq）（Acceptable weighing range/可接受称量范围：_________kg ~______  kg）。通过淋洗球用61.75kg N,N-二甲基甲酰胺（0.95W，1.0Vol）（Acceptable weighing range/可接受称量范围：58.05kg~65.46kg）淋洗釜壁。控内温20±5℃(目标温度：20℃)，通过计量泵向激活罐TJ4S-1213-Sy16-R01中加入_________kg N,N'-二异丙基碳二亚胺（2.20eq）（Acceptable weighing range/可接受称量范围：_________kg~_________kg），参考加料速度40~80kg/h，实际以控内温为主。滴毕，维持激活罐搅拌转速至115±5 rpm (目标转速: 115 rpm)，控内温20±5℃(目标温度：20℃)，继续搅拌20±5min(目标时间：20min)。</t>
  </si>
  <si>
    <t>3.24.1</t>
  </si>
  <si>
    <r>
      <rPr>
        <sz val="10"/>
        <color rgb="FF000000"/>
        <rFont val="Times New Roman"/>
        <family val="1"/>
      </rPr>
      <t>Manual add Fmoc-L-Asn(Trt)-OH_AT/手动投料</t>
    </r>
  </si>
  <si>
    <r>
      <rPr>
        <sz val="10"/>
        <color rgb="FF000000"/>
        <rFont val="Times New Roman"/>
        <family val="1"/>
      </rPr>
      <t>[0min]Activation tank: add by manual-》material: Fmoc-L-Asn(Trt)-OH, weight setting: ______kg, weight error: ±______kg
[0min] 激活罐:手动投料-》物料：Fmoc-L-Asn(Trt)-OH，投料重量：______kg，重量误差±______kg</t>
    </r>
  </si>
  <si>
    <t>3.24.5</t>
  </si>
  <si>
    <r>
      <rPr>
        <sz val="10"/>
        <color rgb="FF0000FF"/>
        <rFont val="Times New Roman"/>
        <family val="1"/>
      </rPr>
      <t>3.25.1 and 3.25.2 Transfer/转移</t>
    </r>
  </si>
  <si>
    <t>3.25.2</t>
  </si>
  <si>
    <r>
      <rPr>
        <sz val="10"/>
        <color rgb="FF0000FF"/>
        <rFont val="Times New Roman"/>
        <family val="1"/>
      </rPr>
      <t>3.25.3 to 3.25.5 （8）Coupling/偶联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</si>
  <si>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internal temperature in synthesis reactor TJ4S-1213-Sy16 to 【25±5℃ (target: 25℃)】. The mixture is allowed to react at  internal temperature 25±5 ℃ (target: 25 ℃), start timing when the temperature reaches 20 ℃. The reaction is 3.5h~8h(target: 4h).After 1h±15min (target: 1h), sample the mixture every 1h±15min for Bromophenol‑blue colorimetric test analysis until two consecutive samples test as negative (the resin is yellow to orange, react completely; the resin is blue to black,react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合成釜TJ4S-1213-Sy16内温调温至【25±5℃(目标温度：25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</si>
  <si>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r>
      <rPr>
        <sz val="10"/>
        <color rgb="FF000000"/>
        <rFont val="Times New Roman"/>
        <family val="1"/>
      </rPr>
      <t>TCT_SR/</t>
    </r>
    <r>
      <rPr>
        <i/>
        <sz val="10"/>
        <color rgb="FF000000"/>
        <rFont val="Times New Roman"/>
        <family val="1"/>
      </rPr>
      <t>温控计时-取样</t>
    </r>
  </si>
  <si>
    <r>
      <rPr>
        <sz val="10"/>
        <color rgb="FF0000FF"/>
        <rFont val="Times New Roman"/>
        <family val="1"/>
      </rPr>
      <t>3.25.6 and 3.25.7Wash activation tank and wash resin/激活罐洗涤和树脂洗涤</t>
    </r>
  </si>
  <si>
    <t>3.25.6</t>
  </si>
  <si>
    <r>
      <rPr>
        <sz val="10"/>
        <color rgb="FF0000FF"/>
        <rFont val="Times New Roman"/>
        <family val="1"/>
      </rPr>
      <t>3.26 to 3.28 （9）Fmoc-L-Cys(Trt)-OH coupling Fmoc-S-三苯甲基-L-半胱氨酸偶联</t>
    </r>
  </si>
  <si>
    <t>3.26.1 to 3.26.3 De-Fmoc/脱Fmoc</t>
  </si>
  <si>
    <r>
      <rPr>
        <sz val="10"/>
        <color rgb="FF000000"/>
        <rFont val="Times New Roman"/>
        <family val="1"/>
      </rPr>
      <t>JTR_SR_On/</t>
    </r>
    <r>
      <rPr>
        <i/>
        <sz val="10"/>
        <color rgb="FF000000"/>
        <rFont val="Times New Roman"/>
        <family val="1"/>
      </rPr>
      <t>保温开</t>
    </r>
  </si>
  <si>
    <t>3.26.1</t>
  </si>
  <si>
    <t>3.26.4 Wash resin/树脂洗涤</t>
  </si>
  <si>
    <t>Add 567.45kg IPAc(8.73W,10.0Vol) by spray balls into the synthesis reactor TJ4S-1213-Sy16. Turn on the nitrogen of synthesis reactor to 8.5±4m³/h (target: 8.5 m³/h) . 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中加567.45kg 乙酸异丙酯（8.73W,10.0Vol）（Acceptable weighing range/可接受称量范围：533.40kg~601.50kg），开启合成釜下口鼓氮气，氮气流速开至8.5±4m³/h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</si>
  <si>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3.26.4</t>
  </si>
  <si>
    <t>3.26.5 and 3.26.6 Wash resin/树脂洗涤</t>
  </si>
  <si>
    <t>3.26.5</t>
  </si>
  <si>
    <t>3.26.7 and 3.26.8 Wash resin/树脂洗涤</t>
  </si>
  <si>
    <t>3.27.1 to 3.27.5 Dissolve and activate/溶解与活化</t>
  </si>
  <si>
    <t>Adjust the jacket temperature of activation tank TJ4S-1213-Sy16-R01 to 20±5℃ (target: 20℃). Add 369.85kg DMF (5.69W, 6.0Vol) by spray balls into activation tank TJ4S-1213-Sy16-R01. Start the agitator of activation tank to 115±5 rpm (target: 115 rpm).
 Add Fmoc-L-Cys(Trt)-OH (2.00eq) with powder feeding bags into activation tank TJ4S-1213-Sy16-R01. Add Oxyma Pure (3.00eq) with powder feeding bags into activation tank TJ4S-1213-Sy16-R01. Rinse reactor wall with 61.75kg DMF (0.95W, 1.0Vol) by spray balls. Continue agitation of activation tank to 115±5 rpm (target: 115 rpm). Maintain stirring for NLT 15min. .Confirm no visible solids and later use. Adjust to 5±5 ℃. Continue agitation of activation tank to 115±5 rpm (target: 115 rpm). Maintain stirring for 5±5min (Target:5min) at 5±5 ℃ (target: 5℃).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Fmoc-S-三苯甲基-L-半胱氨酸（2.00eq）（Acceptable weighing range/可接受称量范围：_________  kg~____________kg）。通过投料袋向激活罐TJ4S-1213-Sy16-R01加入_______________  kg 2-肟氰乙酸乙酯（3.00eq）（Acceptable weighing range/可接受称量范围：_________kg ~______  kg）。通过淋洗球用61.75kg N,N-二甲基甲酰胺（0.95W，1.0Vol）（Acceptable weighing range/可接受称量范围：58.05kg~65.46kg）淋洗釜壁。维持激活罐搅拌转速至115±5 rpm (目标转速: 115 rpm),继续搅拌至少15min。确认无明显固体，待用。调温至5±5 ℃。控内温5±5 ℃（目标温度:5℃），维持激活罐搅拌转速至115±5 rpm (目标转速: 115 rpm)，继续搅拌5±5min(目标时间：5min)，待用。</t>
  </si>
  <si>
    <t>3.27.1</t>
  </si>
  <si>
    <r>
      <rPr>
        <sz val="10"/>
        <color rgb="FF000000"/>
        <rFont val="Times New Roman"/>
        <family val="1"/>
      </rPr>
      <t>Manual add Fmoc-L-Cys(Trt)-OH_AT/手动投料</t>
    </r>
  </si>
  <si>
    <r>
      <rPr>
        <sz val="10"/>
        <color rgb="FF000000"/>
        <rFont val="Times New Roman"/>
        <family val="1"/>
      </rPr>
      <t>[0min]Activation tank: add by manual-》material: Fmoc-L-Cys(Trt)-OH, weight setting: ______kg, weight error: ±______kg
[0min] 激活罐:手动投料-》物料：Fmoc-L-Cys(Trt)-OH，投料重量：______kg，重量误差±______kg</t>
    </r>
  </si>
  <si>
    <t>3.27.4</t>
  </si>
  <si>
    <r>
      <rPr>
        <sz val="10"/>
        <color rgb="FF0000FF"/>
        <rFont val="Times New Roman"/>
        <family val="1"/>
      </rPr>
      <t>3.28.1 and 3.28.2 Transfer/转移</t>
    </r>
  </si>
  <si>
    <t>3.28.2</t>
  </si>
  <si>
    <r>
      <rPr>
        <sz val="10"/>
        <color rgb="FF0000FF"/>
        <rFont val="Times New Roman"/>
        <family val="1"/>
      </rPr>
      <t>3.28.3 and 3.28.4 Prepare DIC/DMF solution/配溶液</t>
    </r>
  </si>
  <si>
    <t>Add 61.75kg DMF (0.95W, 1.0Vol) into the Hastelloy agitator tank TJ4S-1200-AT01. Start the agitator of the tank to 60±20 rpm (target: 60 rpm).Then add DIC(3.30eq) by peristaltic pump. 
Continue agitation of tank to 60±20 rpm (target: 60rpm). Maintain stirring for NLT 15min for later use.
向哈氏合金搅拌罐TJ4S-1200-AT01中加入61.75kg N,N-二甲基甲酰胺（0.95W, 1.0Vol）（Acceptable weighing range/可接受称量范围：58.05kg~65.46kg），开启搅拌转速至60±20 rpm (目标转速: 60 rpm)。通过蠕动泵泵入_________kg N,N’-二异丙基碳二亚胺（3.30eq）（Acceptable weighing range/可接受称量范围：_________kg~_________kg）。
维持搅拌罐搅拌转速至60±20 rpm(目标转速：60rpm)。继续搅拌至少15min，待用。</t>
  </si>
  <si>
    <t>Note: prapare solution in Hastelloy lined agitator tank, there is no instruction.
说明：使用哈氏合金搅拌罐配制，无指令。</t>
  </si>
  <si>
    <t>3.28.3</t>
  </si>
  <si>
    <r>
      <rPr>
        <sz val="10"/>
        <color rgb="FF0000FF"/>
        <rFont val="Times New Roman"/>
        <family val="1"/>
      </rPr>
      <t>3.28.5 to 3.28.9 （9）Coupling/偶联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</si>
  <si>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mixture in synthesis reactor TJ4S-1213-Sy16 to15~25℃（Target:20 ℃）. Transfer the DIC/DMF solution (Prepared in Ins.3.28.4) into the mixture at  internal temperature 15~25℃（Target：20℃）. Adjust the internal temperature in synthesis reactor TJ4S-1213-Sy16 to 20±5℃ (target: 20℃). The mixture is allowed to react at【20±5 ℃ (target: 20 ℃)】, start timing when the temperature reaches 15 ℃). The reaction is 3.5h~8h(target: 4h) . After 1h±15min (target: 1h), sample the mixture every 1h±15min for Bromophenol‑blue colorimetric test analysis until two consecutive samples test as negative (the resin is yellow to orange, react completely; the resin is blue to black,react imcompletely) or the reaction has stirred for 3.5h~8h(target: 4h), whichever is longer. Stop the stirrer and turn off the nitrogen. Start draining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合成釜TJ4S-1213-Sy16调温至15~25℃（目标温度:20C）。控内温15~25℃（目标温度：20℃），转移操作3.13.4配制的N,N’-二异丙基碳二亚胺/N,N-二甲基甲酰胺溶液。合成釜TJ4S-1213-Sy16内温调温至20±5℃(目标温度：20 ℃)。控内温【20±5℃（目标温度20℃，15℃开始计时）】, 反应时间是3.5h~8h(目标时间：4h), 反应1h±15min（目标时间:1h）后取样进行溴酚蓝检测。每隔1h±15min取样一次，直至连续两次取样结果阴性（树脂黄色至橙色，反应完全; 树脂蓝色至黑色，反应不完全），或者反应已经搅拌了3.5h~8h(目标时间：4h)，以较长时间的情况为准。停止搅拌，关闭氮气，通过隔膜泵从合成釜中排出溶液。排液至无液体滴出，由操作人员目视确认排液终点。</t>
  </si>
  <si>
    <t>JTR_SR_Off/保温关</t>
  </si>
  <si>
    <r>
      <rPr>
        <sz val="10"/>
        <color rgb="FF0000FF"/>
        <rFont val="Times New Roman"/>
        <family val="1"/>
      </rPr>
      <t>3.28.10 and 3.28.11 Wash activation tank and wash resin/激活罐洗涤和树脂洗涤</t>
    </r>
  </si>
  <si>
    <t>3.28.10</t>
  </si>
  <si>
    <r>
      <rPr>
        <sz val="10"/>
        <color rgb="FF0000FF"/>
        <rFont val="Times New Roman"/>
        <family val="1"/>
      </rPr>
      <t>3.29 to 3.31 （10）Boc-L-Glu-OtBu coupling Boc-L-谷氨酸-1-叔丁酯偶联</t>
    </r>
  </si>
  <si>
    <t>3.29.1 to 3.29.3 De-Fmoc/脱Fmoc</t>
  </si>
  <si>
    <t>Adjust the jacket temperature of synthesis reactor TJ4S-1213-Sy16 to 25±5℃ (target: 25℃). Add 483.60kg 20% (V/V) piperidine/DMF (7.44W, 8.0Vol) solution into the synthesis reactor.
 Turn on the nitrogen of synthesis reactor to 8.5±4m³/h (target: 8.5 m³/h). Bubble with nitrogen for 5±2 min (target :5 min). Start the agitator of synthesis reactor to 20±10rpm (target: 20 rpm). Adjust to 25±5 ℃ (target: 25℃). After stirring for 110~130 min (target: 2 h) at 25±5 ℃ (target: 25 ℃), stop stirring, turn off the nitrogen. Start draining the solution from synthesis reactor with diaphramp pump. Drain until there is no drip, the operator visually confirms the draining end point.
将合成釜TJ4S-1213-Sy16夹套调温至25±5℃（目标温度：25℃）。向合成釜中加入483.60kg 20%（v/v）哌啶/DMF溶液（7.44W, 8.0Vol）（Acceptable weighing range/可接受称量范围：454.58kg~512.62kg）。开启合成釜下口鼓氮气，氮气流速开至8.5±4m³/h (目标流速: 8.5 m³/h)，鼓氮气5±2 min (目标时间：5 min)后开启固相合成釜搅拌转速至20±10 rpm (目标转速: 20 rpm)，调温至25±5℃(目标温度：25 ℃)。
控内温25±5℃(目标温度：25 ℃)， 搅拌110~130 min（目标时间：2 h）后，停止搅拌，关闭氮气，通过隔膜泵从合成釜中排出溶液。排液至无液体滴出，由操作人员目视确认排液终点。</t>
  </si>
  <si>
    <t>3.29.1</t>
  </si>
  <si>
    <t>3.29.4 Wash resin/树脂洗涤</t>
  </si>
  <si>
    <t>Add 567.45kg IPAc(8.73W,10.0Vol) by spray balls into the synthesis reactor TJ4S-1213-Sy16. Turn on the nitrogen of synthesis reactor to 8.5±4m³/h (target: 8.5 m³/h). Bubble with nitrogen for 5±2min (target: 5min). Start the agitator of synthesis reactor to 20±10rpm (target: 20 rpm). After stirring for 10±2min (target: 10min), stop stirring, turn off the nitrogen. Start draining the solution from synthesis reactor with diaphramp pump. Drain until there is no drip, the operator visually confirms the draining end point.
向合成釜TJ4S-1213-Sy16 中加567.45kg 乙酸异丙酯（8.73W,10.0Vol）（Acceptable weighing range/可接受称量范围：533.40kg~601.50kg），开启合成釜下口鼓氮气，氮气流速开至8.5±4m³/h (目标流速: 8.5 m³/h)，鼓氮气5±2min（目标时间：5min）后，开启固相合成釜搅拌转速至20±10 rpm (目标转速: 20 rpm)，搅拌10±2min（目标时间：10min）后，停止搅拌，关闭氮气，通过隔膜泵从合成釜中排出溶液。排液至无液体滴出，由操作人员目视确认排液终点。</t>
  </si>
  <si>
    <t>3.29.4</t>
  </si>
  <si>
    <t>3.29.5 and 3.29.6 Wash resin/树脂洗涤</t>
  </si>
  <si>
    <t>3.29.5</t>
  </si>
  <si>
    <t>3.29.7 and 3.29.8 Wash resin/树脂洗涤</t>
  </si>
  <si>
    <t>3.29.7</t>
  </si>
  <si>
    <t>3.30.1 to 3.30.9 Dissolve and activate/溶解与活化</t>
  </si>
  <si>
    <t>Adjust the jacket temperature of activation tank TJ4S-1213-Sy16-R01 to 20±5℃ (target: 20℃). Add 369.85kg DMF (5.69W, 6.0Vol) by spray balls into activation tank TJ4S-1213-Sy16-R01. Start the agitator of activation tank to 115±5 rpm (target: 115 rpm). Add Boc-L-Glu-OtBu (2.00eq) with powder feeding bags into activation tank TJ4S-1213-Sy16-R01. Continue agitation of activation tank to 115±5 rpm (target: 115 rpm). Maintain stirring for NLT 15min. Confirm no visible solids .Adjust the activation tank TJ4S-1213-Sy16-R01 temperature to 5±5℃. Add PyBOP (2.0eq) with powder feeding bags into activation tank TJ4S-1213-Sy16-R01 at 5±5℃ (target: 5℃). Add Oxyma Pure (2.00eq) with powder feeding bags into activation tank TJ4S-1213-Sy16-R01 at 5±5℃ (target: 5℃). Rinse reactor wall with 61.75kg DMF (0.95W, 1.0Vol) by spray balls.  Add DIPEA (3.00eq) through metering pump into activation tank TJ4S-1213-Sy16-R01 at a reference rate of 20~40 kg/h at 5±5℃ (target: 5℃). The addition rate depends on temperature control. Adjust the temperature of activation tank TJ4S-1213-Sy16-R01 to 20±5℃ (target: 20℃). At 20±5℃ (target: 20℃). Continue agitation of activation tank to 115±5 rpm (target: 115 rpm). Maintain stirring for 20±5min (Target: 20min)after addition.
将激活罐TJ4S-1213-Sy16-R01夹套调温至20±5℃（目标温度：20℃）。通过淋洗球向激活罐TJ4S-1213-Sy16-R01中加入369.85kg N, N-二甲基甲酰胺（5.69W, 6.0Vol）（Acceptable weighing range/可接受称量范围：351.36kg~388.34kg），开启激活罐搅拌转速至115±5 rpm (目标转速: 115 rpm)。
通过投料袋向激活罐TJ4S-1213-Sy16-R01中加入_________kg Boc-L-谷氨酸-1-叔丁酯（2.00eq）（Acceptable weighing range/可接受称量范围：_________  kg~____________kg）。维持激活罐搅拌转速至115±5 rpm (目标转速: 115 rpm)，继续搅拌至少15min，确认无明显固体，激活罐温度TJ4S-1213-Sy16-R01调温至5±5℃。控温5±5℃（目标温度:5℃），通过投料袋向激活罐TJ4S-1213-Sy16-R01中加入_________  kg 1H-苯并三唑-1-基氧三吡咯烷基六氟磷酸盐（2.00eq）（Acceptable weighing range/可接受称量范围：______  kg~_______________ kg）。控内温5±5℃（目标温度:5℃），通过投料袋向激活罐TJ4S-1213-Sy16-R01中加入____________kg 2-肟氰乙酸乙酯（2.00eq）（Acceptable weighing range/可接受称量范围：_________kg ~______  kg）。通过淋洗球用61.75kg N,N-二甲基甲酰胺（0.95W，1.0Vol）（Acceptable weighing range/可接受称量范围：58.05kg~65.46kg）淋洗釜壁。控内温5±5℃(目标温度：5℃)，通过计量泵向激活罐TJ4S-1213-Sy16-R01中加入_________kg N,N-二异丙基乙胺（3.00eq）（Acceptable weighing range/可接受称量范围：_________kg~_________kg），参考加料速度20~40kg/h，实际以控内温为主。将激活罐TJ4S-1213-Sy16-R01调温至20±5℃（目标温度：20℃）。滴毕，控内温20±5℃(目标温度：20℃)，维持激活罐搅拌转速至115±5 rpm (目标转速: 115 rpm)，继续搅拌20±5min(目标时间：20min)。</t>
  </si>
  <si>
    <t>3.30.1</t>
  </si>
  <si>
    <r>
      <rPr>
        <sz val="10"/>
        <color rgb="FF000000"/>
        <rFont val="Times New Roman"/>
        <family val="1"/>
      </rPr>
      <t>Manual add Boc-L-Glu-OtBu_AT/手动投料</t>
    </r>
  </si>
  <si>
    <r>
      <rPr>
        <sz val="10"/>
        <color rgb="FF000000"/>
        <rFont val="Times New Roman"/>
        <family val="1"/>
      </rPr>
      <t>[0min]Activation tank: add by manual-》material: Boc-L-Glu-OtBu, weight setting: ______kg, weight error: ±______kg
[0min] 激活罐:手动投料-》物料：Boc-L-Glu-OtBu，投料重量：______kg，重量误差±______kg</t>
    </r>
  </si>
  <si>
    <r>
      <rPr>
        <sz val="10"/>
        <color rgb="FF000000"/>
        <rFont val="Times New Roman"/>
        <family val="1"/>
      </rPr>
      <t>Manual add PyBop_AT/手动投料</t>
    </r>
  </si>
  <si>
    <t>3.30.6</t>
  </si>
  <si>
    <t>TCT_SR/温控计时</t>
  </si>
  <si>
    <r>
      <rPr>
        <sz val="10"/>
        <color rgb="FFFE0300"/>
        <rFont val="Times New Roman"/>
        <family val="1"/>
      </rPr>
      <t>[0min]Drip 2-》Material: DIPEA, weight setting: ______kg, the time of the drip: 80min, the temperature of start drip range setting: 0-6℃, the temperature of stop drip range setting: 0-7℃
[0min] 滴加线路2-》物料：DIPEA, 滴加重量：______kg, 滴加时间：80min,泵启上下限：0-6℃, 泵停上下限：0-7℃</t>
    </r>
  </si>
  <si>
    <t>[0min]The jacket temperature of activation tank-》Type: maintain, the jacket temperature setting: 0℃, shutdown
[0min] 激活罐:控温-》类型：保温, 夹套进口温度设定值:0℃,停止</t>
  </si>
  <si>
    <r>
      <rPr>
        <sz val="10"/>
        <color rgb="FF0000FF"/>
        <rFont val="Times New Roman"/>
        <family val="1"/>
      </rPr>
      <t>3.31.1 and 3.31.2 Transfer/转移</t>
    </r>
  </si>
  <si>
    <t>3.31.2</t>
  </si>
  <si>
    <r>
      <rPr>
        <sz val="10"/>
        <color rgb="FF0000FF"/>
        <rFont val="Times New Roman"/>
        <family val="1"/>
      </rPr>
      <t>3.31.3 to 3.31.5 （10）Coupling/偶联</t>
    </r>
  </si>
  <si>
    <t>Turn on the nitrogen of synthesis reactor to 8.5±4m³/h (target: 8.5 m³/h) Bubble with nitrogen for 5±2min (target: 5min), Start the agitator of synthesis reactor to 20±10rpm (target: 20 rpm). Stir for 10min±5min (target: 10min). Transfer the mixture(DMF) from the activation tank TJ4S-1213-Sy16-R01 to the synthesis reactor TJ4S-1213-Sy16.
 Adjust the  internal temperature in synthesis reactor TJ4S-1213-Sy16 to 【25±5℃ (target: 25℃)】. The mixture is allowed to react at internal temperature【 25±5 ℃ (target: 25 ℃) 】,start timing when the temperature reaches 20 ℃. The reaction is 3.5h~8h(target: 4h).After 1h±15min (target: 1h), sample the mixture every 1h±15min for Bromophenol‑blue colorimetric test analysis until two consecutive samples test as negative (the resin is yellow to orange, react completely; the resin is blue to black,react imcompletely) or the reaction has stirred for 3.5h~8h(target: 4h), whichever is longer. Stop the stirrer and turn off the nitrogen. Start drain the solution from synthesis reactor with diaphramp pump. Drain until there is no drip, the operator visually confirms the draining end point.
开启合成釜下口鼓氮气，氮气流速开至8.5±4m³/h (目标流速: 8.5 m³/h)，鼓氮气5±2min（目标时间：5min）后开启固相合成釜搅拌转速至20±10 rpm (目标转速: 20 rpm)，激活罐TJ4S-1213-Sy16-R01中体系转移至合成釜TJ4S-1213-Sy16中。
合成釜TJ4S-1213-Sy16内温调温至【25±5℃(目标温度：25 ℃)】。控内温【25±5℃（目标温度25℃，20℃开始计时）】反应时间是3.5h~8h(目标时间：4h)。反应1h±15min（目标时间:1h）后取样进行溴酚蓝检测。每隔1h±15min取样一次，直至连续两次取样结果阴性（树脂黄色至橙色，反应完全; 树脂蓝色至黑色，反应不完全），或者反应已经搅拌了3.5h~8h (目标时间：4h)，以较长时间的情况为准。停止搅拌，关闭氮气，通过隔膜泵从合成釜中排出溶液。排液至无液体滴出，由操作人员目视确认排液终点。</t>
  </si>
  <si>
    <r>
      <rPr>
        <sz val="10"/>
        <color rgb="FF0000FF"/>
        <rFont val="Times New Roman"/>
        <family val="1"/>
      </rPr>
      <t>3.31.6 and 3.31.7 Wash activation tank and wash resin/激活罐洗涤和树脂洗涤</t>
    </r>
  </si>
  <si>
    <t>3.31.6</t>
  </si>
  <si>
    <r>
      <rPr>
        <sz val="10"/>
        <color rgb="FF0000FF"/>
        <rFont val="Times New Roman"/>
        <family val="1"/>
      </rPr>
      <t>3.32 Iodine oxidation 碘氧化</t>
    </r>
  </si>
  <si>
    <r>
      <rPr>
        <sz val="10"/>
        <color rgb="FF0000FF"/>
        <rFont val="Times New Roman"/>
        <family val="1"/>
      </rPr>
      <t>3.32.1 to 3.32.4 Dissolve/溶解</t>
    </r>
  </si>
  <si>
    <t>Note: prapare solution in glass lined agitator tank, there is no instruction.
说明：使用搪玻璃搅拌罐配制，无指令。</t>
  </si>
  <si>
    <t>3.32.1</t>
  </si>
  <si>
    <r>
      <rPr>
        <sz val="10"/>
        <color rgb="FF0000FF"/>
        <rFont val="Times New Roman"/>
        <family val="1"/>
      </rPr>
      <t>3.32.5 to 3.32.8 Iodine oxidation/碘氧化</t>
    </r>
  </si>
  <si>
    <t>Add 739.05 Kg DMF (11.37W, 12.0Vol) into synthesis reactor TJ4S-1213-Sy16 by spray balls.
Turn on the nitrogen of synthesis reactor to 8.5±4m³/h (target: 8.5 m³/h) for 5±2min (target: 5min), Start the agitator of synthesis reactor to 20±10rpm (target: 20 rpm). Adjust the  internal temperature to【-5±5℃ (target: -5℃)】. Transfer the I2 /DMF solution into synthesis reactor TJ4S-1213-Sy16 at internal temperature【-5±5℃ (target: -5℃)】through metering pump within 【30~80min (target: 50min)】. After addition, stop stirring and turn off the nitrogen. Start draining the solution from synthesis reactor with diaphramp pump within 【0~25min (target: 0min)】. Drain until there is no drip, the operator visually confirms the draining end point.
通过淋洗球向合成釜TJ4S-1213-Sy16中加入739.05 Kg N,N-二甲基甲酰胺（11.37W,12.0Vol）（Acceptable weighing range/可接受称量范围： 694.71kg~783.39kg）。
开启合成釜TJ4S-1213-Sy16下口鼓氮气，鼓氮气5±2min（目标时间：5min）后开启固相合成釜搅拌转速至20±10 rpm (目标转速: 20 rpm)。内温调温至【-5±5℃（目标温度：-5℃）】。控内温【-5±5℃（目标温度：-5℃）】，通过计量泵向合成釜中转移碘/DMF溶液，滴加时间【30~80min（目标时间：50min）】。滴加完毕，停止搅拌，关闭氮气，通过隔膜泵【0~25min (target: 0min)】内从合成釜中排出溶液。排液至无液体滴出，由操作人员目视确认排液终点。</t>
  </si>
  <si>
    <t>[0min]Line-》DMF-&gt;synthesis reactor, weight setting: 739.05kg
[0min] 线路-》DMF-&gt;合成釜, 打料量：739.05kg</t>
  </si>
  <si>
    <t>3.32.5</t>
  </si>
  <si>
    <r>
      <rPr>
        <sz val="10"/>
        <color rgb="FF000000"/>
        <rFont val="Times New Roman"/>
        <family val="1"/>
      </rPr>
      <t>[0min]The jacket temperature of synthesis reactor-》Type: maintain, the jacket inlet temperature setting: -15℃, start-up
[0min] 合成釜:控温-》类型：保温, 夹套进口温度设定值:-15℃,启动</t>
    </r>
  </si>
  <si>
    <t>[0min]Temperature control timing of synthesis reactor-》Temperature range setting: -10--5℃, time setting: 0.1min. Over-temperature warning L/H limit: -8/-5℃
[0min] 合成釜:温控计时反应-》温度区间-10--5℃环境下反应0.1min.预警下限/上限-8/-5℃</t>
  </si>
  <si>
    <r>
      <rPr>
        <sz val="10"/>
        <color rgb="FF000000"/>
        <rFont val="Times New Roman"/>
        <family val="1"/>
      </rPr>
      <t>[0min]The jacket temperature of synthesis reactor-》Type: maintain, the jacket inlet temperature setting: -15℃, shutdown
[0min] 合成釜:控温-》类型：保温, 夹套进口温度设定值:-15℃,停止</t>
    </r>
  </si>
  <si>
    <r>
      <rPr>
        <sz val="10"/>
        <color rgb="FF000000"/>
        <rFont val="Times New Roman"/>
        <family val="1"/>
      </rPr>
      <t>[0min]The jacket temperature of synthesis reactor-》Type: maintain, the jacket inlet temperature setting: -10℃, start-up
[0min] 合成釜:控温-》类型：保温, 夹套进口温度设定值:-10℃,启动</t>
    </r>
  </si>
  <si>
    <t>Pause_SR/暂停-确认管路</t>
  </si>
  <si>
    <t>Pause:Execution type : Parallel-synthesis reactor
暂停-》 控制类型：并行-合成釜</t>
  </si>
  <si>
    <r>
      <rPr>
        <sz val="10"/>
        <color rgb="FF000000"/>
        <rFont val="Times New Roman"/>
        <family val="1"/>
      </rPr>
      <t>TCT_SR/</t>
    </r>
    <r>
      <rPr>
        <i/>
        <sz val="10"/>
        <color rgb="FF000000"/>
        <rFont val="Times New Roman"/>
        <family val="1"/>
      </rPr>
      <t>温控计时-加碘/DMF溶液</t>
    </r>
  </si>
  <si>
    <t>[0min]Temperature control timing of synthesis reactor-》Temperature range setting: -10-0℃, time setting: 9999min. Over-temperature warning L/H limit: -8/-2℃
[0min] 合成釜:温控计时反应-》温度区间-10-0℃环境下反应9999min.预警下限/上限-8/-2℃</t>
  </si>
  <si>
    <t>Drain_SR_Waste 4/排废4</t>
  </si>
  <si>
    <t>[0min]Line-》synthesis reactor-&gt;waste tank（4）, according to human judgement.
[0min] 线路-》合成釜-&gt;废液罐（氨基酸活化后溶液&amp;洗脱4_现场_人工判定）,人工判定！,</t>
  </si>
  <si>
    <r>
      <rPr>
        <sz val="10"/>
        <color rgb="FF0000FF"/>
        <rFont val="Times New Roman"/>
        <family val="1"/>
      </rPr>
      <t>Adjust the jacket temperature/夹套调温</t>
    </r>
  </si>
  <si>
    <t>Set the jacket temperature of synthesis reactor TJ4S-1213-Sy16 to -5~0℃ (target: -3℃). 
将合成釜中TJ4S-1213-Sy16夹套温度设定为-5~0℃ (目标温度: -3℃),</t>
  </si>
  <si>
    <r>
      <rPr>
        <sz val="10"/>
        <color rgb="FF000000"/>
        <rFont val="Times New Roman"/>
        <family val="1"/>
      </rPr>
      <t>[0min]The jacket temperature of synthesis reactor-》Type: maintain, the jacket inlet temperature setting: -10℃, shutdown
[0min] 合成釜:控温-》类型：保温, 夹套进口温度设定值:-10℃,停止</t>
    </r>
  </si>
  <si>
    <t>[0min]The jacket temperature of synthesis reactor-》Type: maintain, the jacket inlet temperature setting: -3℃, start-up
[0min] 合成釜:控温-》类型：保温, 夹套进口温度设定值:-3℃,启动</t>
  </si>
  <si>
    <t>3.32.9 and 3.32.10 Wash resin/树脂洗涤</t>
  </si>
  <si>
    <t>[0min]The jacket temperature of activation tank-》Type: maintain, the jacket temperature setting: -10℃, start-up
[0min] 激活罐:控温-》类型：保温, 夹套进口温度设定值:-10℃,启动</t>
  </si>
  <si>
    <t>Add DMF_AT/DMF进料</t>
  </si>
  <si>
    <t>[0min]Line-》DMF-Rinse-&gt;activation tank, weight setting: 616.20kg
[0min] 线路-》DMF-喷淋-&gt;激活罐, 打料量：616.20kg</t>
  </si>
  <si>
    <t>3.32.9</t>
  </si>
  <si>
    <t>[0min]Line-》DMF Rinse-Nitrogen purge-&gt;activation tank, time setting: 0.1min
[0min] 线路-》DMF-喷淋-氮气吹扫-&gt;激活罐, 打料时间：0.1min</t>
  </si>
  <si>
    <t>[0min]Activation tank agitator-》Speed setting: 115r/min, start-up
[0min] 激活罐搅拌机-》转速：115r/min,启动</t>
  </si>
  <si>
    <t>TCT_AT/确认达到温度范围</t>
  </si>
  <si>
    <t>[0min]Temperature control timing of activation tank-》Temperature range setting: -5--3℃, time setting: 0.1min. Over-temperature warning L/H limit: -4/-3℃
[0min] 激活罐:温控计时反应-》温度区间-5--3℃环境下反应0.1min. 预警下限/上限-4/-3℃</t>
  </si>
  <si>
    <t>[0min]The jacket temperature of activation tank-》Type: maintain, the jacket temperature setting: -10℃, shutdown
[0min] 激活罐:控温-》类型：保温, 夹套进口温度设定值:-10℃,停止</t>
  </si>
  <si>
    <t>[0min]The jacket temperature of activation tank-》Type: maintain, the jacket temperature setting: -5℃, start-up
[0min] 激活罐:控温-》类型：保温, 夹套进口温度设定值:-5℃,启动</t>
  </si>
  <si>
    <t>[0min]Temperature control timing of activation tank-》Temperature range setting: -5-0℃, time setting: 9999min. Over-temperature warning L/H limit: -4/-1℃
[0min] 激活罐:温控计时反应-》温度区间-5-0℃环境下反应9999min.预警下限/上限-4/-1℃</t>
  </si>
  <si>
    <t>[0min]Activation tank agitator-》Speed setting: 115r/min, shutdown
[0min] 激活罐搅拌机-》转速：115r/min,停止</t>
  </si>
  <si>
    <t>Synchronization/同步</t>
  </si>
  <si>
    <t>Transfer AT_SR/转移</t>
  </si>
  <si>
    <t>Nitrogen_Transfer AT_SR/转移吹扫</t>
  </si>
  <si>
    <t>[0min]Line-》Nitrogen purge for activation tank-&gt;synthesis reactor, time setting: 1min
[0min] 线路-》激活罐-氮气吹扫-&gt;合成釜, 打料时间：1min</t>
  </si>
  <si>
    <t>[0min]The jacket temperature of activation tank-》Type: maintain, the jacket temperature setting: -5℃, shutdown
[0min] 激活罐:控温-》类型：保温, 夹套进口温度设定值:-5℃,停止</t>
  </si>
  <si>
    <t>Stir_SR_On/搅拌开</t>
  </si>
  <si>
    <t>TCT_SR/确认达到温度范围</t>
  </si>
  <si>
    <t>[0min]Temperature control timing of synthesis reactor-》Temperature range setting: -4--2℃, time setting: 0.1min. Over-temperature warning L/H limit: -4/-2℃
[0min] 合成釜:温控计时反应-》温度区间-4--2℃环境下反应0.1min.预警下限/上限-4/-2℃</t>
  </si>
  <si>
    <t>[0min]Temperature control timing of synthesis reactor-》Temperature range setting: -5-0℃, time setting: 15min. Over-temperature warning L/H limit: -4/-1℃
[0min] 合成釜:温控计时反应-》温度区间-5-0℃环境下反应15min.预警下限/上限-4/-1℃</t>
  </si>
  <si>
    <t>Stir_SR_Off/搅拌关</t>
  </si>
  <si>
    <t>[0min]synthesis reactor agitator-》Speed setting: 20r/min, shutdown
[0min] 合成釜搅拌机-》转速：20r/min,停止</t>
  </si>
  <si>
    <r>
      <rPr>
        <sz val="10"/>
        <color rgb="FF000000"/>
        <rFont val="Times New Roman"/>
        <family val="1"/>
      </rPr>
      <t>Pause_SR/暂停-确认管路</t>
    </r>
  </si>
  <si>
    <t>3.32.11 and 3.32.12 Wash resin/树脂洗涤</t>
  </si>
  <si>
    <t>Add 616.20kg DMF (9.48W, 10.0Vol) by spray balls into activation tank TJ4S-1213-Sy16-R01. Start the agitator of activation tank to 115±5 rpm (target: 115 rpm). Adjust the internal temperature to【-5~0℃ (target: -1℃)】.Later for use
. After confirmation of pre-cooled DMF temperature, immediately transfer the mixture in activation tank TJ4S-1213-Sy16-R01 into synthesis reactor TJ4S-1213-Sy16.Turn on the nitrogen of synthesis reactor to 8.5±4m³/h (target: 8.5 m³/h). Bubble with nitrogen for 5±2min (target: 5min), Start the agitator of synthesis reactor to 20±10rpm (target: 20 rpm). Adjust internal temperature to -5~0℃ (target: -3℃). After stirring for 15±2min (target: 15min) at【-5~0℃ (target: -3℃)】, stop stirring, turn off the nitrogen. Start draining the solution from synthesis reactor with diaphragm pump. Drain until there is no drip, the operator visually confirms the draining end point.
通过淋洗球向激活罐TJ4S-1213-Sy16-R01中加入616.20kg N,N-二甲基甲酰胺（9.48W,10.0Vol）（Acceptable weighing range/可接受称量范围：579.23kg~653.17kg），开启激活罐搅拌转速至115±5 rpm (目标转速: 115 rpm)。内温调温至【-5~0℃（目标温度：-1℃）】。待用
。确认预冷 N,N-二甲基甲酰胺温度合格后。立即将激活罐TJ4S-1213-Sy16-R01中体系转移至合成釜中TJ4S-1213-Sy16。开启合成釜下口鼓氮气，氮气流速开至8.5±4m³/h (目标流速: 8.5 m³/h)，鼓氮气5±2min（目标时间：5min）后，开启固相合成釜搅拌转速至20±10 rpm (目标转速: 20 rpm)，内温调温至-5~0℃ (target: -3℃)，控内温【-5~0℃ (target: -3℃)】搅拌15min±2min（目标时间:15min）后，停止搅拌，关闭氮气，通过隔膜泵从合成釜中排出溶液。排液至无液体滴出，由操作人员目视确认排液终点。</t>
  </si>
  <si>
    <t>[0min]The jacket temperature of activation tank-》Type: maintain, the jacket temperature setting: -12℃, start-up
[0min] 激活罐:控温-》类型：保温, 夹套进口温度设定值:-12℃,启动</t>
  </si>
  <si>
    <t>[0min]Temperature control timing of activation tank-》Temperature range setting: -5--1℃, time setting: 0.1min. Over-temperature warning L/H limit: -4/-1℃
[0min] 激活罐:温控计时反应-》温度区间-5--1℃环境下反应0.1min. 预警下限/上限-4/-1℃</t>
  </si>
  <si>
    <t>[0min]The jacket temperature of activation tank-》Type: maintain, the jacket temperature setting: -12℃, shutdown
[0min] 激活罐:控温-》类型：保温, 夹套进口温度设定值:-12℃,停止</t>
  </si>
  <si>
    <t>Drain_SR_Waste/排废</t>
  </si>
  <si>
    <r>
      <rPr>
        <sz val="10"/>
        <color rgb="FF000000"/>
        <rFont val="Times New Roman"/>
        <family val="1"/>
      </rPr>
      <t>Adjust the jacket temperature of synthesis reactor TJ4S-1213-Sy16 to 20±5℃ (target: 20℃).
将合成釜TJ4S-1213-Sy16夹套调温至20±5℃（目标温度：20℃）。</t>
    </r>
  </si>
  <si>
    <t>[0min]The jacket temperature of synthesis reactor-》Type: maintain, the jacket inlet temperature setting: -3℃, shutdown
[0min] 合成釜:控温-》类型：保温, 夹套进口温度设定值:-3℃,停止</t>
  </si>
  <si>
    <r>
      <rPr>
        <sz val="10"/>
        <color rgb="FF000000"/>
        <rFont val="Times New Roman"/>
        <family val="1"/>
      </rPr>
      <t>[0min]The jacket temperature of synthesis reactor-》Type: maintain, the jacket inlet temperature setting: 20℃, start-up
[0min] 合成釜:控温-》类型：保温, 夹套进口温度设定值:20℃,启动</t>
    </r>
  </si>
  <si>
    <t>3.32.13 Wash resin/树脂洗涤</t>
  </si>
  <si>
    <t>Add 616.20kg DMF (9.48W, 10.0Vol) by spray balls into the synthesis reactor TJ4S-1213-Sy16. Turn on the nitrogen of synthesis reactor to 8.5±4m³/h (target: 8.5 m³/h) .Bubble with nitrogen for 5±2min (target: 5min), Start the agitator of synthesis reactor to 20±10rpm (target: 20 rpm). After stirring for 15±2min (target: 15min), stop stirring, turn off the nitrogen. Start draing the solution from synthesis reactor with diaphramp pump. Drain until there is no drip, the operator visually confirms the draining end point.
通过淋洗球向合成釜TJ4S-1213-Sy16中加入616.20kg N,N-二甲基甲酰胺（9.48W,10.0Vol）（Acceptable weighing range/可接受称量范围：579.23kg~653.17kg），开启合成釜下口鼓氮气，氮气流速开至8.5±4m³/h (目标流速: 8.5 m³/h)，鼓氮气5±2min后，开启固相合成釜搅拌转速至20±10 rpm (目标转速: 20 rpm)，搅拌15min±2min（目标时间:15min）后，停止搅拌，关闭氮气，通过隔膜泵从合成釜中排出溶液。排液至无液体滴出，由操作人员目视确认排液终点。</t>
  </si>
  <si>
    <t>3.32.11</t>
  </si>
  <si>
    <r>
      <rPr>
        <sz val="10"/>
        <color rgb="FF0000FF"/>
        <rFont val="Times New Roman"/>
        <family val="1"/>
      </rPr>
      <t>Sample/取样</t>
    </r>
  </si>
  <si>
    <t>Take solid after filtration to perform IPC testing ASYM-140850 (L3(Trt)2)≤0.5%, move to modules 3.34.1~3.35.1; ASYM-140850 (L3(Trt)2)＞0.5%, repeat modules 3.33.1-3.33.13.
取样，进行送样检测，ASYM-140850（L3(Trt)2）≤0.5%，则进行模块3.34.1 ~3.35.1；ASYM-140850（L3(Trt)2）＞0.5%，则进行模块3.33.1-3.33.13。</t>
  </si>
  <si>
    <r>
      <rPr>
        <sz val="10"/>
        <color rgb="FF000000"/>
        <rFont val="Times New Roman"/>
        <family val="1"/>
      </rPr>
      <t>[0min]The jacket temperature of synthesis reactor-》Type: maintain, the jacket inlet temperature setting: 20℃, shutdown
[0min] 合成釜:控温-》类型：保温, 夹套进口温度设定值:20℃,停止</t>
    </r>
  </si>
  <si>
    <t>Pause_AT/暂停</t>
  </si>
  <si>
    <t>Pause:Execution type : Parallel-Activation Tank
暂停-》 控制类型：并行-激活罐</t>
  </si>
  <si>
    <r>
      <rPr>
        <sz val="10"/>
        <color rgb="FF0000FF"/>
        <rFont val="Times New Roman"/>
        <family val="1"/>
      </rPr>
      <t>□3.33 Iodine oxidation 碘氧化</t>
    </r>
  </si>
  <si>
    <t>3.33.1 to 3.33.4 Dissolve/溶解</t>
  </si>
  <si>
    <t>3.33.1</t>
  </si>
  <si>
    <t>3.33.5 to 3.33.8 Iodine oxidation/碘氧化</t>
  </si>
  <si>
    <t>3.33.5</t>
  </si>
  <si>
    <t>3.33.9 and 3.33.10 Wash resin/树脂洗涤</t>
  </si>
  <si>
    <t>3.33.9</t>
  </si>
  <si>
    <t>3.33.11 and 3.33.12 Wash resin/树脂洗涤</t>
  </si>
  <si>
    <t>[0min]The jacket temperature of activation tank-》Type: maintain, the jacket temperature setting: -10℃, start-up
[0min] 激活罐:控温-》类型：保温, 夹套进口温度设定值:-12℃,启动</t>
  </si>
  <si>
    <t>[0min]The jacket temperature of activation tank-》Type: maintain, the jacket temperature setting: -5℃, shutdown
[0min] 激活罐:控温-》类型：保温, 夹套进口温度设定值:-12℃,停止</t>
  </si>
  <si>
    <t>3.33.13 Wash resin/树脂洗涤</t>
  </si>
  <si>
    <t>3.33.11</t>
  </si>
  <si>
    <t>Take solid after filtration to perform IPC testing. ASYM-140850 (L3(Trt)2)≤0.5%, move to Ins. 3.34.1~3.35.1, and move to Module 3.34~3.35; If ASYM-140850 (L3(Trt)2)＞0.5%, immediately notify the Project Manager (PM) and Quality Assurance (QA) department and initiate an investigation.As an emergency action during the investigation, repeat the Ins. 3.33.1 to 3.33.13, and move to Module 3.33.
取样，进行送样检测。ASYM-140850（L3(Trt)2）≤0.5%，则进行操作3.34.1 ~操作3.35.1；并调用模块：3.34~3.35；若ASYM-140850 (L3(Trt)2)＞0.5%, 通知项目经理（PM）及质量保证部门（QA），并启动调查。作为调查的紧急措施，可重复氧化操作3.33.1-3.33.13,并调用模块：3.33</t>
  </si>
  <si>
    <r>
      <rPr>
        <sz val="10"/>
        <color rgb="FF0000FF"/>
        <rFont val="Times New Roman"/>
        <family val="1"/>
      </rPr>
      <t>3.34 and 3.35 De-swell and Dry 收缩和烘料</t>
    </r>
  </si>
  <si>
    <r>
      <rPr>
        <sz val="10"/>
        <color rgb="FF0000FF"/>
        <rFont val="Times New Roman"/>
        <family val="1"/>
      </rPr>
      <t>3.34.1 Wash resin/树脂洗涤</t>
    </r>
  </si>
  <si>
    <t>Add 567.45kg IPAc (8.73W,10.0Vol) by spray balls into the synthesis reactor TJ4S-1213-Sy16. Turn on the nitrogen of synthesis reactor to 8.5±4m³/h (target: 8.5 m³/h) .Bubble with nitrogen for 5±2min (target: 5min). Start the agitator of synthesis reactor to 20±10rpm (target: 20 rpm). After stirring for 15±2min (target: 15min), stop stirring, turn off the nitrogen. Start draining the solution from synthesis reactor with diaphramp pump. Drain until there is no drip, the operator visually confirms the draining end point.
向合成釜TJ4S-1213-Sy16中加入567.45kg 乙酸异丙酯（8.73W,10.0Vol）（Acceptable weighing range/可接受称量范围：533.40kg~601.50kg），开启合成釜下口鼓氮气，氮气流速开至8.5±4m³/h (目标流速: 8.5 m³/h)，鼓氮气5±2min（目标时间：5min）后开启固相合成釜搅拌转速至20±10 rpm (目标转速: 20 rpm)，搅拌15±2min（目标时间：15min）后，停止搅拌关闭氮气，通过隔膜泵从合成釜中排出溶液。排液至无液体滴出，由操作人员目视确认排液终点。</t>
  </si>
  <si>
    <t>[0min]Line-》IPAc-&gt;synthesis reactor, weight setting: 567.45kg
[0min] 线路-》IPAC-&gt;合成釜, 打料量：567.45kg</t>
  </si>
  <si>
    <t>3.34.1</t>
  </si>
  <si>
    <t>[0min]Line-》Nitrogen purge-IPAc-&gt;synthesis reactor: time setting: 0.1min
[0min] 线路-》IPAC-氮气吹扫-&gt;合成釜, 打料时间：0.1min</t>
  </si>
  <si>
    <r>
      <rPr>
        <sz val="10"/>
        <color rgb="FF0000FF"/>
        <rFont val="Times New Roman"/>
        <family val="1"/>
      </rPr>
      <t>3.34.2 Wash resin/树脂洗涤</t>
    </r>
  </si>
  <si>
    <t>Add 481.65 kg MTBE (7.41W,10.0Vol) by spray balls into the synthesis reactor TJ4S-1213-Sy16. Turn on the nitrogen of synthesis reactor to 8.5±4m³/h (target: 8.5 m³/h). Bubble with nitrogenfor 5±2min (target: 5min). Start the agitator of synthesis reactor to 20±10rpm (target: 20 rpm). After stirring for 15±2min (target: 15min), stop stirring, turn off the nitrogen. Start draining the solution from synthesis reactor with diaphramp pump. Drain until there is no drip, the operator visually confirms the draining end point.
向合成釜TJ4S-1213-Sy16中加入481.65 kg 甲基叔丁基醚（7.41W,10.0Vol）（Acceptable weighing range/可接受称量范围：452.75kg~510.55kg），开启合成釜下口鼓氮气，氮气流速开至8.5±4m³/h (目标流速: 8.5 m³/h)，鼓氮气5±2min（目标时间：5min）后开启固相合成釜搅拌转速至20±10 rpm (目标转速: 20 rpm)，搅拌15±2min（目标时间：15min）后，停止搅拌，关闭氮气，通过隔膜泵从合成釜中排出溶液。排液至无液体滴出，由操作人员目视确认排液终点。</t>
  </si>
  <si>
    <r>
      <rPr>
        <sz val="10"/>
        <color rgb="FF000000"/>
        <rFont val="Times New Roman"/>
        <family val="1"/>
      </rPr>
      <t>Add MTBE_SR/MTBE进料</t>
    </r>
  </si>
  <si>
    <t>[0min]Line-》MTBE-&gt;synthesis reactor, weight setting: 481.65kg
[0min] 线路-》MTBE-&gt;合成釜, 打料量：481.65kg</t>
  </si>
  <si>
    <t>3.34.2</t>
  </si>
  <si>
    <r>
      <rPr>
        <sz val="10"/>
        <color rgb="FF000000"/>
        <rFont val="Times New Roman"/>
        <family val="1"/>
      </rPr>
      <t>Nitrogen_MTBE/氮气吹扫-MTBE</t>
    </r>
  </si>
  <si>
    <r>
      <rPr>
        <sz val="10"/>
        <color rgb="FF000000"/>
        <rFont val="Times New Roman"/>
        <family val="1"/>
      </rPr>
      <t>[0min]Line-》Nitrogen purge-MTBE-&gt;synthesis reactor: time setting: 0.1min
[0min] 线路-》MTBE-氮气吹扫-&gt;合成釜, 打料时间：0.1min</t>
    </r>
  </si>
  <si>
    <r>
      <rPr>
        <sz val="10"/>
        <color rgb="FF000000"/>
        <rFont val="Times New Roman"/>
        <family val="1"/>
      </rPr>
      <t>Drain_SR_Waste 3/排废3</t>
    </r>
  </si>
  <si>
    <t>[0min]Line-》synthesis reactor-&gt;waste tank（3）, according to human judgement.
[0min] 线路-》合成釜-&gt;废液罐（氨基酸活化后溶液&amp;洗脱3_人工判定）,人工判定！,</t>
  </si>
  <si>
    <r>
      <rPr>
        <sz val="10"/>
        <color rgb="FF0000FF"/>
        <rFont val="Times New Roman"/>
        <family val="1"/>
      </rPr>
      <t>3.35.1  Dry/烘料</t>
    </r>
  </si>
  <si>
    <t>Adjust Tjacket to 25±5℃(target：25℃).Sweep with nitrogen above, nitrogen flow is 10m³/h±4m³/h (target: 10 m³/h), and vacuum underneath at Tjacket=25±5℃(target：25℃). After 12h, sample the solid for LOD analysis every 12±4h until LOD ≤8%.
夹套温度调温至25±5℃（目标温度：25℃），夹套控温25±5℃（目标温度25℃）烘料，上口鼓氮气，氮气流量10m³/h±4m³/h（目标流量：10 m³/h）下口抽真空。12h后开始取样检测LOD，之后每隔12±4h取样一次直至LOD≤8%。
Note 1: After drying 6h, begin to stir the solid for 2~5 min at a speed of 10±5 rpm (target: 10rpm) every 2±1h. /备注：干燥6h后，开始搅拌，每2±1h，搅拌2~5min，参考搅拌转速10±5rpm（目标转速:10rpm) 。
Note 2: After sample the solid for LOD analysis. And the sample send to QC lab for testing. /LOD检测样品取完后，样品送至QC实验室进行检测。</t>
  </si>
  <si>
    <t>[0min]The jacket temperature of synthesis reactor-》Type: maintain, the jacket inlet temperature setting: 25℃, start-up, the jacket outlet temperature of low alarm value: 22℃, high alarm value: 28℃
[0min] 合成釜:控温-》类型：保温, 夹套进口温度设定值:25℃,启动，夹套回口温度低报:22℃，高报28℃</t>
  </si>
  <si>
    <r>
      <rPr>
        <sz val="10"/>
        <color rgb="FF000000"/>
        <rFont val="Times New Roman"/>
        <family val="1"/>
      </rPr>
      <t>Vacuum_On/氮气鼓泡（真空）开</t>
    </r>
  </si>
  <si>
    <r>
      <rPr>
        <sz val="10"/>
        <color rgb="FF000000"/>
        <rFont val="Times New Roman"/>
        <family val="1"/>
      </rPr>
      <t>[0min] Nitrogen bubbling -》Flow setting: 10m³/h, vacuum, high pressure alarm: -0.05Mpa, start-up
[0min] 鼓氮气-》流量:10m³/h, 真空,压力高报-0.05Mpa,启动</t>
    </r>
  </si>
  <si>
    <t>[0min]Temperature control timing of synthesis reactor-》Temperature range setting: 0-30℃, time setting: 360min. Over-temperature warning L/H limit: 2/28℃
[0min] 合成釜:温控计时反应-》温度区间0-30℃环境下反应360min.预警下限/上限2/28℃</t>
  </si>
  <si>
    <r>
      <rPr>
        <sz val="10"/>
        <color rgb="FF000000"/>
        <rFont val="Times New Roman"/>
        <family val="1"/>
      </rPr>
      <t>[0min]synthesis reactor agitator-》Speed setting: 10r/min, time setting: 3.5min
[0min] 合成釜搅拌机-》转速：10r/min, 执行3.5min</t>
    </r>
  </si>
  <si>
    <t>[0min]Temperature control timing of synthesis reactor-》Temperature range setting: 0-30℃, time setting: 120min. Over-temperature warning L/H limit: 2/28℃
[0min] 合成釜:温控计时反应-》温度区间0-30℃环境下反应120min.预警下限/上限2/28℃</t>
  </si>
  <si>
    <r>
      <rPr>
        <sz val="10"/>
        <color rgb="FF000000"/>
        <rFont val="Times New Roman"/>
        <family val="1"/>
      </rPr>
      <t>Vacuum_Off/氮气鼓泡（真空）关</t>
    </r>
  </si>
  <si>
    <r>
      <rPr>
        <sz val="10"/>
        <color rgb="FF000000"/>
        <rFont val="Times New Roman"/>
        <family val="1"/>
      </rPr>
      <t>[0min] Nitrogen bubbling -》Flow setting: 10m³/h, vacuum, high pressure alarm: -0.05Mpa, shutdown
[0min] 鼓氮气-》流量:10m³/h, 真空,压力高报-0.05Mpa,停止</t>
    </r>
  </si>
  <si>
    <t>[0min]The jacket temperature of synthesis reactor-》Type: maintain, the jacket inlet temperature setting: 25℃, shutdown, the jacket outlet temperature of low alarm value: 22℃, high alarm value: 28℃
[0min] 合成釜:控温-》类型：保温, 夹套进口温度设定值:25℃,停止，夹套回口温度低报:22℃，高报28℃</t>
  </si>
  <si>
    <t>Raw Material Name/</t>
  </si>
  <si>
    <t>Standard Batch Qty/</t>
  </si>
  <si>
    <t>Standard Batch Amount of Substance/</t>
  </si>
  <si>
    <t>Weighing accuracy/</t>
  </si>
  <si>
    <t>Acceptable weighing range/</t>
  </si>
  <si>
    <t>Qty Charged/</t>
  </si>
  <si>
    <t>黄色底纹需录入</t>
  </si>
  <si>
    <r>
      <rPr>
        <sz val="10"/>
        <color rgb="FF000000"/>
        <rFont val="仿宋_GB2312"/>
        <family val="3"/>
        <charset val="134"/>
      </rPr>
      <t>操作指令编号</t>
    </r>
    <r>
      <rPr>
        <sz val="8"/>
        <color rgb="FF000000"/>
        <rFont val="Times New Roman"/>
        <family val="1"/>
      </rPr>
      <t> </t>
    </r>
  </si>
  <si>
    <t>原料名称</t>
  </si>
  <si>
    <r>
      <rPr>
        <sz val="10"/>
        <color rgb="FF000000"/>
        <rFont val="仿宋_GB2312"/>
        <family val="3"/>
        <charset val="134"/>
      </rPr>
      <t>标准投料量（</t>
    </r>
    <r>
      <rPr>
        <sz val="10"/>
        <color rgb="FF000000"/>
        <rFont val="Times New Roman"/>
        <family val="1"/>
      </rPr>
      <t>kg</t>
    </r>
    <r>
      <rPr>
        <sz val="10"/>
        <color rgb="FF000000"/>
        <rFont val="仿宋_GB2312"/>
        <family val="3"/>
        <charset val="134"/>
      </rPr>
      <t>）</t>
    </r>
  </si>
  <si>
    <t>投料总摩尔量（mol）</t>
  </si>
  <si>
    <t>称量精确度</t>
  </si>
  <si>
    <t>可接受称量范围（kg）</t>
  </si>
  <si>
    <t>实际投料量</t>
  </si>
  <si>
    <t>绿色底纹自动生成</t>
  </si>
  <si>
    <r>
      <rPr>
        <sz val="10"/>
        <color rgb="FF000000"/>
        <rFont val="仿宋_GB2312"/>
        <family val="3"/>
        <charset val="134"/>
      </rPr>
      <t>（</t>
    </r>
    <r>
      <rPr>
        <sz val="10"/>
        <color rgb="FF000000"/>
        <rFont val="Times New Roman"/>
        <family val="1"/>
      </rPr>
      <t>kg</t>
    </r>
    <r>
      <rPr>
        <sz val="10"/>
        <color rgb="FF000000"/>
        <rFont val="仿宋_GB2312"/>
        <family val="3"/>
        <charset val="134"/>
      </rPr>
      <t>）</t>
    </r>
  </si>
  <si>
    <t>固定用量，根据所选反应釜体积修改</t>
  </si>
  <si>
    <t>1.1/3.1.1*</t>
  </si>
  <si>
    <r>
      <rPr>
        <b/>
        <sz val="10"/>
        <color rgb="FF000000"/>
        <rFont val="Times New Roman"/>
        <family val="1"/>
      </rPr>
      <t>Sieber Amide resin/ Sieber</t>
    </r>
    <r>
      <rPr>
        <b/>
        <sz val="10.5"/>
        <color rgb="FF000000"/>
        <rFont val="仿宋_GB2312"/>
        <family val="3"/>
        <charset val="134"/>
      </rPr>
      <t>树脂</t>
    </r>
  </si>
  <si>
    <t xml:space="preserve">±0.2% </t>
  </si>
  <si>
    <t>特殊要求</t>
  </si>
  <si>
    <r>
      <rPr>
        <b/>
        <sz val="10"/>
        <color rgb="FF000000"/>
        <rFont val="Times New Roman"/>
        <family val="1"/>
      </rPr>
      <t>Raw Material of Substitution/</t>
    </r>
    <r>
      <rPr>
        <b/>
        <sz val="10.5"/>
        <color rgb="FF000000"/>
        <rFont val="仿宋_GB2312"/>
        <family val="3"/>
        <charset val="134"/>
      </rPr>
      <t>取代度
（mmol/g）</t>
    </r>
  </si>
  <si>
    <r>
      <rPr>
        <sz val="10"/>
        <color rgb="FF000000"/>
        <rFont val="Times New Roman"/>
        <family val="1"/>
      </rPr>
      <t xml:space="preserve">Entered by &amp; Date/
</t>
    </r>
    <r>
      <rPr>
        <sz val="10"/>
        <color rgb="FF000000"/>
        <rFont val="宋体"/>
        <family val="3"/>
        <charset val="134"/>
      </rPr>
      <t>填写人及日期：</t>
    </r>
  </si>
  <si>
    <t>~</t>
  </si>
  <si>
    <r>
      <rPr>
        <sz val="10"/>
        <color rgb="FF000000"/>
        <rFont val="Times New Roman"/>
        <family val="1"/>
      </rPr>
      <t xml:space="preserve">Reviewed by &amp; Date/
</t>
    </r>
    <r>
      <rPr>
        <sz val="10"/>
        <color rgb="FF000000"/>
        <rFont val="宋体"/>
        <family val="3"/>
        <charset val="134"/>
      </rPr>
      <t>复核人及日期：</t>
    </r>
  </si>
  <si>
    <t>.</t>
  </si>
  <si>
    <r>
      <rPr>
        <b/>
        <sz val="12"/>
        <color rgb="FF000000"/>
        <rFont val="Times New Roman"/>
        <family val="1"/>
      </rPr>
      <t>Non-Limiting material/</t>
    </r>
    <r>
      <rPr>
        <b/>
        <sz val="12"/>
        <color rgb="FF000000"/>
        <rFont val="仿宋_GB2312"/>
        <family val="3"/>
        <charset val="134"/>
      </rPr>
      <t>非基准物料：</t>
    </r>
  </si>
  <si>
    <r>
      <rPr>
        <sz val="10"/>
        <color rgb="FF000000"/>
        <rFont val="Times New Roman"/>
        <family val="1"/>
      </rPr>
      <t>Operation Instruction No.</t>
    </r>
    <r>
      <rPr>
        <sz val="10"/>
        <color rgb="FF000000"/>
        <rFont val="仿宋_GB2312"/>
        <family val="3"/>
        <charset val="134"/>
      </rPr>
      <t>操作指令编号</t>
    </r>
  </si>
  <si>
    <r>
      <rPr>
        <sz val="10"/>
        <color rgb="FF000000"/>
        <rFont val="Times New Roman"/>
        <family val="1"/>
      </rPr>
      <t>Raw Material Name</t>
    </r>
    <r>
      <rPr>
        <sz val="10"/>
        <color rgb="FF000000"/>
        <rFont val="仿宋_GB2312"/>
        <family val="3"/>
        <charset val="134"/>
      </rPr>
      <t>原料名称</t>
    </r>
  </si>
  <si>
    <r>
      <rPr>
        <sz val="10"/>
        <color rgb="FF000000"/>
        <rFont val="Times New Roman"/>
        <family val="1"/>
      </rPr>
      <t>Mol. Wt. of material/</t>
    </r>
    <r>
      <rPr>
        <sz val="10"/>
        <color rgb="FF000000"/>
        <rFont val="仿宋_GB2312"/>
        <family val="3"/>
        <charset val="134"/>
      </rPr>
      <t>原料分子量</t>
    </r>
  </si>
  <si>
    <r>
      <rPr>
        <sz val="10"/>
        <color rgb="FF000000"/>
        <rFont val="Times New Roman"/>
        <family val="1"/>
      </rPr>
      <t>Density/</t>
    </r>
    <r>
      <rPr>
        <sz val="10"/>
        <color rgb="FF000000"/>
        <rFont val="仿宋_GB2312"/>
        <family val="3"/>
        <charset val="134"/>
      </rPr>
      <t>密度（</t>
    </r>
    <r>
      <rPr>
        <sz val="10.5"/>
        <color rgb="FF000000"/>
        <rFont val="Times New Roman"/>
        <family val="1"/>
      </rPr>
      <t>g/cm</t>
    </r>
    <r>
      <rPr>
        <sz val="10.5"/>
        <color rgb="FF000000"/>
        <rFont val="Times New Roman"/>
        <family val="1"/>
      </rPr>
      <t>3</t>
    </r>
    <r>
      <rPr>
        <sz val="10.5"/>
        <color rgb="FF000000"/>
        <rFont val="仿宋_GB2312"/>
        <family val="3"/>
        <charset val="134"/>
      </rPr>
      <t>）</t>
    </r>
  </si>
  <si>
    <r>
      <rPr>
        <sz val="10"/>
        <color rgb="FF000000"/>
        <rFont val="Times New Roman"/>
        <family val="1"/>
      </rPr>
      <t>Mol Ratio to limiting material/</t>
    </r>
    <r>
      <rPr>
        <sz val="10"/>
        <color rgb="FF000000"/>
        <rFont val="仿宋_GB2312"/>
        <family val="3"/>
        <charset val="134"/>
      </rPr>
      <t>与基准原料摩尔比</t>
    </r>
  </si>
  <si>
    <r>
      <rPr>
        <sz val="10"/>
        <color rgb="FF000000"/>
        <rFont val="Times New Roman"/>
        <family val="1"/>
      </rPr>
      <t xml:space="preserve">Qty Ratio to limiting material/
</t>
    </r>
    <r>
      <rPr>
        <sz val="10"/>
        <color rgb="FF000000"/>
        <rFont val="仿宋_GB2312"/>
        <family val="3"/>
        <charset val="134"/>
      </rPr>
      <t>与基准原料质量比</t>
    </r>
  </si>
  <si>
    <r>
      <rPr>
        <sz val="10"/>
        <color rgb="FF000000"/>
        <rFont val="Times New Roman"/>
        <family val="1"/>
      </rPr>
      <t>Standard Batch Qty</t>
    </r>
    <r>
      <rPr>
        <sz val="10"/>
        <color rgb="FF000000"/>
        <rFont val="仿宋_GB2312"/>
        <family val="3"/>
        <charset val="134"/>
      </rPr>
      <t>标准投料量</t>
    </r>
    <r>
      <rPr>
        <sz val="10.5"/>
        <color rgb="FF000000"/>
        <rFont val="Times New Roman"/>
        <family val="1"/>
      </rPr>
      <t>*</t>
    </r>
    <r>
      <rPr>
        <sz val="10.5"/>
        <color rgb="FF000000"/>
        <rFont val="仿宋_GB2312"/>
        <family val="3"/>
        <charset val="134"/>
      </rPr>
      <t>（</t>
    </r>
    <r>
      <rPr>
        <sz val="10.5"/>
        <color rgb="FF000000"/>
        <rFont val="Times New Roman"/>
        <family val="1"/>
      </rPr>
      <t>kg</t>
    </r>
    <r>
      <rPr>
        <sz val="10.5"/>
        <color rgb="FF000000"/>
        <rFont val="仿宋_GB2312"/>
        <family val="3"/>
        <charset val="134"/>
      </rPr>
      <t>）</t>
    </r>
  </si>
  <si>
    <r>
      <rPr>
        <sz val="10"/>
        <color rgb="FF000000"/>
        <rFont val="Times New Roman"/>
        <family val="1"/>
      </rPr>
      <t>Weighing accuracy/</t>
    </r>
    <r>
      <rPr>
        <sz val="10"/>
        <color rgb="FF000000"/>
        <rFont val="仿宋_GB2312"/>
        <family val="3"/>
        <charset val="134"/>
      </rPr>
      <t>称量精确度</t>
    </r>
  </si>
  <si>
    <r>
      <rPr>
        <sz val="10"/>
        <color rgb="FF000000"/>
        <rFont val="Times New Roman"/>
        <family val="1"/>
      </rPr>
      <t xml:space="preserve">Acceptable weighing range
</t>
    </r>
    <r>
      <rPr>
        <sz val="10"/>
        <color rgb="FF000000"/>
        <rFont val="仿宋_GB2312"/>
        <family val="3"/>
        <charset val="134"/>
      </rPr>
      <t>可接受称量范围（</t>
    </r>
    <r>
      <rPr>
        <sz val="10"/>
        <color rgb="FF000000"/>
        <rFont val="Times New Roman"/>
        <family val="1"/>
      </rPr>
      <t>kg</t>
    </r>
    <r>
      <rPr>
        <sz val="10"/>
        <color rgb="FF000000"/>
        <rFont val="仿宋_GB2312"/>
        <family val="3"/>
        <charset val="134"/>
      </rPr>
      <t>）</t>
    </r>
    <r>
      <rPr>
        <sz val="10"/>
        <color rgb="FF000000"/>
        <rFont val="Times New Roman"/>
        <family val="1"/>
      </rPr>
      <t xml:space="preserve">         
</t>
    </r>
  </si>
  <si>
    <r>
      <rPr>
        <sz val="10"/>
        <color rgb="FF000000"/>
        <rFont val="Times New Roman"/>
        <family val="1"/>
      </rPr>
      <t>Qty Charged</t>
    </r>
    <r>
      <rPr>
        <sz val="10"/>
        <color rgb="FF000000"/>
        <rFont val="仿宋_GB2312"/>
        <family val="3"/>
        <charset val="134"/>
      </rPr>
      <t>实际投料量（</t>
    </r>
    <r>
      <rPr>
        <sz val="10"/>
        <color rgb="FF000000"/>
        <rFont val="Times New Roman"/>
        <family val="1"/>
      </rPr>
      <t>Kg</t>
    </r>
    <r>
      <rPr>
        <sz val="10"/>
        <color rgb="FF000000"/>
        <rFont val="仿宋_GB2312"/>
        <family val="3"/>
        <charset val="134"/>
      </rPr>
      <t>）</t>
    </r>
  </si>
  <si>
    <t>投料上下限误差</t>
  </si>
  <si>
    <t>MOR当量</t>
  </si>
  <si>
    <r>
      <rPr>
        <sz val="10"/>
        <color rgb="FF000000"/>
        <rFont val="Times New Roman"/>
        <family val="1"/>
      </rPr>
      <t>Molar Eqyivalent/</t>
    </r>
    <r>
      <rPr>
        <sz val="10"/>
        <color rgb="FF000000"/>
        <rFont val="仿宋_GB2312"/>
        <family val="3"/>
        <charset val="134"/>
      </rPr>
      <t>摩尔当量</t>
    </r>
  </si>
  <si>
    <r>
      <rPr>
        <sz val="10"/>
        <color rgb="FF000000"/>
        <rFont val="仿宋_GB2312"/>
        <family val="3"/>
        <charset val="134"/>
      </rPr>
      <t>体积比</t>
    </r>
  </si>
  <si>
    <r>
      <rPr>
        <sz val="12"/>
        <color rgb="FF000000"/>
        <rFont val="仿宋_GB2312"/>
        <family val="3"/>
        <charset val="134"/>
      </rPr>
      <t>文本</t>
    </r>
  </si>
  <si>
    <r>
      <rPr>
        <sz val="12"/>
        <color rgb="FF000000"/>
        <rFont val="仿宋_GB2312"/>
        <family val="3"/>
        <charset val="134"/>
      </rPr>
      <t>公式</t>
    </r>
  </si>
  <si>
    <r>
      <rPr>
        <sz val="12"/>
        <color rgb="FF000000"/>
        <rFont val="仿宋_GB2312"/>
        <family val="3"/>
        <charset val="134"/>
      </rPr>
      <t>序号</t>
    </r>
  </si>
  <si>
    <r>
      <rPr>
        <sz val="12"/>
        <color rgb="FF000000"/>
        <rFont val="仿宋_GB2312"/>
        <family val="3"/>
        <charset val="134"/>
      </rPr>
      <t>计划量文本</t>
    </r>
  </si>
  <si>
    <r>
      <rPr>
        <sz val="12"/>
        <color rgb="FF000000"/>
        <rFont val="仿宋_GB2312"/>
        <family val="3"/>
        <charset val="134"/>
      </rPr>
      <t>辅助</t>
    </r>
    <r>
      <rPr>
        <sz val="12"/>
        <color rgb="FF000000"/>
        <rFont val="Times New Roman"/>
        <family val="1"/>
      </rPr>
      <t>1</t>
    </r>
  </si>
  <si>
    <r>
      <rPr>
        <sz val="12"/>
        <color rgb="FF000000"/>
        <rFont val="仿宋_GB2312"/>
        <family val="3"/>
        <charset val="134"/>
      </rPr>
      <t>辅助</t>
    </r>
    <r>
      <rPr>
        <sz val="12"/>
        <color rgb="FF000000"/>
        <rFont val="Times New Roman"/>
        <family val="1"/>
      </rPr>
      <t>2</t>
    </r>
  </si>
  <si>
    <r>
      <rPr>
        <sz val="12"/>
        <color rgb="FF000000"/>
        <rFont val="仿宋_GB2312"/>
        <family val="3"/>
        <charset val="134"/>
      </rPr>
      <t>计划量公式</t>
    </r>
  </si>
  <si>
    <r>
      <rPr>
        <sz val="12"/>
        <color rgb="FF000000"/>
        <rFont val="仿宋_GB2312"/>
        <family val="3"/>
        <charset val="134"/>
      </rPr>
      <t>分装文本</t>
    </r>
  </si>
  <si>
    <r>
      <rPr>
        <sz val="12"/>
        <color rgb="FF000000"/>
        <rFont val="仿宋_GB2312"/>
        <family val="3"/>
        <charset val="134"/>
      </rPr>
      <t>投料顺序文本</t>
    </r>
  </si>
  <si>
    <t>DMF/N, N-二甲基甲酰胺</t>
  </si>
  <si>
    <t>-</t>
  </si>
  <si>
    <t>±6%</t>
  </si>
  <si>
    <t>±5%</t>
  </si>
  <si>
    <t>1.2/3.1.7</t>
  </si>
  <si>
    <r>
      <rPr>
        <sz val="10"/>
        <color rgb="FF000000"/>
        <rFont val="Times New Roman"/>
        <family val="1"/>
      </rPr>
      <t>Fmoc-Gly-OH/</t>
    </r>
    <r>
      <rPr>
        <i/>
        <sz val="10"/>
        <color rgb="FF000000"/>
        <rFont val="宋体"/>
        <family val="3"/>
        <charset val="134"/>
      </rPr>
      <t>芴甲氧羰基</t>
    </r>
    <r>
      <rPr>
        <i/>
        <sz val="10"/>
        <color rgb="FF000000"/>
        <rFont val="Times New Roman"/>
        <family val="1"/>
      </rPr>
      <t>-</t>
    </r>
    <r>
      <rPr>
        <i/>
        <sz val="10"/>
        <color rgb="FF000000"/>
        <rFont val="宋体"/>
        <family val="3"/>
        <charset val="134"/>
      </rPr>
      <t>甘氨酸</t>
    </r>
  </si>
  <si>
    <t>±3.0%</t>
  </si>
  <si>
    <t>sclRoundMV(convertToMeasuredValue( convertTo(PH:{Standard Batch Moles/投料总摩尔量}.{1 Value},"mol")*</t>
  </si>
  <si>
    <t>,"kg"),2,"HALF_UP")</t>
  </si>
  <si>
    <t>updateWeighingPlanQuantity("</t>
  </si>
  <si>
    <t>-1", PH:{Standard batch Qty calculation/标准投料量计算-01}.{</t>
  </si>
  <si>
    <t>3.2.1</t>
  </si>
  <si>
    <t>DIPEA/N,N-二异丙基乙胺</t>
  </si>
  <si>
    <r>
      <rPr>
        <sz val="10"/>
        <color rgb="FF000000"/>
        <rFont val="Times New Roman"/>
        <family val="1"/>
      </rPr>
      <t>See below/</t>
    </r>
    <r>
      <rPr>
        <sz val="10.5"/>
        <color rgb="FF000000"/>
        <rFont val="仿宋_GB2312"/>
        <family val="3"/>
        <charset val="134"/>
      </rPr>
      <t>见下行</t>
    </r>
  </si>
  <si>
    <r>
      <rPr>
        <sz val="10"/>
        <color rgb="FF000000"/>
        <rFont val="Times New Roman"/>
        <family val="1"/>
      </rPr>
      <t>Qty Charged/</t>
    </r>
    <r>
      <rPr>
        <sz val="10.5"/>
        <color rgb="FF000000"/>
        <rFont val="仿宋_GB2312"/>
        <family val="3"/>
        <charset val="134"/>
      </rPr>
      <t>实际投料量（</t>
    </r>
    <r>
      <rPr>
        <sz val="10.5"/>
        <color rgb="FF000000"/>
        <rFont val="Times New Roman"/>
        <family val="1"/>
      </rPr>
      <t>kg</t>
    </r>
    <r>
      <rPr>
        <sz val="10.5"/>
        <color rgb="FF000000"/>
        <rFont val="仿宋_GB2312"/>
        <family val="3"/>
        <charset val="134"/>
      </rPr>
      <t>）：</t>
    </r>
    <r>
      <rPr>
        <sz val="10.5"/>
        <color rgb="FF000000"/>
        <rFont val="Times New Roman"/>
        <family val="1"/>
      </rPr>
      <t>1</t>
    </r>
    <r>
      <rPr>
        <sz val="10.5"/>
        <color rgb="FF000000"/>
        <rFont val="Times New Roman"/>
        <family val="1"/>
      </rPr>
      <t>st</t>
    </r>
    <r>
      <rPr>
        <sz val="10.5"/>
        <color rgb="FF000000"/>
        <rFont val="仿宋_GB2312"/>
        <family val="3"/>
        <charset val="134"/>
      </rPr>
      <t>：</t>
    </r>
    <r>
      <rPr>
        <u/>
        <sz val="10.5"/>
        <color rgb="FF000000"/>
        <rFont val="Times New Roman"/>
        <family val="1"/>
      </rPr>
      <t xml:space="preserve">            </t>
    </r>
    <r>
      <rPr>
        <sz val="10.5"/>
        <color rgb="FF000000"/>
        <rFont val="Times New Roman"/>
        <family val="1"/>
      </rPr>
      <t>kg</t>
    </r>
    <r>
      <rPr>
        <sz val="10.5"/>
        <color rgb="FF000000"/>
        <rFont val="仿宋_GB2312"/>
        <family val="3"/>
        <charset val="134"/>
      </rPr>
      <t>；</t>
    </r>
    <r>
      <rPr>
        <sz val="10.5"/>
        <color rgb="FF000000"/>
        <rFont val="Times New Roman"/>
        <family val="1"/>
      </rPr>
      <t>2</t>
    </r>
    <r>
      <rPr>
        <sz val="10.5"/>
        <color rgb="FF000000"/>
        <rFont val="Times New Roman"/>
        <family val="1"/>
      </rPr>
      <t>nd</t>
    </r>
    <r>
      <rPr>
        <sz val="10.5"/>
        <color rgb="FF000000"/>
        <rFont val="仿宋_GB2312"/>
        <family val="3"/>
        <charset val="134"/>
      </rPr>
      <t>：</t>
    </r>
    <r>
      <rPr>
        <u/>
        <sz val="10.5"/>
        <color rgb="FF000000"/>
        <rFont val="Times New Roman"/>
        <family val="1"/>
      </rPr>
      <t xml:space="preserve">            </t>
    </r>
    <r>
      <rPr>
        <sz val="10.5"/>
        <color rgb="FF000000"/>
        <rFont val="Times New Roman"/>
        <family val="1"/>
      </rPr>
      <t>kg</t>
    </r>
    <r>
      <rPr>
        <sz val="10.5"/>
        <color rgb="FF000000"/>
        <rFont val="仿宋_GB2312"/>
        <family val="3"/>
        <charset val="134"/>
      </rPr>
      <t>；</t>
    </r>
    <r>
      <rPr>
        <sz val="10.5"/>
        <color rgb="FF000000"/>
        <rFont val="Times New Roman"/>
        <family val="1"/>
      </rPr>
      <t>3</t>
    </r>
    <r>
      <rPr>
        <sz val="10.5"/>
        <color rgb="FF000000"/>
        <rFont val="Times New Roman"/>
        <family val="1"/>
      </rPr>
      <t>rd</t>
    </r>
    <r>
      <rPr>
        <sz val="10.5"/>
        <color rgb="FF000000"/>
        <rFont val="仿宋_GB2312"/>
        <family val="3"/>
        <charset val="134"/>
      </rPr>
      <t>：</t>
    </r>
    <r>
      <rPr>
        <u/>
        <sz val="10.5"/>
        <color rgb="FF000000"/>
        <rFont val="Times New Roman"/>
        <family val="1"/>
      </rPr>
      <t xml:space="preserve">            </t>
    </r>
    <r>
      <rPr>
        <sz val="10.5"/>
        <color rgb="FF000000"/>
        <rFont val="Times New Roman"/>
        <family val="1"/>
      </rPr>
      <t>kg</t>
    </r>
    <r>
      <rPr>
        <sz val="10.5"/>
        <color rgb="FF000000"/>
        <rFont val="仿宋_GB2312"/>
        <family val="3"/>
        <charset val="134"/>
      </rPr>
      <t>；</t>
    </r>
  </si>
  <si>
    <t>缺少激活罐洗涤</t>
  </si>
  <si>
    <t>463.14~522.26</t>
  </si>
  <si>
    <t>3.4.2</t>
  </si>
  <si>
    <r>
      <rPr>
        <sz val="10"/>
        <color rgb="FF000000"/>
        <rFont val="Times New Roman"/>
        <family val="1"/>
      </rPr>
      <t>Methanol/</t>
    </r>
    <r>
      <rPr>
        <sz val="10"/>
        <color rgb="FF000000"/>
        <rFont val="宋体"/>
        <family val="3"/>
        <charset val="134"/>
      </rPr>
      <t>甲醇</t>
    </r>
  </si>
  <si>
    <t>3.4.3</t>
  </si>
  <si>
    <r>
      <rPr>
        <sz val="10"/>
        <color rgb="FF000000"/>
        <rFont val="Times New Roman"/>
        <family val="1"/>
      </rPr>
      <t>DIPEA/</t>
    </r>
    <r>
      <rPr>
        <sz val="10.5"/>
        <color rgb="FF000000"/>
        <rFont val="Times New Roman"/>
        <family val="1"/>
      </rPr>
      <t>N,N-</t>
    </r>
    <r>
      <rPr>
        <sz val="10.5"/>
        <color rgb="FF000000"/>
        <rFont val="仿宋_GB2312"/>
        <family val="3"/>
        <charset val="134"/>
      </rPr>
      <t>二异丙基乙胺</t>
    </r>
  </si>
  <si>
    <t>-3", PH:{Standard batch Qty calculation/标准投料量计算-01}.{</t>
  </si>
  <si>
    <r>
      <rPr>
        <sz val="10"/>
        <color rgb="FF000000"/>
        <rFont val="仿宋_GB2312"/>
        <family val="3"/>
        <charset val="134"/>
      </rPr>
      <t>（</t>
    </r>
    <r>
      <rPr>
        <sz val="10.5"/>
        <color rgb="FF000000"/>
        <rFont val="Times New Roman"/>
        <family val="1"/>
      </rPr>
      <t>2</t>
    </r>
    <r>
      <rPr>
        <sz val="10.5"/>
        <color rgb="FF000000"/>
        <rFont val="仿宋_GB2312"/>
        <family val="3"/>
        <charset val="134"/>
      </rPr>
      <t>）</t>
    </r>
    <r>
      <rPr>
        <sz val="10.5"/>
        <color rgb="FF000000"/>
        <rFont val="Times New Roman"/>
        <family val="1"/>
      </rPr>
      <t>Fmoc-L-Thr(tBu)-OH/</t>
    </r>
    <r>
      <rPr>
        <sz val="10.5"/>
        <color rgb="FF000000"/>
        <rFont val="仿宋_GB2312"/>
        <family val="3"/>
        <charset val="134"/>
      </rPr>
      <t>芴甲氧羰基</t>
    </r>
    <r>
      <rPr>
        <sz val="10.5"/>
        <color rgb="FF000000"/>
        <rFont val="Times New Roman"/>
        <family val="1"/>
      </rPr>
      <t>-</t>
    </r>
    <r>
      <rPr>
        <sz val="10.5"/>
        <color rgb="FF000000"/>
        <rFont val="仿宋_GB2312"/>
        <family val="3"/>
        <charset val="134"/>
      </rPr>
      <t>叔丁基</t>
    </r>
    <r>
      <rPr>
        <sz val="10.5"/>
        <color rgb="FF000000"/>
        <rFont val="Times New Roman"/>
        <family val="1"/>
      </rPr>
      <t>-L-</t>
    </r>
    <r>
      <rPr>
        <sz val="10.5"/>
        <color rgb="FF000000"/>
        <rFont val="仿宋_GB2312"/>
        <family val="3"/>
        <charset val="134"/>
      </rPr>
      <t>苏氨酸</t>
    </r>
  </si>
  <si>
    <r>
      <rPr>
        <sz val="10"/>
        <color rgb="FF000000"/>
        <rFont val="Times New Roman"/>
        <family val="1"/>
      </rPr>
      <t>20% piperidine solution/20%</t>
    </r>
    <r>
      <rPr>
        <sz val="10"/>
        <color rgb="FF000000"/>
        <rFont val="宋体"/>
        <family val="3"/>
        <charset val="134"/>
      </rPr>
      <t>哌啶溶液</t>
    </r>
  </si>
  <si>
    <t>20%哌啶溶液密度待确认</t>
  </si>
  <si>
    <t>IPAC/乙酸异丙酯</t>
  </si>
  <si>
    <r>
      <rPr>
        <sz val="10"/>
        <color rgb="FF000000"/>
        <rFont val="Times New Roman"/>
        <family val="1"/>
      </rPr>
      <t>Qty Charged/</t>
    </r>
    <r>
      <rPr>
        <i/>
        <sz val="10.5"/>
        <color rgb="FF000000"/>
        <rFont val="仿宋_GB2312"/>
        <family val="3"/>
        <charset val="134"/>
      </rPr>
      <t>实际投料量（</t>
    </r>
    <r>
      <rPr>
        <i/>
        <sz val="10.5"/>
        <color rgb="FF000000"/>
        <rFont val="Times New Roman"/>
        <family val="1"/>
      </rPr>
      <t>kg</t>
    </r>
    <r>
      <rPr>
        <i/>
        <sz val="10.5"/>
        <color rgb="FF000000"/>
        <rFont val="仿宋_GB2312"/>
        <family val="3"/>
        <charset val="134"/>
      </rPr>
      <t>）：</t>
    </r>
    <r>
      <rPr>
        <i/>
        <sz val="10.5"/>
        <color rgb="FF000000"/>
        <rFont val="Times New Roman"/>
        <family val="1"/>
      </rPr>
      <t>1st</t>
    </r>
    <r>
      <rPr>
        <i/>
        <sz val="10.5"/>
        <color rgb="FF000000"/>
        <rFont val="仿宋_GB2312"/>
        <family val="3"/>
        <charset val="134"/>
      </rPr>
      <t>：</t>
    </r>
    <r>
      <rPr>
        <i/>
        <u/>
        <sz val="10.5"/>
        <color rgb="FF000000"/>
        <rFont val="Times New Roman"/>
        <family val="1"/>
      </rPr>
      <t xml:space="preserve">            </t>
    </r>
    <r>
      <rPr>
        <i/>
        <sz val="10.5"/>
        <color rgb="FF000000"/>
        <rFont val="Times New Roman"/>
        <family val="1"/>
      </rPr>
      <t>kg</t>
    </r>
    <r>
      <rPr>
        <i/>
        <sz val="10.5"/>
        <color rgb="FF000000"/>
        <rFont val="仿宋_GB2312"/>
        <family val="3"/>
        <charset val="134"/>
      </rPr>
      <t>；</t>
    </r>
    <r>
      <rPr>
        <i/>
        <sz val="10.5"/>
        <color rgb="FF000000"/>
        <rFont val="Times New Roman"/>
        <family val="1"/>
      </rPr>
      <t>2nd</t>
    </r>
    <r>
      <rPr>
        <i/>
        <sz val="10.5"/>
        <color rgb="FF000000"/>
        <rFont val="仿宋_GB2312"/>
        <family val="3"/>
        <charset val="134"/>
      </rPr>
      <t>：</t>
    </r>
    <r>
      <rPr>
        <i/>
        <u/>
        <sz val="10.5"/>
        <color rgb="FF000000"/>
        <rFont val="Times New Roman"/>
        <family val="1"/>
      </rPr>
      <t xml:space="preserve">           </t>
    </r>
    <r>
      <rPr>
        <i/>
        <sz val="10.5"/>
        <color rgb="FF000000"/>
        <rFont val="Times New Roman"/>
        <family val="1"/>
      </rPr>
      <t>kg</t>
    </r>
    <r>
      <rPr>
        <i/>
        <sz val="10.5"/>
        <color rgb="FF000000"/>
        <rFont val="仿宋_GB2312"/>
        <family val="3"/>
        <charset val="134"/>
      </rPr>
      <t>；</t>
    </r>
    <r>
      <rPr>
        <i/>
        <sz val="10.5"/>
        <color rgb="FF000000"/>
        <rFont val="Times New Roman"/>
        <family val="1"/>
      </rPr>
      <t>3rd</t>
    </r>
    <r>
      <rPr>
        <i/>
        <sz val="10.5"/>
        <color rgb="FF000000"/>
        <rFont val="仿宋_GB2312"/>
        <family val="3"/>
        <charset val="134"/>
      </rPr>
      <t>：</t>
    </r>
    <r>
      <rPr>
        <i/>
        <u/>
        <sz val="10.5"/>
        <color rgb="FF000000"/>
        <rFont val="Times New Roman"/>
        <family val="1"/>
      </rPr>
      <t xml:space="preserve">           </t>
    </r>
    <r>
      <rPr>
        <i/>
        <sz val="10.5"/>
        <color rgb="FF000000"/>
        <rFont val="Times New Roman"/>
        <family val="1"/>
      </rPr>
      <t>kg</t>
    </r>
    <r>
      <rPr>
        <i/>
        <sz val="10.5"/>
        <color rgb="FF000000"/>
        <rFont val="仿宋_GB2312"/>
        <family val="3"/>
        <charset val="134"/>
      </rPr>
      <t>；4th：</t>
    </r>
    <r>
      <rPr>
        <u/>
        <sz val="10.5"/>
        <color rgb="FF000000"/>
        <rFont val="仿宋_GB2312"/>
        <family val="3"/>
        <charset val="134"/>
      </rPr>
      <t xml:space="preserve">            </t>
    </r>
    <r>
      <rPr>
        <i/>
        <sz val="10.5"/>
        <color rgb="FF000000"/>
        <rFont val="仿宋_GB2312"/>
        <family val="3"/>
        <charset val="134"/>
      </rPr>
      <t>kg；</t>
    </r>
  </si>
  <si>
    <t>1.3/3.6.2</t>
  </si>
  <si>
    <r>
      <rPr>
        <sz val="10"/>
        <color rgb="FF000000"/>
        <rFont val="Times New Roman"/>
        <family val="1"/>
      </rPr>
      <t>Fmoc-L-Thr(tBu)-OH/</t>
    </r>
    <r>
      <rPr>
        <sz val="10"/>
        <color rgb="FF000000"/>
        <rFont val="宋体"/>
        <family val="3"/>
        <charset val="134"/>
      </rPr>
      <t>芴甲氧羰基</t>
    </r>
    <r>
      <rPr>
        <sz val="10"/>
        <color rgb="FF000000"/>
        <rFont val="Times New Roman"/>
        <family val="1"/>
      </rPr>
      <t>-</t>
    </r>
    <r>
      <rPr>
        <sz val="10"/>
        <color rgb="FF000000"/>
        <rFont val="宋体"/>
        <family val="3"/>
        <charset val="134"/>
      </rPr>
      <t>叔丁基</t>
    </r>
    <r>
      <rPr>
        <sz val="10"/>
        <color rgb="FF000000"/>
        <rFont val="Times New Roman"/>
        <family val="1"/>
      </rPr>
      <t>-L-</t>
    </r>
    <r>
      <rPr>
        <sz val="10"/>
        <color rgb="FF000000"/>
        <rFont val="宋体"/>
        <family val="3"/>
        <charset val="134"/>
      </rPr>
      <t>苏氨酸</t>
    </r>
  </si>
  <si>
    <t>1.4/3.6.4</t>
  </si>
  <si>
    <r>
      <rPr>
        <sz val="10"/>
        <color rgb="FF000000"/>
        <rFont val="Times New Roman"/>
        <family val="1"/>
      </rPr>
      <t>PyBOP/1H-</t>
    </r>
    <r>
      <rPr>
        <sz val="10"/>
        <color rgb="FF000000"/>
        <rFont val="宋体"/>
        <family val="3"/>
        <charset val="134"/>
      </rPr>
      <t>苯并三唑</t>
    </r>
    <r>
      <rPr>
        <sz val="10"/>
        <color rgb="FF000000"/>
        <rFont val="Times New Roman"/>
        <family val="1"/>
      </rPr>
      <t>-1-</t>
    </r>
    <r>
      <rPr>
        <sz val="10"/>
        <color rgb="FF000000"/>
        <rFont val="宋体"/>
        <family val="3"/>
        <charset val="134"/>
      </rPr>
      <t>基氧三吡咯烷基六氟磷酸盐</t>
    </r>
  </si>
  <si>
    <t>1.5/3.6.5</t>
  </si>
  <si>
    <r>
      <rPr>
        <sz val="10"/>
        <color rgb="FF000000"/>
        <rFont val="Times New Roman"/>
        <family val="1"/>
      </rPr>
      <t>Oxyma pure/2-</t>
    </r>
    <r>
      <rPr>
        <sz val="10.5"/>
        <color rgb="FF000000"/>
        <rFont val="仿宋_GB2312"/>
        <family val="3"/>
        <charset val="134"/>
      </rPr>
      <t>肟氰乙酸乙酯</t>
    </r>
  </si>
  <si>
    <t>3.6.7</t>
  </si>
  <si>
    <r>
      <rPr>
        <sz val="10"/>
        <color rgb="FF000000"/>
        <rFont val="仿宋_GB2312"/>
        <family val="3"/>
        <charset val="134"/>
      </rPr>
      <t>（</t>
    </r>
    <r>
      <rPr>
        <sz val="10.5"/>
        <color rgb="FF000000"/>
        <rFont val="Times New Roman"/>
        <family val="1"/>
      </rPr>
      <t>3</t>
    </r>
    <r>
      <rPr>
        <sz val="10.5"/>
        <color rgb="FF000000"/>
        <rFont val="仿宋_GB2312"/>
        <family val="3"/>
        <charset val="134"/>
      </rPr>
      <t>）</t>
    </r>
    <r>
      <rPr>
        <sz val="10.5"/>
        <color rgb="FF000000"/>
        <rFont val="Times New Roman"/>
        <family val="1"/>
      </rPr>
      <t>Fmoc-L-Ala-OH·H2O/</t>
    </r>
    <r>
      <rPr>
        <sz val="10.5"/>
        <color rgb="FF000000"/>
        <rFont val="仿宋_GB2312"/>
        <family val="3"/>
        <charset val="134"/>
      </rPr>
      <t>芴甲氧羰基</t>
    </r>
    <r>
      <rPr>
        <sz val="10.5"/>
        <color rgb="FF000000"/>
        <rFont val="Times New Roman"/>
        <family val="1"/>
      </rPr>
      <t>-L-</t>
    </r>
    <r>
      <rPr>
        <sz val="10.5"/>
        <color rgb="FF000000"/>
        <rFont val="仿宋_GB2312"/>
        <family val="3"/>
        <charset val="134"/>
      </rPr>
      <t>丙氨酸一水合物</t>
    </r>
  </si>
  <si>
    <r>
      <rPr>
        <sz val="10"/>
        <color rgb="FF000000"/>
        <rFont val="Times New Roman"/>
        <family val="1"/>
      </rPr>
      <t>4</t>
    </r>
    <r>
      <rPr>
        <sz val="10.5"/>
        <color rgb="FF000000"/>
        <rFont val="Times New Roman"/>
        <family val="1"/>
      </rPr>
      <t>th</t>
    </r>
    <r>
      <rPr>
        <sz val="10.5"/>
        <color rgb="FF000000"/>
        <rFont val="宋体"/>
        <family val="3"/>
        <charset val="134"/>
      </rPr>
      <t>：</t>
    </r>
    <r>
      <rPr>
        <u/>
        <sz val="10.5"/>
        <color rgb="FF000000"/>
        <rFont val="Times New Roman"/>
        <family val="1"/>
      </rPr>
      <t xml:space="preserve">            </t>
    </r>
    <r>
      <rPr>
        <sz val="10.5"/>
        <color rgb="FF000000"/>
        <rFont val="Times New Roman"/>
        <family val="1"/>
      </rPr>
      <t>kg</t>
    </r>
    <r>
      <rPr>
        <sz val="10.5"/>
        <color rgb="FF000000"/>
        <rFont val="宋体"/>
        <family val="3"/>
        <charset val="134"/>
      </rPr>
      <t>；</t>
    </r>
  </si>
  <si>
    <t>351.36~388.34</t>
  </si>
  <si>
    <t>1.6/3.9.2</t>
  </si>
  <si>
    <r>
      <rPr>
        <sz val="10"/>
        <color rgb="FF000000"/>
        <rFont val="Times New Roman"/>
        <family val="1"/>
      </rPr>
      <t>Fmoc-L-Ala-OH·H2O/</t>
    </r>
    <r>
      <rPr>
        <sz val="10"/>
        <color rgb="FF000000"/>
        <rFont val="宋体"/>
        <family val="3"/>
        <charset val="134"/>
      </rPr>
      <t>芴甲氧羰基</t>
    </r>
    <r>
      <rPr>
        <sz val="10"/>
        <color rgb="FF000000"/>
        <rFont val="Times New Roman"/>
        <family val="1"/>
      </rPr>
      <t>-L-</t>
    </r>
    <r>
      <rPr>
        <sz val="10"/>
        <color rgb="FF000000"/>
        <rFont val="宋体"/>
        <family val="3"/>
        <charset val="134"/>
      </rPr>
      <t>丙氨酸一水合物</t>
    </r>
  </si>
  <si>
    <t>1.7/3.9.4</t>
  </si>
  <si>
    <t>3.9.6</t>
  </si>
  <si>
    <t>DIC/N,N’-二异丙基碳二亚胺</t>
  </si>
  <si>
    <r>
      <rPr>
        <sz val="10"/>
        <color rgb="FF000000"/>
        <rFont val="仿宋_GB2312"/>
        <family val="3"/>
        <charset val="134"/>
      </rPr>
      <t>（</t>
    </r>
    <r>
      <rPr>
        <sz val="10"/>
        <color rgb="FF000000"/>
        <rFont val="Times New Roman"/>
        <family val="1"/>
      </rPr>
      <t>4</t>
    </r>
    <r>
      <rPr>
        <sz val="10.5"/>
        <color rgb="FF000000"/>
        <rFont val="仿宋_GB2312"/>
        <family val="3"/>
        <charset val="134"/>
      </rPr>
      <t>）</t>
    </r>
    <r>
      <rPr>
        <sz val="10.5"/>
        <color rgb="FF000000"/>
        <rFont val="Times New Roman"/>
        <family val="1"/>
      </rPr>
      <t>Fmoc-L-Cys(Trt)-OH/Fmoc-S-</t>
    </r>
    <r>
      <rPr>
        <sz val="10.5"/>
        <color rgb="FF000000"/>
        <rFont val="仿宋_GB2312"/>
        <family val="3"/>
        <charset val="134"/>
      </rPr>
      <t>三苯甲基</t>
    </r>
    <r>
      <rPr>
        <sz val="10.5"/>
        <color rgb="FF000000"/>
        <rFont val="Times New Roman"/>
        <family val="1"/>
      </rPr>
      <t>-L-</t>
    </r>
    <r>
      <rPr>
        <sz val="10.5"/>
        <color rgb="FF000000"/>
        <rFont val="仿宋_GB2312"/>
        <family val="3"/>
        <charset val="134"/>
      </rPr>
      <t>半胱氨酸</t>
    </r>
  </si>
  <si>
    <t>1.8/3.12.2</t>
  </si>
  <si>
    <r>
      <rPr>
        <sz val="10"/>
        <color rgb="FFFF0000"/>
        <rFont val="Times New Roman"/>
        <family val="1"/>
      </rPr>
      <t>Fmoc-L-Cys(Trt)-OH/Fmoc-S-</t>
    </r>
    <r>
      <rPr>
        <sz val="10"/>
        <color rgb="FFFF0000"/>
        <rFont val="宋体"/>
        <family val="3"/>
        <charset val="134"/>
      </rPr>
      <t>三苯甲基</t>
    </r>
    <r>
      <rPr>
        <sz val="10"/>
        <color rgb="FFFF0000"/>
        <rFont val="Times New Roman"/>
        <family val="1"/>
      </rPr>
      <t>-L-</t>
    </r>
    <r>
      <rPr>
        <sz val="10"/>
        <color rgb="FFFF0000"/>
        <rFont val="宋体"/>
        <family val="3"/>
        <charset val="134"/>
      </rPr>
      <t>半胱氨酸</t>
    </r>
  </si>
  <si>
    <t>1.9/3.12.3</t>
  </si>
  <si>
    <r>
      <rPr>
        <sz val="10"/>
        <color rgb="FFFF0000"/>
        <rFont val="Times New Roman"/>
        <family val="1"/>
      </rPr>
      <t>Oxyma pure/2-</t>
    </r>
    <r>
      <rPr>
        <sz val="10.5"/>
        <color rgb="FFFF0000"/>
        <rFont val="仿宋_GB2312"/>
        <family val="3"/>
        <charset val="134"/>
      </rPr>
      <t>肟氰乙酸乙酯</t>
    </r>
  </si>
  <si>
    <t>-1", PH:{Standard batch Qty calculation/标准投料量计算-02}.{</t>
  </si>
  <si>
    <t>DIC/N,N'-二异丙基碳二亚胺</t>
  </si>
  <si>
    <t>-3", PH:{Standard batch Qty calculation/标准投料量计算-02}.{</t>
  </si>
  <si>
    <r>
      <rPr>
        <sz val="10"/>
        <color rgb="FF000000"/>
        <rFont val="仿宋_GB2312"/>
        <family val="3"/>
        <charset val="134"/>
      </rPr>
      <t>（</t>
    </r>
    <r>
      <rPr>
        <sz val="10.5"/>
        <color rgb="FF000000"/>
        <rFont val="Times New Roman"/>
        <family val="1"/>
      </rPr>
      <t>5</t>
    </r>
    <r>
      <rPr>
        <sz val="10.5"/>
        <color rgb="FF000000"/>
        <rFont val="仿宋_GB2312"/>
        <family val="3"/>
        <charset val="134"/>
      </rPr>
      <t>）</t>
    </r>
    <r>
      <rPr>
        <sz val="10.5"/>
        <color rgb="FF000000"/>
        <rFont val="Times New Roman"/>
        <family val="1"/>
      </rPr>
      <t>Fmoc-L-Thr(tBu)-OH/</t>
    </r>
    <r>
      <rPr>
        <sz val="10.5"/>
        <color rgb="FF000000"/>
        <rFont val="仿宋_GB2312"/>
        <family val="3"/>
        <charset val="134"/>
      </rPr>
      <t>芴甲氧羰基</t>
    </r>
    <r>
      <rPr>
        <sz val="10.5"/>
        <color rgb="FF000000"/>
        <rFont val="Times New Roman"/>
        <family val="1"/>
      </rPr>
      <t>-</t>
    </r>
    <r>
      <rPr>
        <sz val="10.5"/>
        <color rgb="FF000000"/>
        <rFont val="仿宋_GB2312"/>
        <family val="3"/>
        <charset val="134"/>
      </rPr>
      <t>叔丁基</t>
    </r>
    <r>
      <rPr>
        <sz val="10.5"/>
        <color rgb="FF000000"/>
        <rFont val="Times New Roman"/>
        <family val="1"/>
      </rPr>
      <t>-L-</t>
    </r>
    <r>
      <rPr>
        <sz val="10.5"/>
        <color rgb="FF000000"/>
        <rFont val="仿宋_GB2312"/>
        <family val="3"/>
        <charset val="134"/>
      </rPr>
      <t>苏氨酸</t>
    </r>
  </si>
  <si>
    <t>1.10/3.15.2</t>
  </si>
  <si>
    <t>1.11/3.15.4</t>
  </si>
  <si>
    <t>3.15.6</t>
  </si>
  <si>
    <r>
      <rPr>
        <sz val="10"/>
        <color rgb="FF000000"/>
        <rFont val="仿宋_GB2312"/>
        <family val="3"/>
        <charset val="134"/>
      </rPr>
      <t>（</t>
    </r>
    <r>
      <rPr>
        <sz val="10.5"/>
        <color rgb="FF000000"/>
        <rFont val="Times New Roman"/>
        <family val="1"/>
      </rPr>
      <t>6</t>
    </r>
    <r>
      <rPr>
        <sz val="10.5"/>
        <color rgb="FF000000"/>
        <rFont val="仿宋_GB2312"/>
        <family val="3"/>
        <charset val="134"/>
      </rPr>
      <t>）</t>
    </r>
    <r>
      <rPr>
        <sz val="10.5"/>
        <color rgb="FF000000"/>
        <rFont val="Times New Roman"/>
        <family val="1"/>
      </rPr>
      <t>Fmoc-L-Ala-OH·H2O/</t>
    </r>
    <r>
      <rPr>
        <sz val="10.5"/>
        <color rgb="FF000000"/>
        <rFont val="仿宋_GB2312"/>
        <family val="3"/>
        <charset val="134"/>
      </rPr>
      <t>芴甲氧羰基</t>
    </r>
    <r>
      <rPr>
        <sz val="10.5"/>
        <color rgb="FF000000"/>
        <rFont val="Times New Roman"/>
        <family val="1"/>
      </rPr>
      <t>-L-</t>
    </r>
    <r>
      <rPr>
        <sz val="10.5"/>
        <color rgb="FF000000"/>
        <rFont val="仿宋_GB2312"/>
        <family val="3"/>
        <charset val="134"/>
      </rPr>
      <t>丙氨酸一水合物</t>
    </r>
  </si>
  <si>
    <t>1.12/3.18.2</t>
  </si>
  <si>
    <t>1.13/3.18.4</t>
  </si>
  <si>
    <t>3.18.6</t>
  </si>
  <si>
    <r>
      <rPr>
        <sz val="10"/>
        <color rgb="FF000000"/>
        <rFont val="Times New Roman"/>
        <family val="1"/>
      </rPr>
      <t>DIC/N,N’-</t>
    </r>
    <r>
      <rPr>
        <sz val="10"/>
        <color rgb="FF000000"/>
        <rFont val="宋体"/>
        <family val="3"/>
        <charset val="134"/>
      </rPr>
      <t>二异丙基碳二亚胺</t>
    </r>
  </si>
  <si>
    <r>
      <rPr>
        <sz val="10"/>
        <color rgb="FF000000"/>
        <rFont val="仿宋_GB2312"/>
        <family val="3"/>
        <charset val="134"/>
      </rPr>
      <t>（</t>
    </r>
    <r>
      <rPr>
        <sz val="10"/>
        <color rgb="FF000000"/>
        <rFont val="Times New Roman"/>
        <family val="1"/>
      </rPr>
      <t>7</t>
    </r>
    <r>
      <rPr>
        <sz val="10.5"/>
        <color rgb="FF000000"/>
        <rFont val="仿宋_GB2312"/>
        <family val="3"/>
        <charset val="134"/>
      </rPr>
      <t>）</t>
    </r>
    <r>
      <rPr>
        <sz val="10.5"/>
        <color rgb="FF000000"/>
        <rFont val="Times New Roman"/>
        <family val="1"/>
      </rPr>
      <t>Fmoc-L-Thr(tBu)-OH/</t>
    </r>
    <r>
      <rPr>
        <sz val="10.5"/>
        <color rgb="FF000000"/>
        <rFont val="仿宋_GB2312"/>
        <family val="3"/>
        <charset val="134"/>
      </rPr>
      <t>芴甲氧羰基</t>
    </r>
    <r>
      <rPr>
        <sz val="10.5"/>
        <color rgb="FF000000"/>
        <rFont val="Times New Roman"/>
        <family val="1"/>
      </rPr>
      <t>-</t>
    </r>
    <r>
      <rPr>
        <sz val="10.5"/>
        <color rgb="FF000000"/>
        <rFont val="仿宋_GB2312"/>
        <family val="3"/>
        <charset val="134"/>
      </rPr>
      <t>叔丁基</t>
    </r>
    <r>
      <rPr>
        <sz val="10.5"/>
        <color rgb="FF000000"/>
        <rFont val="Times New Roman"/>
        <family val="1"/>
      </rPr>
      <t>-L-</t>
    </r>
    <r>
      <rPr>
        <sz val="10.5"/>
        <color rgb="FF000000"/>
        <rFont val="仿宋_GB2312"/>
        <family val="3"/>
        <charset val="134"/>
      </rPr>
      <t>苏氨酸</t>
    </r>
  </si>
  <si>
    <t>1.14/3.21.2</t>
  </si>
  <si>
    <t>1.15/3.21.4</t>
  </si>
  <si>
    <t>3.21.6</t>
  </si>
  <si>
    <r>
      <rPr>
        <sz val="10"/>
        <color rgb="FF000000"/>
        <rFont val="仿宋_GB2312"/>
        <family val="3"/>
        <charset val="134"/>
      </rPr>
      <t>（</t>
    </r>
    <r>
      <rPr>
        <sz val="10"/>
        <color rgb="FF000000"/>
        <rFont val="Times New Roman"/>
        <family val="1"/>
      </rPr>
      <t>8</t>
    </r>
    <r>
      <rPr>
        <sz val="10.5"/>
        <color rgb="FF000000"/>
        <rFont val="仿宋_GB2312"/>
        <family val="3"/>
        <charset val="134"/>
      </rPr>
      <t>）</t>
    </r>
    <r>
      <rPr>
        <sz val="10.5"/>
        <color rgb="FF000000"/>
        <rFont val="Times New Roman"/>
        <family val="1"/>
      </rPr>
      <t>Fmoc-L-Asn(Trt)-OH/Fmoc-N-</t>
    </r>
    <r>
      <rPr>
        <sz val="10.5"/>
        <color rgb="FF000000"/>
        <rFont val="仿宋_GB2312"/>
        <family val="3"/>
        <charset val="134"/>
      </rPr>
      <t>三苯甲基</t>
    </r>
    <r>
      <rPr>
        <sz val="10.5"/>
        <color rgb="FF000000"/>
        <rFont val="Times New Roman"/>
        <family val="1"/>
      </rPr>
      <t>-L-</t>
    </r>
    <r>
      <rPr>
        <sz val="10.5"/>
        <color rgb="FF000000"/>
        <rFont val="仿宋_GB2312"/>
        <family val="3"/>
        <charset val="134"/>
      </rPr>
      <t>天冬酰胺</t>
    </r>
  </si>
  <si>
    <t>1.16/3.24.2</t>
  </si>
  <si>
    <r>
      <rPr>
        <sz val="11"/>
        <color rgb="FF000000"/>
        <rFont val="Times New Roman"/>
        <family val="1"/>
      </rPr>
      <t>Fmoc-L-Asn(Trt)-OH/Fmoc-N-</t>
    </r>
    <r>
      <rPr>
        <i/>
        <sz val="10.5"/>
        <color rgb="FF000000"/>
        <rFont val="仿宋_GB2312"/>
        <family val="3"/>
        <charset val="134"/>
      </rPr>
      <t>三苯甲基</t>
    </r>
    <r>
      <rPr>
        <i/>
        <sz val="10.5"/>
        <color rgb="FF000000"/>
        <rFont val="Times New Roman"/>
        <family val="1"/>
      </rPr>
      <t>-L-</t>
    </r>
    <r>
      <rPr>
        <i/>
        <sz val="10.5"/>
        <color rgb="FF000000"/>
        <rFont val="仿宋_GB2312"/>
        <family val="3"/>
        <charset val="134"/>
      </rPr>
      <t>天冬酰胺</t>
    </r>
  </si>
  <si>
    <t>1.17/3.24.4</t>
  </si>
  <si>
    <t>3.24.6</t>
  </si>
  <si>
    <r>
      <rPr>
        <sz val="10"/>
        <color rgb="FF000000"/>
        <rFont val="仿宋_GB2312"/>
        <family val="3"/>
        <charset val="134"/>
      </rPr>
      <t>（</t>
    </r>
    <r>
      <rPr>
        <sz val="10"/>
        <color rgb="FF000000"/>
        <rFont val="Times New Roman"/>
        <family val="1"/>
      </rPr>
      <t>9</t>
    </r>
    <r>
      <rPr>
        <sz val="10.5"/>
        <color rgb="FF000000"/>
        <rFont val="仿宋_GB2312"/>
        <family val="3"/>
        <charset val="134"/>
      </rPr>
      <t>）</t>
    </r>
    <r>
      <rPr>
        <sz val="10.5"/>
        <color rgb="FF000000"/>
        <rFont val="Times New Roman"/>
        <family val="1"/>
      </rPr>
      <t>Fmoc-L-Cys(Trt)-OH/Fmoc-S-</t>
    </r>
    <r>
      <rPr>
        <sz val="10.5"/>
        <color rgb="FF000000"/>
        <rFont val="仿宋_GB2312"/>
        <family val="3"/>
        <charset val="134"/>
      </rPr>
      <t>三苯甲基</t>
    </r>
    <r>
      <rPr>
        <sz val="10.5"/>
        <color rgb="FF000000"/>
        <rFont val="Times New Roman"/>
        <family val="1"/>
      </rPr>
      <t>-L-</t>
    </r>
    <r>
      <rPr>
        <sz val="10.5"/>
        <color rgb="FF000000"/>
        <rFont val="仿宋_GB2312"/>
        <family val="3"/>
        <charset val="134"/>
      </rPr>
      <t>半胱氨酸</t>
    </r>
  </si>
  <si>
    <t>3.26.7</t>
  </si>
  <si>
    <t>1.18/3.27.2</t>
  </si>
  <si>
    <t>-1", PH:{Standard batch Qty calculation/标准投料量计算-03}.{</t>
  </si>
  <si>
    <t>1.19/3.27.3</t>
  </si>
  <si>
    <t>-3", PH:{Standard batch Qty calculation/标准投料量计算-03}.{</t>
  </si>
  <si>
    <r>
      <rPr>
        <sz val="10"/>
        <color rgb="FF000000"/>
        <rFont val="仿宋_GB2312"/>
        <family val="3"/>
        <charset val="134"/>
      </rPr>
      <t>（</t>
    </r>
    <r>
      <rPr>
        <sz val="10"/>
        <color rgb="FF000000"/>
        <rFont val="Times New Roman"/>
        <family val="1"/>
      </rPr>
      <t>10</t>
    </r>
    <r>
      <rPr>
        <sz val="10.5"/>
        <color rgb="FF000000"/>
        <rFont val="仿宋_GB2312"/>
        <family val="3"/>
        <charset val="134"/>
      </rPr>
      <t>）</t>
    </r>
    <r>
      <rPr>
        <sz val="10.5"/>
        <color rgb="FF000000"/>
        <rFont val="Times New Roman"/>
        <family val="1"/>
      </rPr>
      <t>Boc-Glu(tBu)-OH/Boc-L-</t>
    </r>
    <r>
      <rPr>
        <sz val="10.5"/>
        <color rgb="FF000000"/>
        <rFont val="仿宋_GB2312"/>
        <family val="3"/>
        <charset val="134"/>
      </rPr>
      <t>谷氨酸</t>
    </r>
    <r>
      <rPr>
        <sz val="10.5"/>
        <color rgb="FF000000"/>
        <rFont val="Times New Roman"/>
        <family val="1"/>
      </rPr>
      <t>-1-</t>
    </r>
    <r>
      <rPr>
        <sz val="10.5"/>
        <color rgb="FF000000"/>
        <rFont val="仿宋_GB2312"/>
        <family val="3"/>
        <charset val="134"/>
      </rPr>
      <t>叔丁酯</t>
    </r>
  </si>
  <si>
    <t>1.20/3.30.2</t>
  </si>
  <si>
    <r>
      <rPr>
        <sz val="10"/>
        <color rgb="FF000000"/>
        <rFont val="Times New Roman"/>
        <family val="1"/>
      </rPr>
      <t>Boc-L-Glu-OtBu/Boc-L-</t>
    </r>
    <r>
      <rPr>
        <i/>
        <sz val="10"/>
        <color rgb="FF000000"/>
        <rFont val="宋体"/>
        <family val="3"/>
        <charset val="134"/>
      </rPr>
      <t>谷氨酸</t>
    </r>
    <r>
      <rPr>
        <i/>
        <sz val="10"/>
        <color rgb="FF000000"/>
        <rFont val="Times New Roman"/>
        <family val="1"/>
      </rPr>
      <t>-1-</t>
    </r>
    <r>
      <rPr>
        <i/>
        <sz val="10"/>
        <color rgb="FF000000"/>
        <rFont val="宋体"/>
        <family val="3"/>
        <charset val="134"/>
      </rPr>
      <t>叔丁酯</t>
    </r>
  </si>
  <si>
    <t>1.21/3.30.4</t>
  </si>
  <si>
    <t>1.22/3.30.5</t>
  </si>
  <si>
    <t>3.30.7</t>
  </si>
  <si>
    <t>3.32 Iodine oxidation 碘氧化</t>
  </si>
  <si>
    <t>231.57~261.13</t>
  </si>
  <si>
    <t>3.32.3</t>
  </si>
  <si>
    <r>
      <rPr>
        <sz val="11"/>
        <color rgb="FF000000"/>
        <rFont val="Times New Roman"/>
        <family val="1"/>
      </rPr>
      <t>Iodine/</t>
    </r>
    <r>
      <rPr>
        <sz val="10.5"/>
        <color rgb="FF000000"/>
        <rFont val="仿宋_GB2312"/>
        <family val="3"/>
        <charset val="134"/>
      </rPr>
      <t>碘</t>
    </r>
  </si>
  <si>
    <r>
      <rPr>
        <sz val="10"/>
        <color rgb="FF000000"/>
        <rFont val="Times New Roman"/>
        <family val="1"/>
      </rPr>
      <t>Qty Charged/</t>
    </r>
    <r>
      <rPr>
        <sz val="10.5"/>
        <color rgb="FF000000"/>
        <rFont val="仿宋_GB2312"/>
        <family val="3"/>
        <charset val="134"/>
      </rPr>
      <t>实际投料量（</t>
    </r>
    <r>
      <rPr>
        <sz val="10.5"/>
        <color rgb="FF000000"/>
        <rFont val="Times New Roman"/>
        <family val="1"/>
      </rPr>
      <t>kg</t>
    </r>
    <r>
      <rPr>
        <sz val="10.5"/>
        <color rgb="FF000000"/>
        <rFont val="仿宋_GB2312"/>
        <family val="3"/>
        <charset val="134"/>
      </rPr>
      <t>）：</t>
    </r>
    <r>
      <rPr>
        <sz val="10.5"/>
        <color rgb="FF000000"/>
        <rFont val="Times New Roman"/>
        <family val="1"/>
      </rPr>
      <t>1</t>
    </r>
    <r>
      <rPr>
        <sz val="10.5"/>
        <color rgb="FF000000"/>
        <rFont val="Times New Roman"/>
        <family val="1"/>
      </rPr>
      <t>st</t>
    </r>
    <r>
      <rPr>
        <sz val="10.5"/>
        <color rgb="FF000000"/>
        <rFont val="仿宋_GB2312"/>
        <family val="3"/>
        <charset val="134"/>
      </rPr>
      <t>：</t>
    </r>
    <r>
      <rPr>
        <u/>
        <sz val="10.5"/>
        <color rgb="FF000000"/>
        <rFont val="Times New Roman"/>
        <family val="1"/>
      </rPr>
      <t xml:space="preserve">            </t>
    </r>
    <r>
      <rPr>
        <sz val="10.5"/>
        <color rgb="FF000000"/>
        <rFont val="Times New Roman"/>
        <family val="1"/>
      </rPr>
      <t>kg</t>
    </r>
    <r>
      <rPr>
        <sz val="10.5"/>
        <color rgb="FF000000"/>
        <rFont val="仿宋_GB2312"/>
        <family val="3"/>
        <charset val="134"/>
      </rPr>
      <t>；</t>
    </r>
    <r>
      <rPr>
        <sz val="10.5"/>
        <color rgb="FF000000"/>
        <rFont val="Times New Roman"/>
        <family val="1"/>
      </rPr>
      <t>2</t>
    </r>
    <r>
      <rPr>
        <sz val="10.5"/>
        <color rgb="FF000000"/>
        <rFont val="Times New Roman"/>
        <family val="1"/>
      </rPr>
      <t>nd</t>
    </r>
    <r>
      <rPr>
        <sz val="10.5"/>
        <color rgb="FF000000"/>
        <rFont val="仿宋_GB2312"/>
        <family val="3"/>
        <charset val="134"/>
      </rPr>
      <t>：</t>
    </r>
    <r>
      <rPr>
        <u/>
        <sz val="10.5"/>
        <color rgb="FF000000"/>
        <rFont val="Times New Roman"/>
        <family val="1"/>
      </rPr>
      <t xml:space="preserve">            </t>
    </r>
    <r>
      <rPr>
        <sz val="10.5"/>
        <color rgb="FF000000"/>
        <rFont val="Times New Roman"/>
        <family val="1"/>
      </rPr>
      <t>kg</t>
    </r>
    <r>
      <rPr>
        <sz val="10.5"/>
        <color rgb="FF000000"/>
        <rFont val="仿宋_GB2312"/>
        <family val="3"/>
        <charset val="134"/>
      </rPr>
      <t>；</t>
    </r>
  </si>
  <si>
    <t>3.32.10</t>
  </si>
  <si>
    <r>
      <rPr>
        <sz val="10"/>
        <color rgb="FF000000"/>
        <rFont val="宋体"/>
        <family val="3"/>
        <charset val="134"/>
      </rPr>
      <t>□</t>
    </r>
    <r>
      <rPr>
        <sz val="10"/>
        <color rgb="FF000000"/>
        <rFont val="Times New Roman"/>
        <family val="1"/>
      </rPr>
      <t xml:space="preserve">3.13 Iodine oxidation </t>
    </r>
    <r>
      <rPr>
        <sz val="10"/>
        <color rgb="FF000000"/>
        <rFont val="宋体"/>
        <family val="3"/>
        <charset val="134"/>
      </rPr>
      <t>碘氧化</t>
    </r>
  </si>
  <si>
    <t>3.33.3</t>
  </si>
  <si>
    <t>3.33.10</t>
  </si>
  <si>
    <r>
      <rPr>
        <sz val="10"/>
        <color rgb="FF000000"/>
        <rFont val="Times New Roman"/>
        <family val="1"/>
      </rPr>
      <t>MTBE/</t>
    </r>
    <r>
      <rPr>
        <sz val="10"/>
        <color rgb="FF000000"/>
        <rFont val="宋体"/>
        <family val="3"/>
        <charset val="134"/>
      </rPr>
      <t>甲基叔丁基醚</t>
    </r>
  </si>
  <si>
    <r>
      <rPr>
        <sz val="10"/>
        <color rgb="FF000000"/>
        <rFont val="Times New Roman"/>
        <family val="1"/>
      </rPr>
      <t>4</t>
    </r>
    <r>
      <rPr>
        <sz val="10.5"/>
        <color rgb="FF000000"/>
        <rFont val="Times New Roman"/>
        <family val="1"/>
      </rPr>
      <t>th</t>
    </r>
    <r>
      <rPr>
        <sz val="10.5"/>
        <color rgb="FF000000"/>
        <rFont val="宋体"/>
        <family val="3"/>
        <charset val="134"/>
      </rPr>
      <t>：</t>
    </r>
    <r>
      <rPr>
        <u/>
        <sz val="10.5"/>
        <color rgb="FF000000"/>
        <rFont val="Times New Roman"/>
        <family val="1"/>
      </rPr>
      <t xml:space="preserve">            </t>
    </r>
    <r>
      <rPr>
        <sz val="10.5"/>
        <color rgb="FF000000"/>
        <rFont val="Times New Roman"/>
        <family val="1"/>
      </rPr>
      <t>kg</t>
    </r>
    <r>
      <rPr>
        <sz val="10.5"/>
        <color rgb="FF000000"/>
        <rFont val="宋体"/>
        <family val="3"/>
        <charset val="134"/>
      </rPr>
      <t>；</t>
    </r>
    <r>
      <rPr>
        <sz val="10.5"/>
        <color rgb="FF000000"/>
        <rFont val="Times New Roman"/>
        <family val="1"/>
      </rPr>
      <t>5</t>
    </r>
    <r>
      <rPr>
        <sz val="10.5"/>
        <color rgb="FF000000"/>
        <rFont val="Times New Roman"/>
        <family val="1"/>
      </rPr>
      <t>th</t>
    </r>
    <r>
      <rPr>
        <sz val="10.5"/>
        <color rgb="FF000000"/>
        <rFont val="宋体"/>
        <family val="3"/>
        <charset val="134"/>
      </rPr>
      <t>：</t>
    </r>
    <r>
      <rPr>
        <u/>
        <sz val="10.5"/>
        <color rgb="FF000000"/>
        <rFont val="Times New Roman"/>
        <family val="1"/>
      </rPr>
      <t xml:space="preserve">            </t>
    </r>
    <r>
      <rPr>
        <sz val="10.5"/>
        <color rgb="FF000000"/>
        <rFont val="Times New Roman"/>
        <family val="1"/>
      </rPr>
      <t>kg</t>
    </r>
    <r>
      <rPr>
        <sz val="10.5"/>
        <color rgb="FF000000"/>
        <rFont val="宋体"/>
        <family val="3"/>
        <charset val="134"/>
      </rPr>
      <t>；</t>
    </r>
  </si>
  <si>
    <t>Operation Instruction No.</t>
  </si>
  <si>
    <t>Raw Material Name</t>
  </si>
  <si>
    <t>Density/</t>
  </si>
  <si>
    <t>Mol. Wt. of material/</t>
  </si>
  <si>
    <t>Volume/Weight Ratio to limiting material/与基准原料质量体积比</t>
  </si>
  <si>
    <t>Qty Ratio to limiting material/</t>
  </si>
  <si>
    <t>Mol Ratio to limiting</t>
  </si>
  <si>
    <t>Standard Batch Qty/标准投料量*（kg）</t>
  </si>
  <si>
    <t>Weighing accuracy/称量精确度</t>
  </si>
  <si>
    <t>Acceptable weighing range/可接受称量范围（kg）</t>
  </si>
  <si>
    <t>计算标准投料量</t>
  </si>
  <si>
    <t>计算可接受范围</t>
  </si>
  <si>
    <t>标准投料量比对</t>
  </si>
  <si>
    <t>可接受范围比对</t>
  </si>
  <si>
    <t>DMF/</t>
  </si>
  <si>
    <t>347.66~392.04</t>
  </si>
  <si>
    <t>Fmoc-Gly-OH/</t>
  </si>
  <si>
    <t>±3%</t>
  </si>
  <si>
    <t>58.05~65.46</t>
  </si>
  <si>
    <t>289.61~326.59</t>
  </si>
  <si>
    <t>DIPEA/</t>
  </si>
  <si>
    <t>521.18~587.72</t>
  </si>
  <si>
    <t>Methanol/</t>
  </si>
  <si>
    <t>20% Piperidine solution/</t>
  </si>
  <si>
    <t>454.58~512.62</t>
  </si>
  <si>
    <t>IPAc/</t>
  </si>
  <si>
    <t>426.48~480.92</t>
  </si>
  <si>
    <t>234.03~258.67</t>
  </si>
  <si>
    <t>Fmoc-L-Thr(tBu)-OH/</t>
  </si>
  <si>
    <t>PyBOP/</t>
  </si>
  <si>
    <t>Oxyma Pure/</t>
  </si>
  <si>
    <t>173.52~195.68</t>
  </si>
  <si>
    <t>Fmoc-L-Ala-OH·H2O/</t>
  </si>
  <si>
    <t>DIC/</t>
  </si>
  <si>
    <t>Fmoc-L-Cys(Trt)-OH/</t>
  </si>
  <si>
    <t>Fmoc-L-Thr(tBu)-OH/芴甲氧羰基-叔丁基-L-苏氨酸</t>
  </si>
  <si>
    <t>579.23~653.17</t>
  </si>
  <si>
    <t>533.40~601.50</t>
  </si>
  <si>
    <t>Fmoc-L-Asn(Trt)-OH/Fmoc-N-三苯甲基-L-天冬酰胺</t>
  </si>
  <si>
    <t>Fmoc-L-Cys(Trt)-OH/Fmoc-S-三苯甲基-L-半胱氨酸</t>
  </si>
  <si>
    <t>Boc-L-Glu-OtBu/</t>
  </si>
  <si>
    <t>1.23/3.32.3</t>
  </si>
  <si>
    <t>Iodine /</t>
  </si>
  <si>
    <t>694.71~783.39</t>
  </si>
  <si>
    <t>1.24/3.33.3</t>
  </si>
  <si>
    <t>MTBE/</t>
  </si>
  <si>
    <t>452.75~510.55</t>
  </si>
  <si>
    <r>
      <t>Add 616.20kg DMF (9.48W, 10.0Vol) by spray balls into activation tank TJ4S-1213-Sy16-R01. Start the agitator of activation tank to 115±5 rpm (target: 115 rpm). Adjust the internal temperature to</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.Later for use
. After confirmation of pre-cooled DMF temperature, immediately transfer the mixture in activation tank TJ4S-1213-Sy16-R01 into synthesis reactor TJ4S-1213-Sy16.Turn on the nitrogen of synthesis reactor to 8.5±4m³/h (target: 8.5 m³/h). Bubble with nitrogen for 5±2min (target: 5min), Start the agitator of synthesis reactor to 20±10rpm (target: 20 rpm). Adjust internal temperature to -5~0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 After stirring for 15±2min (target: 15min) at</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 xml:space="preserve">, stop stirring, turn off the nitrogen. Start draining the solution from synthesis reactor with diaphragm pump. Drain until there is no drip, the operator visually confirms the draining end point.
</t>
    </r>
    <r>
      <rPr>
        <sz val="10"/>
        <color rgb="FF000000"/>
        <rFont val="宋体"/>
        <family val="3"/>
        <charset val="134"/>
      </rPr>
      <t>通过淋洗球向激活罐</t>
    </r>
    <r>
      <rPr>
        <sz val="10"/>
        <color rgb="FF000000"/>
        <rFont val="Times New Roman"/>
        <family val="1"/>
      </rPr>
      <t>TJ4S-1213-Sy16-R01</t>
    </r>
    <r>
      <rPr>
        <sz val="10"/>
        <color rgb="FF000000"/>
        <rFont val="宋体"/>
        <family val="3"/>
        <charset val="134"/>
      </rPr>
      <t>中加入</t>
    </r>
    <r>
      <rPr>
        <sz val="10"/>
        <color rgb="FF000000"/>
        <rFont val="Times New Roman"/>
        <family val="1"/>
      </rPr>
      <t>616.20kg N,N-</t>
    </r>
    <r>
      <rPr>
        <sz val="10"/>
        <color rgb="FF000000"/>
        <rFont val="宋体"/>
        <family val="3"/>
        <charset val="134"/>
      </rPr>
      <t>二甲基甲酰胺（</t>
    </r>
    <r>
      <rPr>
        <sz val="10"/>
        <color rgb="FF000000"/>
        <rFont val="Times New Roman"/>
        <family val="1"/>
      </rPr>
      <t>9.48W,10.0Vol</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579.23kg~653.17kg</t>
    </r>
    <r>
      <rPr>
        <sz val="10"/>
        <color rgb="FF000000"/>
        <rFont val="宋体"/>
        <family val="3"/>
        <charset val="134"/>
      </rPr>
      <t>），开启激活罐搅拌转速至</t>
    </r>
    <r>
      <rPr>
        <sz val="10"/>
        <color rgb="FF000000"/>
        <rFont val="Times New Roman"/>
        <family val="1"/>
      </rPr>
      <t>115±5 rpm (</t>
    </r>
    <r>
      <rPr>
        <sz val="10"/>
        <color rgb="FF000000"/>
        <rFont val="宋体"/>
        <family val="3"/>
        <charset val="134"/>
      </rPr>
      <t>目标转速</t>
    </r>
    <r>
      <rPr>
        <sz val="10"/>
        <color rgb="FF000000"/>
        <rFont val="Times New Roman"/>
        <family val="1"/>
      </rPr>
      <t>: 115 rpm)</t>
    </r>
    <r>
      <rPr>
        <sz val="10"/>
        <color rgb="FF000000"/>
        <rFont val="宋体"/>
        <family val="3"/>
        <charset val="134"/>
      </rPr>
      <t>。内温调温至【</t>
    </r>
    <r>
      <rPr>
        <sz val="10"/>
        <color rgb="FF000000"/>
        <rFont val="Times New Roman"/>
        <family val="1"/>
      </rPr>
      <t>-5~0</t>
    </r>
    <r>
      <rPr>
        <sz val="10"/>
        <color rgb="FF000000"/>
        <rFont val="宋体"/>
        <family val="3"/>
        <charset val="134"/>
      </rPr>
      <t>℃（目标温度：</t>
    </r>
    <r>
      <rPr>
        <sz val="10"/>
        <color rgb="FF000000"/>
        <rFont val="Times New Roman"/>
        <family val="1"/>
      </rPr>
      <t>-3</t>
    </r>
    <r>
      <rPr>
        <sz val="10"/>
        <color rgb="FF000000"/>
        <rFont val="宋体"/>
        <family val="3"/>
        <charset val="134"/>
      </rPr>
      <t>℃）】。待用。确认预冷</t>
    </r>
    <r>
      <rPr>
        <sz val="10"/>
        <color rgb="FF000000"/>
        <rFont val="Times New Roman"/>
        <family val="1"/>
      </rPr>
      <t xml:space="preserve"> N,N - </t>
    </r>
    <r>
      <rPr>
        <sz val="10"/>
        <color rgb="FF000000"/>
        <rFont val="宋体"/>
        <family val="3"/>
        <charset val="134"/>
      </rPr>
      <t>二甲基甲酰胺温度合格后。立即将激活罐</t>
    </r>
    <r>
      <rPr>
        <sz val="10"/>
        <color rgb="FF000000"/>
        <rFont val="Times New Roman"/>
        <family val="1"/>
      </rPr>
      <t>TJ4S-1213-Sy16-R01</t>
    </r>
    <r>
      <rPr>
        <sz val="10"/>
        <color rgb="FF000000"/>
        <rFont val="宋体"/>
        <family val="3"/>
        <charset val="134"/>
      </rPr>
      <t>中体系转移至合成釜中</t>
    </r>
    <r>
      <rPr>
        <sz val="10"/>
        <color rgb="FF000000"/>
        <rFont val="Times New Roman"/>
        <family val="1"/>
      </rPr>
      <t>TJ4S-1213-Sy16</t>
    </r>
    <r>
      <rPr>
        <sz val="10"/>
        <color rgb="FF000000"/>
        <rFont val="宋体"/>
        <family val="3"/>
        <charset val="134"/>
      </rPr>
      <t>。开启合成釜下口鼓氮气，氮气流速开至</t>
    </r>
    <r>
      <rPr>
        <sz val="10"/>
        <color rgb="FF000000"/>
        <rFont val="Times New Roman"/>
        <family val="1"/>
      </rPr>
      <t>8.5±4m³/h (</t>
    </r>
    <r>
      <rPr>
        <sz val="10"/>
        <color rgb="FF000000"/>
        <rFont val="宋体"/>
        <family val="3"/>
        <charset val="134"/>
      </rPr>
      <t>目标流速</t>
    </r>
    <r>
      <rPr>
        <sz val="10"/>
        <color rgb="FF000000"/>
        <rFont val="Times New Roman"/>
        <family val="1"/>
      </rPr>
      <t>: 8.5 m³/h)</t>
    </r>
    <r>
      <rPr>
        <sz val="10"/>
        <color rgb="FF000000"/>
        <rFont val="宋体"/>
        <family val="3"/>
        <charset val="134"/>
      </rPr>
      <t>，鼓氮气</t>
    </r>
    <r>
      <rPr>
        <sz val="10"/>
        <color rgb="FF000000"/>
        <rFont val="Times New Roman"/>
        <family val="1"/>
      </rPr>
      <t>5±2min</t>
    </r>
    <r>
      <rPr>
        <sz val="10"/>
        <color rgb="FF000000"/>
        <rFont val="宋体"/>
        <family val="3"/>
        <charset val="134"/>
      </rPr>
      <t>（目标时间：</t>
    </r>
    <r>
      <rPr>
        <sz val="10"/>
        <color rgb="FF000000"/>
        <rFont val="Times New Roman"/>
        <family val="1"/>
      </rPr>
      <t>5min</t>
    </r>
    <r>
      <rPr>
        <sz val="10"/>
        <color rgb="FF000000"/>
        <rFont val="宋体"/>
        <family val="3"/>
        <charset val="134"/>
      </rPr>
      <t>）后，开启固相合成釜搅拌转速至</t>
    </r>
    <r>
      <rPr>
        <sz val="10"/>
        <color rgb="FF000000"/>
        <rFont val="Times New Roman"/>
        <family val="1"/>
      </rPr>
      <t>20±10 rpm (</t>
    </r>
    <r>
      <rPr>
        <sz val="10"/>
        <color rgb="FF000000"/>
        <rFont val="宋体"/>
        <family val="3"/>
        <charset val="134"/>
      </rPr>
      <t>目标转速</t>
    </r>
    <r>
      <rPr>
        <sz val="10"/>
        <color rgb="FF000000"/>
        <rFont val="Times New Roman"/>
        <family val="1"/>
      </rPr>
      <t>: 20 rpm)</t>
    </r>
    <r>
      <rPr>
        <sz val="10"/>
        <color rgb="FF000000"/>
        <rFont val="宋体"/>
        <family val="3"/>
        <charset val="134"/>
      </rPr>
      <t>，内温调温至</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，控内温【</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】搅拌</t>
    </r>
    <r>
      <rPr>
        <sz val="10"/>
        <color rgb="FF000000"/>
        <rFont val="Times New Roman"/>
        <family val="1"/>
      </rPr>
      <t>15min±2min</t>
    </r>
    <r>
      <rPr>
        <sz val="10"/>
        <color rgb="FF000000"/>
        <rFont val="宋体"/>
        <family val="3"/>
        <charset val="134"/>
      </rPr>
      <t>（目标时间</t>
    </r>
    <r>
      <rPr>
        <sz val="10"/>
        <color rgb="FF000000"/>
        <rFont val="Times New Roman"/>
        <family val="1"/>
      </rPr>
      <t>:15min</t>
    </r>
    <r>
      <rPr>
        <sz val="10"/>
        <color rgb="FF000000"/>
        <rFont val="宋体"/>
        <family val="3"/>
        <charset val="134"/>
      </rPr>
      <t>）后，停止搅拌，关闭氮气，通过隔膜泵从合成釜中排出溶液。排液至无液体滴出，由操作人员目视确认排液终点。</t>
    </r>
    <phoneticPr fontId="1" type="noConversion"/>
  </si>
  <si>
    <r>
      <t>Add 246.35kg DMF (3.79W,4.0Vol) into glass lined agitator tank TJ4S-1213-AT09. Start the agitator of glass lined agitator tank to 60±20rpm (target: 60 rpm). Stir for 10min±5min (target: 10min). Adjust to -5±5</t>
    </r>
    <r>
      <rPr>
        <sz val="10"/>
        <color rgb="FF000000"/>
        <rFont val="宋体"/>
        <family val="3"/>
        <charset val="134"/>
      </rPr>
      <t>℃</t>
    </r>
    <r>
      <rPr>
        <sz val="10"/>
        <color rgb="FF000000"/>
        <rFont val="Times New Roman"/>
        <family val="1"/>
      </rPr>
      <t xml:space="preserve"> (target: -5</t>
    </r>
    <r>
      <rPr>
        <sz val="10"/>
        <color rgb="FF000000"/>
        <rFont val="宋体"/>
        <family val="3"/>
        <charset val="134"/>
      </rPr>
      <t>℃</t>
    </r>
    <r>
      <rPr>
        <sz val="10"/>
        <color rgb="FF000000"/>
        <rFont val="Times New Roman"/>
        <family val="1"/>
      </rPr>
      <t xml:space="preserve">). Add Iodine (5.00eq) with powder feeding bags into glass lined agitator tank TJ4S-1213-AT09 after dispensing in portions, with an interval of 5–10 minutes(reference) between each portion (30-40kg per portion). Continue agitation of glass lined agitator tank to 60±20 rpm (target: 60rpm). Maintain stirring for NLT 15min for later use.
</t>
    </r>
    <r>
      <rPr>
        <sz val="10"/>
        <color rgb="FF000000"/>
        <rFont val="宋体"/>
        <family val="3"/>
        <charset val="134"/>
      </rPr>
      <t>向搪玻璃搅拌罐</t>
    </r>
    <r>
      <rPr>
        <sz val="10"/>
        <color rgb="FF000000"/>
        <rFont val="Times New Roman"/>
        <family val="1"/>
      </rPr>
      <t>TJ4S-1213-AT09</t>
    </r>
    <r>
      <rPr>
        <sz val="10"/>
        <color rgb="FF000000"/>
        <rFont val="宋体"/>
        <family val="3"/>
        <charset val="134"/>
      </rPr>
      <t>中加入</t>
    </r>
    <r>
      <rPr>
        <sz val="10"/>
        <color rgb="FF000000"/>
        <rFont val="Times New Roman"/>
        <family val="1"/>
      </rPr>
      <t>246.35kg N,N-</t>
    </r>
    <r>
      <rPr>
        <sz val="10"/>
        <color rgb="FF000000"/>
        <rFont val="宋体"/>
        <family val="3"/>
        <charset val="134"/>
      </rPr>
      <t>二甲基甲酰胺（</t>
    </r>
    <r>
      <rPr>
        <sz val="10"/>
        <color rgb="FF000000"/>
        <rFont val="Times New Roman"/>
        <family val="1"/>
      </rPr>
      <t>3.79W,4.0Vol</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 xml:space="preserve"> 231.57kg~261.13kg</t>
    </r>
    <r>
      <rPr>
        <sz val="10"/>
        <color rgb="FF000000"/>
        <rFont val="宋体"/>
        <family val="3"/>
        <charset val="134"/>
      </rPr>
      <t>）。开启搪玻璃搅拌罐搅拌转速至</t>
    </r>
    <r>
      <rPr>
        <sz val="10"/>
        <color rgb="FF000000"/>
        <rFont val="Times New Roman"/>
        <family val="1"/>
      </rPr>
      <t>60±20 rpm (</t>
    </r>
    <r>
      <rPr>
        <sz val="10"/>
        <color rgb="FF000000"/>
        <rFont val="宋体"/>
        <family val="3"/>
        <charset val="134"/>
      </rPr>
      <t>目标转速</t>
    </r>
    <r>
      <rPr>
        <sz val="10"/>
        <color rgb="FF000000"/>
        <rFont val="Times New Roman"/>
        <family val="1"/>
      </rPr>
      <t>: 60 rpm)</t>
    </r>
    <r>
      <rPr>
        <sz val="10"/>
        <color rgb="FF000000"/>
        <rFont val="宋体"/>
        <family val="3"/>
        <charset val="134"/>
      </rPr>
      <t>。调温至</t>
    </r>
    <r>
      <rPr>
        <sz val="10"/>
        <color rgb="FF000000"/>
        <rFont val="Times New Roman"/>
        <family val="1"/>
      </rPr>
      <t>-5±5</t>
    </r>
    <r>
      <rPr>
        <sz val="10"/>
        <color rgb="FF000000"/>
        <rFont val="宋体"/>
        <family val="3"/>
        <charset val="134"/>
      </rPr>
      <t>℃（目标温度：</t>
    </r>
    <r>
      <rPr>
        <sz val="10"/>
        <color rgb="FF000000"/>
        <rFont val="Times New Roman"/>
        <family val="1"/>
      </rPr>
      <t>-5</t>
    </r>
    <r>
      <rPr>
        <sz val="10"/>
        <color rgb="FF000000"/>
        <rFont val="宋体"/>
        <family val="3"/>
        <charset val="134"/>
      </rPr>
      <t>℃）。通过投料袋加入</t>
    </r>
    <r>
      <rPr>
        <sz val="10"/>
        <color rgb="FF000000"/>
        <rFont val="Times New Roman"/>
        <family val="1"/>
      </rPr>
      <t>______kg</t>
    </r>
    <r>
      <rPr>
        <sz val="10"/>
        <color rgb="FF000000"/>
        <rFont val="宋体"/>
        <family val="3"/>
        <charset val="134"/>
      </rPr>
      <t>碘单质（</t>
    </r>
    <r>
      <rPr>
        <sz val="10"/>
        <color rgb="FF000000"/>
        <rFont val="Times New Roman"/>
        <family val="1"/>
      </rPr>
      <t>5.00eq</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______kg~ ______kg</t>
    </r>
    <r>
      <rPr>
        <sz val="10"/>
        <color rgb="FF000000"/>
        <rFont val="宋体"/>
        <family val="3"/>
        <charset val="134"/>
      </rPr>
      <t>），分批加入，每批</t>
    </r>
    <r>
      <rPr>
        <sz val="10"/>
        <color rgb="FF000000"/>
        <rFont val="Times New Roman"/>
        <family val="1"/>
      </rPr>
      <t>30~40kg</t>
    </r>
    <r>
      <rPr>
        <sz val="10"/>
        <color rgb="FF000000"/>
        <rFont val="宋体"/>
        <family val="3"/>
        <charset val="134"/>
      </rPr>
      <t>，每次间隔</t>
    </r>
    <r>
      <rPr>
        <sz val="10"/>
        <color rgb="FF000000"/>
        <rFont val="Times New Roman"/>
        <family val="1"/>
      </rPr>
      <t>5~10min</t>
    </r>
    <r>
      <rPr>
        <sz val="10"/>
        <color rgb="FF000000"/>
        <rFont val="宋体"/>
        <family val="3"/>
        <charset val="134"/>
      </rPr>
      <t>（参考）。维持搪玻璃搅拌罐搅拌转速至</t>
    </r>
    <r>
      <rPr>
        <sz val="10"/>
        <color rgb="FF000000"/>
        <rFont val="Times New Roman"/>
        <family val="1"/>
      </rPr>
      <t>60±20 rpm(</t>
    </r>
    <r>
      <rPr>
        <sz val="10"/>
        <color rgb="FF000000"/>
        <rFont val="宋体"/>
        <family val="3"/>
        <charset val="134"/>
      </rPr>
      <t>目标转速：</t>
    </r>
    <r>
      <rPr>
        <sz val="10"/>
        <color rgb="FF000000"/>
        <rFont val="Times New Roman"/>
        <family val="1"/>
      </rPr>
      <t>60rpm)</t>
    </r>
    <r>
      <rPr>
        <sz val="10"/>
        <color rgb="FF000000"/>
        <rFont val="宋体"/>
        <family val="3"/>
        <charset val="134"/>
      </rPr>
      <t>，继续搅拌至少</t>
    </r>
    <r>
      <rPr>
        <sz val="10"/>
        <color rgb="FF000000"/>
        <rFont val="Times New Roman"/>
        <family val="1"/>
      </rPr>
      <t>15min</t>
    </r>
    <r>
      <rPr>
        <sz val="10"/>
        <color rgb="FF000000"/>
        <rFont val="宋体"/>
        <family val="3"/>
        <charset val="134"/>
      </rPr>
      <t>，暂存待用。</t>
    </r>
    <phoneticPr fontId="1" type="noConversion"/>
  </si>
  <si>
    <r>
      <t>[0min]Temperature control timing of activation tank-</t>
    </r>
    <r>
      <rPr>
        <sz val="10"/>
        <color rgb="FF0000FF"/>
        <rFont val="宋体"/>
        <family val="3"/>
        <charset val="134"/>
      </rPr>
      <t>》</t>
    </r>
    <r>
      <rPr>
        <sz val="10"/>
        <color rgb="FF0000FF"/>
        <rFont val="Times New Roman"/>
        <family val="1"/>
      </rPr>
      <t>Temperature range setting: 0-5</t>
    </r>
    <r>
      <rPr>
        <sz val="10"/>
        <color rgb="FF0000FF"/>
        <rFont val="宋体"/>
        <family val="3"/>
        <charset val="134"/>
      </rPr>
      <t>℃</t>
    </r>
    <r>
      <rPr>
        <sz val="10"/>
        <color rgb="FF0000FF"/>
        <rFont val="Times New Roman"/>
        <family val="1"/>
      </rPr>
      <t>, time setting: 0.1min. Over-temperature warning L/H limit: 2/5</t>
    </r>
    <r>
      <rPr>
        <sz val="10"/>
        <color rgb="FF0000FF"/>
        <rFont val="宋体"/>
        <family val="3"/>
        <charset val="134"/>
      </rPr>
      <t xml:space="preserve">℃
</t>
    </r>
    <r>
      <rPr>
        <sz val="10"/>
        <color rgb="FF0000FF"/>
        <rFont val="Times New Roman"/>
        <family val="1"/>
      </rPr>
      <t xml:space="preserve">[0min] </t>
    </r>
    <r>
      <rPr>
        <sz val="10"/>
        <color rgb="FF0000FF"/>
        <rFont val="宋体"/>
        <family val="3"/>
        <charset val="134"/>
      </rPr>
      <t>激活罐</t>
    </r>
    <r>
      <rPr>
        <sz val="10"/>
        <color rgb="FF0000FF"/>
        <rFont val="Times New Roman"/>
        <family val="1"/>
      </rPr>
      <t>:</t>
    </r>
    <r>
      <rPr>
        <sz val="10"/>
        <color rgb="FF0000FF"/>
        <rFont val="宋体"/>
        <family val="3"/>
        <charset val="134"/>
      </rPr>
      <t>温控计时反应</t>
    </r>
    <r>
      <rPr>
        <sz val="10"/>
        <color rgb="FF0000FF"/>
        <rFont val="Times New Roman"/>
        <family val="1"/>
      </rPr>
      <t>-</t>
    </r>
    <r>
      <rPr>
        <sz val="10"/>
        <color rgb="FF0000FF"/>
        <rFont val="宋体"/>
        <family val="3"/>
        <charset val="134"/>
      </rPr>
      <t>》温度区间</t>
    </r>
    <r>
      <rPr>
        <sz val="10"/>
        <color rgb="FF0000FF"/>
        <rFont val="Times New Roman"/>
        <family val="1"/>
      </rPr>
      <t>0-5</t>
    </r>
    <r>
      <rPr>
        <sz val="10"/>
        <color rgb="FF0000FF"/>
        <rFont val="宋体"/>
        <family val="3"/>
        <charset val="134"/>
      </rPr>
      <t>℃环境下反应</t>
    </r>
    <r>
      <rPr>
        <sz val="10"/>
        <color rgb="FF0000FF"/>
        <rFont val="Times New Roman"/>
        <family val="1"/>
      </rPr>
      <t>0.1min.</t>
    </r>
    <r>
      <rPr>
        <sz val="10"/>
        <color rgb="FF0000FF"/>
        <rFont val="宋体"/>
        <family val="3"/>
        <charset val="134"/>
      </rPr>
      <t>预警下限</t>
    </r>
    <r>
      <rPr>
        <sz val="10"/>
        <color rgb="FF0000FF"/>
        <rFont val="Times New Roman"/>
        <family val="1"/>
      </rPr>
      <t>/</t>
    </r>
    <r>
      <rPr>
        <sz val="10"/>
        <color rgb="FF0000FF"/>
        <rFont val="宋体"/>
        <family val="3"/>
        <charset val="134"/>
      </rPr>
      <t>上限</t>
    </r>
    <r>
      <rPr>
        <sz val="10"/>
        <color rgb="FF0000FF"/>
        <rFont val="Times New Roman"/>
        <family val="1"/>
      </rPr>
      <t>2/5</t>
    </r>
    <r>
      <rPr>
        <sz val="10"/>
        <color rgb="FF0000FF"/>
        <rFont val="宋体"/>
        <family val="3"/>
        <charset val="134"/>
      </rPr>
      <t>℃</t>
    </r>
    <phoneticPr fontId="1" type="noConversion"/>
  </si>
  <si>
    <r>
      <t>[0min]Temperature control timing of activation tank-</t>
    </r>
    <r>
      <rPr>
        <sz val="10"/>
        <color rgb="FF0000FF"/>
        <rFont val="宋体"/>
        <family val="3"/>
        <charset val="134"/>
      </rPr>
      <t>》</t>
    </r>
    <r>
      <rPr>
        <sz val="10"/>
        <color rgb="FF0000FF"/>
        <rFont val="Times New Roman"/>
        <family val="1"/>
      </rPr>
      <t>Temperature range setting: 0-5</t>
    </r>
    <r>
      <rPr>
        <sz val="10"/>
        <color rgb="FF0000FF"/>
        <rFont val="宋体"/>
        <family val="3"/>
        <charset val="134"/>
      </rPr>
      <t>℃</t>
    </r>
    <r>
      <rPr>
        <sz val="10"/>
        <color rgb="FF0000FF"/>
        <rFont val="Times New Roman"/>
        <family val="1"/>
      </rPr>
      <t>, time setting: 0.1min. Over-temperature warning L/H limit: 2/5</t>
    </r>
    <r>
      <rPr>
        <sz val="10"/>
        <color rgb="FF0000FF"/>
        <rFont val="宋体"/>
        <family val="3"/>
        <charset val="134"/>
      </rPr>
      <t xml:space="preserve">℃
</t>
    </r>
    <r>
      <rPr>
        <sz val="10"/>
        <color rgb="FF0000FF"/>
        <rFont val="Times New Roman"/>
        <family val="1"/>
      </rPr>
      <t xml:space="preserve">[0min] </t>
    </r>
    <r>
      <rPr>
        <sz val="10"/>
        <color rgb="FF0000FF"/>
        <rFont val="宋体"/>
        <family val="3"/>
        <charset val="134"/>
      </rPr>
      <t>激活罐</t>
    </r>
    <r>
      <rPr>
        <sz val="10"/>
        <color rgb="FF0000FF"/>
        <rFont val="Times New Roman"/>
        <family val="1"/>
      </rPr>
      <t>:</t>
    </r>
    <r>
      <rPr>
        <sz val="10"/>
        <color rgb="FF0000FF"/>
        <rFont val="宋体"/>
        <family val="3"/>
        <charset val="134"/>
      </rPr>
      <t>温控计时反应</t>
    </r>
    <r>
      <rPr>
        <sz val="10"/>
        <color rgb="FF0000FF"/>
        <rFont val="Times New Roman"/>
        <family val="1"/>
      </rPr>
      <t>-</t>
    </r>
    <r>
      <rPr>
        <sz val="10"/>
        <color rgb="FF0000FF"/>
        <rFont val="宋体"/>
        <family val="3"/>
        <charset val="134"/>
      </rPr>
      <t>》温度区间</t>
    </r>
    <r>
      <rPr>
        <sz val="10"/>
        <color rgb="FF0000FF"/>
        <rFont val="Times New Roman"/>
        <family val="1"/>
      </rPr>
      <t>0-5</t>
    </r>
    <r>
      <rPr>
        <sz val="10"/>
        <color rgb="FF0000FF"/>
        <rFont val="宋体"/>
        <family val="3"/>
        <charset val="134"/>
      </rPr>
      <t>℃环境下反应</t>
    </r>
    <r>
      <rPr>
        <sz val="10"/>
        <color rgb="FF0000FF"/>
        <rFont val="Times New Roman"/>
        <family val="1"/>
      </rPr>
      <t>0.1min.</t>
    </r>
    <r>
      <rPr>
        <sz val="10"/>
        <color rgb="FF0000FF"/>
        <rFont val="宋体"/>
        <family val="3"/>
        <charset val="134"/>
      </rPr>
      <t>预警下限</t>
    </r>
    <r>
      <rPr>
        <sz val="10"/>
        <color rgb="FF0000FF"/>
        <rFont val="Times New Roman"/>
        <family val="1"/>
      </rPr>
      <t>/</t>
    </r>
    <r>
      <rPr>
        <sz val="10"/>
        <color rgb="FF0000FF"/>
        <rFont val="宋体"/>
        <family val="3"/>
        <charset val="134"/>
      </rPr>
      <t>上限</t>
    </r>
    <r>
      <rPr>
        <sz val="10"/>
        <color rgb="FF0000FF"/>
        <rFont val="Times New Roman"/>
        <family val="1"/>
      </rPr>
      <t>2/5</t>
    </r>
    <r>
      <rPr>
        <sz val="10"/>
        <color rgb="FF0000FF"/>
        <rFont val="宋体"/>
        <family val="3"/>
        <charset val="134"/>
      </rPr>
      <t>℃</t>
    </r>
    <phoneticPr fontId="1" type="noConversion"/>
  </si>
  <si>
    <r>
      <t>Add 246.35kg DMF (3.79W,4.0Vol) into glass lined agitator tank TJ4S-1213-AT09. Start the agitator of glass lined agitator tank to 60±20rpm (target: 60 rpm). Stir for 10min±5min (target: 10min).
 Adjust to -5±5</t>
    </r>
    <r>
      <rPr>
        <sz val="10"/>
        <color rgb="FF000000"/>
        <rFont val="宋体"/>
        <family val="3"/>
        <charset val="134"/>
      </rPr>
      <t>℃</t>
    </r>
    <r>
      <rPr>
        <sz val="10"/>
        <color rgb="FF000000"/>
        <rFont val="Times New Roman"/>
        <family val="1"/>
      </rPr>
      <t xml:space="preserve"> (target: -5</t>
    </r>
    <r>
      <rPr>
        <sz val="10"/>
        <color rgb="FF000000"/>
        <rFont val="宋体"/>
        <family val="3"/>
        <charset val="134"/>
      </rPr>
      <t>℃</t>
    </r>
    <r>
      <rPr>
        <sz val="10"/>
        <color rgb="FF000000"/>
        <rFont val="Times New Roman"/>
        <family val="1"/>
      </rPr>
      <t xml:space="preserve">). 
Add Iodine (5.00eq) with powder feeding bags into glass lined agitator tank TJ4S-1213-AT09 after dispensing in portions, with an interval of 5–10 minutes(reference) between each portion (30-40kg per portion). Continue agitation of glass lined agitator tank to 60±20 rpm (target: 60rpm). Maintain stirring for NLT 15min for later use.
</t>
    </r>
    <r>
      <rPr>
        <sz val="10"/>
        <color rgb="FF000000"/>
        <rFont val="宋体"/>
        <family val="3"/>
        <charset val="134"/>
      </rPr>
      <t>向搪玻璃搅拌罐</t>
    </r>
    <r>
      <rPr>
        <sz val="10"/>
        <color rgb="FF000000"/>
        <rFont val="Times New Roman"/>
        <family val="1"/>
      </rPr>
      <t>TJ4S-1213-AT09</t>
    </r>
    <r>
      <rPr>
        <sz val="10"/>
        <color rgb="FF000000"/>
        <rFont val="宋体"/>
        <family val="3"/>
        <charset val="134"/>
      </rPr>
      <t>中加入</t>
    </r>
    <r>
      <rPr>
        <sz val="10"/>
        <color rgb="FF000000"/>
        <rFont val="Times New Roman"/>
        <family val="1"/>
      </rPr>
      <t>246.35kg N,N-</t>
    </r>
    <r>
      <rPr>
        <sz val="10"/>
        <color rgb="FF000000"/>
        <rFont val="宋体"/>
        <family val="3"/>
        <charset val="134"/>
      </rPr>
      <t>二甲基甲酰胺（</t>
    </r>
    <r>
      <rPr>
        <sz val="10"/>
        <color rgb="FF000000"/>
        <rFont val="Times New Roman"/>
        <family val="1"/>
      </rPr>
      <t>3.79W,4.0Vol</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 xml:space="preserve"> 231.57kg~261.13kg</t>
    </r>
    <r>
      <rPr>
        <sz val="10"/>
        <color rgb="FF000000"/>
        <rFont val="宋体"/>
        <family val="3"/>
        <charset val="134"/>
      </rPr>
      <t>）。开启搪玻璃搅拌罐搅拌转速至</t>
    </r>
    <r>
      <rPr>
        <sz val="10"/>
        <color rgb="FF000000"/>
        <rFont val="Times New Roman"/>
        <family val="1"/>
      </rPr>
      <t>60±20 rpm (</t>
    </r>
    <r>
      <rPr>
        <sz val="10"/>
        <color rgb="FF000000"/>
        <rFont val="宋体"/>
        <family val="3"/>
        <charset val="134"/>
      </rPr>
      <t>目标转速</t>
    </r>
    <r>
      <rPr>
        <sz val="10"/>
        <color rgb="FF000000"/>
        <rFont val="Times New Roman"/>
        <family val="1"/>
      </rPr>
      <t>: 60 rpm)</t>
    </r>
    <r>
      <rPr>
        <sz val="10"/>
        <color rgb="FF000000"/>
        <rFont val="宋体"/>
        <family val="3"/>
        <charset val="134"/>
      </rPr>
      <t>。调温至</t>
    </r>
    <r>
      <rPr>
        <sz val="10"/>
        <color rgb="FF000000"/>
        <rFont val="Times New Roman"/>
        <family val="1"/>
      </rPr>
      <t>-5±5</t>
    </r>
    <r>
      <rPr>
        <sz val="10"/>
        <color rgb="FF000000"/>
        <rFont val="宋体"/>
        <family val="3"/>
        <charset val="134"/>
      </rPr>
      <t>℃（目标温度：</t>
    </r>
    <r>
      <rPr>
        <sz val="10"/>
        <color rgb="FF000000"/>
        <rFont val="Times New Roman"/>
        <family val="1"/>
      </rPr>
      <t>-5</t>
    </r>
    <r>
      <rPr>
        <sz val="10"/>
        <color rgb="FF000000"/>
        <rFont val="宋体"/>
        <family val="3"/>
        <charset val="134"/>
      </rPr>
      <t>℃）。
通过投料袋加入</t>
    </r>
    <r>
      <rPr>
        <sz val="10"/>
        <color rgb="FF000000"/>
        <rFont val="Times New Roman"/>
        <family val="1"/>
      </rPr>
      <t>______kg</t>
    </r>
    <r>
      <rPr>
        <sz val="10"/>
        <color rgb="FF000000"/>
        <rFont val="宋体"/>
        <family val="3"/>
        <charset val="134"/>
      </rPr>
      <t>碘单质（</t>
    </r>
    <r>
      <rPr>
        <sz val="10"/>
        <color rgb="FF000000"/>
        <rFont val="Times New Roman"/>
        <family val="1"/>
      </rPr>
      <t>5.00eq</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______kg~ ______kg</t>
    </r>
    <r>
      <rPr>
        <sz val="10"/>
        <color rgb="FF000000"/>
        <rFont val="宋体"/>
        <family val="3"/>
        <charset val="134"/>
      </rPr>
      <t>），分批加入，每批</t>
    </r>
    <r>
      <rPr>
        <sz val="10"/>
        <color rgb="FF000000"/>
        <rFont val="Times New Roman"/>
        <family val="1"/>
      </rPr>
      <t>30~40kg</t>
    </r>
    <r>
      <rPr>
        <sz val="10"/>
        <color rgb="FF000000"/>
        <rFont val="宋体"/>
        <family val="3"/>
        <charset val="134"/>
      </rPr>
      <t>，每次间隔</t>
    </r>
    <r>
      <rPr>
        <sz val="10"/>
        <color rgb="FF000000"/>
        <rFont val="Times New Roman"/>
        <family val="1"/>
      </rPr>
      <t>5~10min</t>
    </r>
    <r>
      <rPr>
        <sz val="10"/>
        <color rgb="FF000000"/>
        <rFont val="宋体"/>
        <family val="3"/>
        <charset val="134"/>
      </rPr>
      <t>（参考）。
维持搪玻璃搅拌罐搅拌转速至</t>
    </r>
    <r>
      <rPr>
        <sz val="10"/>
        <color rgb="FF000000"/>
        <rFont val="Times New Roman"/>
        <family val="1"/>
      </rPr>
      <t>60±20 rpm(</t>
    </r>
    <r>
      <rPr>
        <sz val="10"/>
        <color rgb="FF000000"/>
        <rFont val="宋体"/>
        <family val="3"/>
        <charset val="134"/>
      </rPr>
      <t>目标转速：</t>
    </r>
    <r>
      <rPr>
        <sz val="10"/>
        <color rgb="FF000000"/>
        <rFont val="Times New Roman"/>
        <family val="1"/>
      </rPr>
      <t>60rpm)</t>
    </r>
    <r>
      <rPr>
        <sz val="10"/>
        <color rgb="FF000000"/>
        <rFont val="宋体"/>
        <family val="3"/>
        <charset val="134"/>
      </rPr>
      <t>，继续搅拌至少</t>
    </r>
    <r>
      <rPr>
        <sz val="10"/>
        <color rgb="FF000000"/>
        <rFont val="Times New Roman"/>
        <family val="1"/>
      </rPr>
      <t>15min</t>
    </r>
    <r>
      <rPr>
        <sz val="10"/>
        <color rgb="FF000000"/>
        <rFont val="宋体"/>
        <family val="3"/>
        <charset val="134"/>
      </rPr>
      <t>，暂存待用。</t>
    </r>
    <phoneticPr fontId="1" type="noConversion"/>
  </si>
  <si>
    <r>
      <t>Add 616.20kg DMF (9.48W, 10.0Vol) by spray balls into activation tank TJ4S-1213-Sy16-R01. Start the agitator of activation tank to 115±5 rpm (target: 115 rpm). Adjust the internal temperature to</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.Later for use
. After confirmation of pre-cooled DMF temperature, immediately transfer the mixture in activation tank TJ4S-1213-Sy16-R01 into synthesis reactor TJ4S-1213-Sy16.Turn on the nitrogen of synthesis reactor to 8.5±4m³/h (target: 8.5 m³/h). Bubble with nitrogen for 5±2min (target: 5min), Start the agitator of synthesis reactor to 20±10rpm (target: 20 rpm). Adjust internal temperature to -5~0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 After stirring for 15±2min (target: 15min) at</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 xml:space="preserve">, stop stirring, turn off the nitrogen. Start draining the solution from synthesis reactor with diaphragm pump. Drain until there is no drip, the operator visually confirms the draining end point.
</t>
    </r>
    <r>
      <rPr>
        <sz val="10"/>
        <color rgb="FF000000"/>
        <rFont val="宋体"/>
        <family val="3"/>
        <charset val="134"/>
      </rPr>
      <t>通过淋洗球向激活罐</t>
    </r>
    <r>
      <rPr>
        <sz val="10"/>
        <color rgb="FF000000"/>
        <rFont val="Times New Roman"/>
        <family val="1"/>
      </rPr>
      <t>TJ4S-1213-Sy16-R01</t>
    </r>
    <r>
      <rPr>
        <sz val="10"/>
        <color rgb="FF000000"/>
        <rFont val="宋体"/>
        <family val="3"/>
        <charset val="134"/>
      </rPr>
      <t>中加入</t>
    </r>
    <r>
      <rPr>
        <sz val="10"/>
        <color rgb="FF000000"/>
        <rFont val="Times New Roman"/>
        <family val="1"/>
      </rPr>
      <t>616.20kg N,N-</t>
    </r>
    <r>
      <rPr>
        <sz val="10"/>
        <color rgb="FF000000"/>
        <rFont val="宋体"/>
        <family val="3"/>
        <charset val="134"/>
      </rPr>
      <t>二甲基甲酰胺（</t>
    </r>
    <r>
      <rPr>
        <sz val="10"/>
        <color rgb="FF000000"/>
        <rFont val="Times New Roman"/>
        <family val="1"/>
      </rPr>
      <t>9.48W,10.0Vol</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579.23kg~653.17kg</t>
    </r>
    <r>
      <rPr>
        <sz val="10"/>
        <color rgb="FF000000"/>
        <rFont val="宋体"/>
        <family val="3"/>
        <charset val="134"/>
      </rPr>
      <t>），开启激活罐搅拌转速至</t>
    </r>
    <r>
      <rPr>
        <sz val="10"/>
        <color rgb="FF000000"/>
        <rFont val="Times New Roman"/>
        <family val="1"/>
      </rPr>
      <t>115±5 rpm (</t>
    </r>
    <r>
      <rPr>
        <sz val="10"/>
        <color rgb="FF000000"/>
        <rFont val="宋体"/>
        <family val="3"/>
        <charset val="134"/>
      </rPr>
      <t>目标转速</t>
    </r>
    <r>
      <rPr>
        <sz val="10"/>
        <color rgb="FF000000"/>
        <rFont val="Times New Roman"/>
        <family val="1"/>
      </rPr>
      <t>: 115 rpm)</t>
    </r>
    <r>
      <rPr>
        <sz val="10"/>
        <color rgb="FF000000"/>
        <rFont val="宋体"/>
        <family val="3"/>
        <charset val="134"/>
      </rPr>
      <t>。内温调温至【</t>
    </r>
    <r>
      <rPr>
        <sz val="10"/>
        <color rgb="FF000000"/>
        <rFont val="Times New Roman"/>
        <family val="1"/>
      </rPr>
      <t>-5~0</t>
    </r>
    <r>
      <rPr>
        <sz val="10"/>
        <color rgb="FF000000"/>
        <rFont val="宋体"/>
        <family val="3"/>
        <charset val="134"/>
      </rPr>
      <t>℃（目标温度：</t>
    </r>
    <r>
      <rPr>
        <sz val="10"/>
        <color rgb="FF000000"/>
        <rFont val="Times New Roman"/>
        <family val="1"/>
      </rPr>
      <t>-3</t>
    </r>
    <r>
      <rPr>
        <sz val="10"/>
        <color rgb="FF000000"/>
        <rFont val="宋体"/>
        <family val="3"/>
        <charset val="134"/>
      </rPr>
      <t>℃）】。待用。确认预冷</t>
    </r>
    <r>
      <rPr>
        <sz val="10"/>
        <color rgb="FF000000"/>
        <rFont val="Times New Roman"/>
        <family val="1"/>
      </rPr>
      <t xml:space="preserve"> N,N - </t>
    </r>
    <r>
      <rPr>
        <sz val="10"/>
        <color rgb="FF000000"/>
        <rFont val="宋体"/>
        <family val="3"/>
        <charset val="134"/>
      </rPr>
      <t>二甲基甲酰胺温度合格后。立即将激活罐</t>
    </r>
    <r>
      <rPr>
        <sz val="10"/>
        <color rgb="FF000000"/>
        <rFont val="Times New Roman"/>
        <family val="1"/>
      </rPr>
      <t>TJ4S-1213-Sy16-R01</t>
    </r>
    <r>
      <rPr>
        <sz val="10"/>
        <color rgb="FF000000"/>
        <rFont val="宋体"/>
        <family val="3"/>
        <charset val="134"/>
      </rPr>
      <t>中体系转移至合成釜中</t>
    </r>
    <r>
      <rPr>
        <sz val="10"/>
        <color rgb="FF000000"/>
        <rFont val="Times New Roman"/>
        <family val="1"/>
      </rPr>
      <t>TJ4S-1213-Sy16</t>
    </r>
    <r>
      <rPr>
        <sz val="10"/>
        <color rgb="FF000000"/>
        <rFont val="宋体"/>
        <family val="3"/>
        <charset val="134"/>
      </rPr>
      <t>。开启合成釜下口鼓氮气，氮气流速开至</t>
    </r>
    <r>
      <rPr>
        <sz val="10"/>
        <color rgb="FF000000"/>
        <rFont val="Times New Roman"/>
        <family val="1"/>
      </rPr>
      <t>8.5±4m³/h (</t>
    </r>
    <r>
      <rPr>
        <sz val="10"/>
        <color rgb="FF000000"/>
        <rFont val="宋体"/>
        <family val="3"/>
        <charset val="134"/>
      </rPr>
      <t>目标流速</t>
    </r>
    <r>
      <rPr>
        <sz val="10"/>
        <color rgb="FF000000"/>
        <rFont val="Times New Roman"/>
        <family val="1"/>
      </rPr>
      <t>: 8.5 m³/h)</t>
    </r>
    <r>
      <rPr>
        <sz val="10"/>
        <color rgb="FF000000"/>
        <rFont val="宋体"/>
        <family val="3"/>
        <charset val="134"/>
      </rPr>
      <t>，鼓氮气</t>
    </r>
    <r>
      <rPr>
        <sz val="10"/>
        <color rgb="FF000000"/>
        <rFont val="Times New Roman"/>
        <family val="1"/>
      </rPr>
      <t>5±2min</t>
    </r>
    <r>
      <rPr>
        <sz val="10"/>
        <color rgb="FF000000"/>
        <rFont val="宋体"/>
        <family val="3"/>
        <charset val="134"/>
      </rPr>
      <t>（目标时间：</t>
    </r>
    <r>
      <rPr>
        <sz val="10"/>
        <color rgb="FF000000"/>
        <rFont val="Times New Roman"/>
        <family val="1"/>
      </rPr>
      <t>5min</t>
    </r>
    <r>
      <rPr>
        <sz val="10"/>
        <color rgb="FF000000"/>
        <rFont val="宋体"/>
        <family val="3"/>
        <charset val="134"/>
      </rPr>
      <t>）后，开启固相合成釜搅拌转速至</t>
    </r>
    <r>
      <rPr>
        <sz val="10"/>
        <color rgb="FF000000"/>
        <rFont val="Times New Roman"/>
        <family val="1"/>
      </rPr>
      <t>20±10 rpm (</t>
    </r>
    <r>
      <rPr>
        <sz val="10"/>
        <color rgb="FF000000"/>
        <rFont val="宋体"/>
        <family val="3"/>
        <charset val="134"/>
      </rPr>
      <t>目标转速</t>
    </r>
    <r>
      <rPr>
        <sz val="10"/>
        <color rgb="FF000000"/>
        <rFont val="Times New Roman"/>
        <family val="1"/>
      </rPr>
      <t>: 20 rpm)</t>
    </r>
    <r>
      <rPr>
        <sz val="10"/>
        <color rgb="FF000000"/>
        <rFont val="宋体"/>
        <family val="3"/>
        <charset val="134"/>
      </rPr>
      <t>，内温调温至</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，控内温【</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】搅拌</t>
    </r>
    <r>
      <rPr>
        <sz val="10"/>
        <color rgb="FF000000"/>
        <rFont val="Times New Roman"/>
        <family val="1"/>
      </rPr>
      <t>15min±2min</t>
    </r>
    <r>
      <rPr>
        <sz val="10"/>
        <color rgb="FF000000"/>
        <rFont val="宋体"/>
        <family val="3"/>
        <charset val="134"/>
      </rPr>
      <t>（目标时间</t>
    </r>
    <r>
      <rPr>
        <sz val="10"/>
        <color rgb="FF000000"/>
        <rFont val="Times New Roman"/>
        <family val="1"/>
      </rPr>
      <t>:15min</t>
    </r>
    <r>
      <rPr>
        <sz val="10"/>
        <color rgb="FF000000"/>
        <rFont val="宋体"/>
        <family val="3"/>
        <charset val="134"/>
      </rPr>
      <t>）后，停止搅拌，关闭氮气，通过隔膜泵从合成釜中排出溶液。排液至无液体滴出，由操作人员目视确认排液终点。</t>
    </r>
    <phoneticPr fontId="1" type="noConversion"/>
  </si>
  <si>
    <r>
      <t>Add 616.20kg DMF (9.48W, 10.0Vol) by spray balls into activation tank TJ4S-1213-Sy16-R01. Start the agitator of activation tank to 115±5 rpm (target: 115 rpm). Adjust the internal temperature to</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-1</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.Later for use. After confirmation of pre-cooled DMF temperature, immediately transfer the mixture in activation tank TJ4S-1213-Sy16-R01 into synthesis reactor TJ4S-1213-Sy16.Turn on the nitrogen of synthesis reactor to 8.5±4m³/h (target: 8.5 m³/h). Bubble with nitrogen for 5±2min (target: 5min), Start the agitator of synthesis reactor to 20±10rpm (target: 20 rpm). Adjust internal temperature to -5~0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 After stirring for 15±2min (target: 15min) at</t>
    </r>
    <r>
      <rPr>
        <sz val="10"/>
        <color rgb="FF000000"/>
        <rFont val="宋体"/>
        <family val="3"/>
        <charset val="134"/>
      </rPr>
      <t>【</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t>
    </r>
    <r>
      <rPr>
        <sz val="10"/>
        <color rgb="FF000000"/>
        <rFont val="Times New Roman"/>
        <family val="1"/>
      </rPr>
      <t xml:space="preserve">, stop stirring, turn off the nitrogen. Start draining the solution from synthesis reactor with diaphragm pump. Drain until there is no drip, the operator visually confirms the draining end point.
</t>
    </r>
    <r>
      <rPr>
        <sz val="10"/>
        <color rgb="FF000000"/>
        <rFont val="宋体"/>
        <family val="3"/>
        <charset val="134"/>
      </rPr>
      <t>通过淋洗球向激活罐</t>
    </r>
    <r>
      <rPr>
        <sz val="10"/>
        <color rgb="FF000000"/>
        <rFont val="Times New Roman"/>
        <family val="1"/>
      </rPr>
      <t>TJ4S-1213-Sy16-R01</t>
    </r>
    <r>
      <rPr>
        <sz val="10"/>
        <color rgb="FF000000"/>
        <rFont val="宋体"/>
        <family val="3"/>
        <charset val="134"/>
      </rPr>
      <t>中加入</t>
    </r>
    <r>
      <rPr>
        <sz val="10"/>
        <color rgb="FF000000"/>
        <rFont val="Times New Roman"/>
        <family val="1"/>
      </rPr>
      <t>616.20kg N,N-</t>
    </r>
    <r>
      <rPr>
        <sz val="10"/>
        <color rgb="FF000000"/>
        <rFont val="宋体"/>
        <family val="3"/>
        <charset val="134"/>
      </rPr>
      <t>二甲基甲酰胺（</t>
    </r>
    <r>
      <rPr>
        <sz val="10"/>
        <color rgb="FF000000"/>
        <rFont val="Times New Roman"/>
        <family val="1"/>
      </rPr>
      <t>9.48W,10.0Vol</t>
    </r>
    <r>
      <rPr>
        <sz val="10"/>
        <color rgb="FF000000"/>
        <rFont val="宋体"/>
        <family val="3"/>
        <charset val="134"/>
      </rPr>
      <t>）（</t>
    </r>
    <r>
      <rPr>
        <sz val="10"/>
        <color rgb="FF000000"/>
        <rFont val="Times New Roman"/>
        <family val="1"/>
      </rPr>
      <t>Acceptable weighing range/</t>
    </r>
    <r>
      <rPr>
        <sz val="10"/>
        <color rgb="FF000000"/>
        <rFont val="宋体"/>
        <family val="3"/>
        <charset val="134"/>
      </rPr>
      <t>可接受称量范围：</t>
    </r>
    <r>
      <rPr>
        <sz val="10"/>
        <color rgb="FF000000"/>
        <rFont val="Times New Roman"/>
        <family val="1"/>
      </rPr>
      <t>579.23kg~653.17kg</t>
    </r>
    <r>
      <rPr>
        <sz val="10"/>
        <color rgb="FF000000"/>
        <rFont val="宋体"/>
        <family val="3"/>
        <charset val="134"/>
      </rPr>
      <t>），开启激活罐搅拌转速至</t>
    </r>
    <r>
      <rPr>
        <sz val="10"/>
        <color rgb="FF000000"/>
        <rFont val="Times New Roman"/>
        <family val="1"/>
      </rPr>
      <t>115±5 rpm (</t>
    </r>
    <r>
      <rPr>
        <sz val="10"/>
        <color rgb="FF000000"/>
        <rFont val="宋体"/>
        <family val="3"/>
        <charset val="134"/>
      </rPr>
      <t>目标转速</t>
    </r>
    <r>
      <rPr>
        <sz val="10"/>
        <color rgb="FF000000"/>
        <rFont val="Times New Roman"/>
        <family val="1"/>
      </rPr>
      <t>: 115 rpm)</t>
    </r>
    <r>
      <rPr>
        <sz val="10"/>
        <color rgb="FF000000"/>
        <rFont val="宋体"/>
        <family val="3"/>
        <charset val="134"/>
      </rPr>
      <t>。内温调温至【</t>
    </r>
    <r>
      <rPr>
        <sz val="10"/>
        <color rgb="FF000000"/>
        <rFont val="Times New Roman"/>
        <family val="1"/>
      </rPr>
      <t>-5~0</t>
    </r>
    <r>
      <rPr>
        <sz val="10"/>
        <color rgb="FF000000"/>
        <rFont val="宋体"/>
        <family val="3"/>
        <charset val="134"/>
      </rPr>
      <t>℃（目标温度：</t>
    </r>
    <r>
      <rPr>
        <sz val="10"/>
        <color rgb="FF000000"/>
        <rFont val="Times New Roman"/>
        <family val="1"/>
      </rPr>
      <t>-1</t>
    </r>
    <r>
      <rPr>
        <sz val="10"/>
        <color rgb="FF000000"/>
        <rFont val="宋体"/>
        <family val="3"/>
        <charset val="134"/>
      </rPr>
      <t>℃）】。待用。确认预冷</t>
    </r>
    <r>
      <rPr>
        <sz val="10"/>
        <color rgb="FF000000"/>
        <rFont val="Times New Roman"/>
        <family val="1"/>
      </rPr>
      <t xml:space="preserve"> N,N-</t>
    </r>
    <r>
      <rPr>
        <sz val="10"/>
        <color rgb="FF000000"/>
        <rFont val="宋体"/>
        <family val="3"/>
        <charset val="134"/>
      </rPr>
      <t>二甲基甲酰胺温度合格后。立即将激活罐</t>
    </r>
    <r>
      <rPr>
        <sz val="10"/>
        <color rgb="FF000000"/>
        <rFont val="Times New Roman"/>
        <family val="1"/>
      </rPr>
      <t>TJ4S-1213-Sy16-R01</t>
    </r>
    <r>
      <rPr>
        <sz val="10"/>
        <color rgb="FF000000"/>
        <rFont val="宋体"/>
        <family val="3"/>
        <charset val="134"/>
      </rPr>
      <t>中体系转移至合成釜中</t>
    </r>
    <r>
      <rPr>
        <sz val="10"/>
        <color rgb="FF000000"/>
        <rFont val="Times New Roman"/>
        <family val="1"/>
      </rPr>
      <t>TJ4S-1213-Sy16</t>
    </r>
    <r>
      <rPr>
        <sz val="10"/>
        <color rgb="FF000000"/>
        <rFont val="宋体"/>
        <family val="3"/>
        <charset val="134"/>
      </rPr>
      <t>。开启合成釜下口鼓氮气，氮气流速开至</t>
    </r>
    <r>
      <rPr>
        <sz val="10"/>
        <color rgb="FF000000"/>
        <rFont val="Times New Roman"/>
        <family val="1"/>
      </rPr>
      <t>8.5±4m³/h (</t>
    </r>
    <r>
      <rPr>
        <sz val="10"/>
        <color rgb="FF000000"/>
        <rFont val="宋体"/>
        <family val="3"/>
        <charset val="134"/>
      </rPr>
      <t>目标流速</t>
    </r>
    <r>
      <rPr>
        <sz val="10"/>
        <color rgb="FF000000"/>
        <rFont val="Times New Roman"/>
        <family val="1"/>
      </rPr>
      <t>: 8.5 m³/h)</t>
    </r>
    <r>
      <rPr>
        <sz val="10"/>
        <color rgb="FF000000"/>
        <rFont val="宋体"/>
        <family val="3"/>
        <charset val="134"/>
      </rPr>
      <t>，鼓氮气</t>
    </r>
    <r>
      <rPr>
        <sz val="10"/>
        <color rgb="FF000000"/>
        <rFont val="Times New Roman"/>
        <family val="1"/>
      </rPr>
      <t>5±2min</t>
    </r>
    <r>
      <rPr>
        <sz val="10"/>
        <color rgb="FF000000"/>
        <rFont val="宋体"/>
        <family val="3"/>
        <charset val="134"/>
      </rPr>
      <t>（目标时间：</t>
    </r>
    <r>
      <rPr>
        <sz val="10"/>
        <color rgb="FF000000"/>
        <rFont val="Times New Roman"/>
        <family val="1"/>
      </rPr>
      <t>5min</t>
    </r>
    <r>
      <rPr>
        <sz val="10"/>
        <color rgb="FF000000"/>
        <rFont val="宋体"/>
        <family val="3"/>
        <charset val="134"/>
      </rPr>
      <t>）后，开启固相合成釜搅拌转速至</t>
    </r>
    <r>
      <rPr>
        <sz val="10"/>
        <color rgb="FF000000"/>
        <rFont val="Times New Roman"/>
        <family val="1"/>
      </rPr>
      <t>20±10 rpm (</t>
    </r>
    <r>
      <rPr>
        <sz val="10"/>
        <color rgb="FF000000"/>
        <rFont val="宋体"/>
        <family val="3"/>
        <charset val="134"/>
      </rPr>
      <t>目标转速</t>
    </r>
    <r>
      <rPr>
        <sz val="10"/>
        <color rgb="FF000000"/>
        <rFont val="Times New Roman"/>
        <family val="1"/>
      </rPr>
      <t>: 20 rpm)</t>
    </r>
    <r>
      <rPr>
        <sz val="10"/>
        <color rgb="FF000000"/>
        <rFont val="宋体"/>
        <family val="3"/>
        <charset val="134"/>
      </rPr>
      <t>，内温调温至</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，控内温【</t>
    </r>
    <r>
      <rPr>
        <sz val="10"/>
        <color rgb="FF000000"/>
        <rFont val="Times New Roman"/>
        <family val="1"/>
      </rPr>
      <t>-5~0</t>
    </r>
    <r>
      <rPr>
        <sz val="10"/>
        <color rgb="FF000000"/>
        <rFont val="宋体"/>
        <family val="3"/>
        <charset val="134"/>
      </rPr>
      <t>℃</t>
    </r>
    <r>
      <rPr>
        <sz val="10"/>
        <color rgb="FF000000"/>
        <rFont val="Times New Roman"/>
        <family val="1"/>
      </rPr>
      <t xml:space="preserve"> (target: -3</t>
    </r>
    <r>
      <rPr>
        <sz val="10"/>
        <color rgb="FF000000"/>
        <rFont val="宋体"/>
        <family val="3"/>
        <charset val="134"/>
      </rPr>
      <t>℃</t>
    </r>
    <r>
      <rPr>
        <sz val="10"/>
        <color rgb="FF000000"/>
        <rFont val="Times New Roman"/>
        <family val="1"/>
      </rPr>
      <t>)</t>
    </r>
    <r>
      <rPr>
        <sz val="10"/>
        <color rgb="FF000000"/>
        <rFont val="宋体"/>
        <family val="3"/>
        <charset val="134"/>
      </rPr>
      <t>】搅拌</t>
    </r>
    <r>
      <rPr>
        <sz val="10"/>
        <color rgb="FF000000"/>
        <rFont val="Times New Roman"/>
        <family val="1"/>
      </rPr>
      <t>15min±2min</t>
    </r>
    <r>
      <rPr>
        <sz val="10"/>
        <color rgb="FF000000"/>
        <rFont val="宋体"/>
        <family val="3"/>
        <charset val="134"/>
      </rPr>
      <t>（目标时间</t>
    </r>
    <r>
      <rPr>
        <sz val="10"/>
        <color rgb="FF000000"/>
        <rFont val="Times New Roman"/>
        <family val="1"/>
      </rPr>
      <t>:15min</t>
    </r>
    <r>
      <rPr>
        <sz val="10"/>
        <color rgb="FF000000"/>
        <rFont val="宋体"/>
        <family val="3"/>
        <charset val="134"/>
      </rPr>
      <t>）后，停止搅拌，关闭氮气，通过隔膜泵从合成釜中排出溶液。排液至无液体滴出，由操作人员目视确认排液终点。</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</si>
</sst>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0_);[Red]\(0.00\)"/>
    <numFmt numFmtId="177" formatCode="0.00_ "/>
    <numFmt numFmtId="178" formatCode="0.000_ "/>
    <numFmt numFmtId="179" formatCode="0.0"/>
  </numFmts>
  <fonts count="621">
    <font>
      <sz val="12"/>
      <color theme="1"/>
      <name val="等线"/>
      <family val="2"/>
      <charset val="134"/>
      <scheme val="minor"/>
    </font>
    <font>
      <sz val="9"/>
      <name val="等线"/>
      <family val="2"/>
      <charset val="134"/>
      <scheme val="minor"/>
    </font>
    <font>
      <sz val="10"/>
      <color theme="1"/>
      <name val="等线"/>
      <family val="2"/>
      <charset val="134"/>
      <scheme val="minor"/>
    </font>
    <font>
      <sz val="10"/>
      <name val="等线"/>
      <charset val="134"/>
    </font>
    <font>
      <sz val="11"/>
      <color rgb="FF000000"/>
      <name val="等线"/>
      <charset val="134"/>
    </font>
    <font>
      <sz val="10"/>
      <color rgb="FF000000"/>
      <name val="仿宋_GB2312"/>
      <family val="3"/>
      <charset val="134"/>
    </font>
    <font>
      <b/>
      <sz val="10"/>
      <color rgb="FF000000"/>
      <name val="Times New Roman"/>
    </font>
    <font>
      <sz val="10"/>
      <color rgb="FF000000"/>
      <name val="Times New Roman"/>
    </font>
    <font>
      <sz val="12"/>
      <color rgb="FF000000"/>
      <name val="Times New Roman"/>
    </font>
    <font>
      <sz val="10"/>
      <color rgb="FF0000FF"/>
      <name val="Times New Roman"/>
    </font>
    <font>
      <sz val="12"/>
      <color rgb="FF000000"/>
      <name val="等线"/>
      <charset val="134"/>
    </font>
    <font>
      <sz val="10"/>
      <color rgb="FFFF0000"/>
      <name val="Times New Roman"/>
    </font>
    <font>
      <sz val="11"/>
      <color rgb="FFFF0000"/>
      <name val="等线"/>
      <charset val="134"/>
    </font>
    <font>
      <sz val="11"/>
      <color rgb="FF000000"/>
      <name val="Times New Roman"/>
    </font>
    <font>
      <sz val="10"/>
      <color rgb="FF000000"/>
      <name val="宋体"/>
      <charset val="134"/>
    </font>
    <font>
      <sz val="10"/>
      <color rgb="FFFE0300"/>
      <name val="Times New Roman"/>
    </font>
    <font>
      <sz val="10"/>
      <color rgb="FF0000FF"/>
      <name val="等线"/>
      <charset val="134"/>
    </font>
    <font>
      <sz val="11"/>
      <name val="Times New Roman&quot;, serif"/>
    </font>
    <font>
      <sz val="10"/>
      <name val="Times New Roman"/>
      <family val="1"/>
    </font>
    <font>
      <sz val="8"/>
      <color rgb="FF000000"/>
      <name val="Times New Roman"/>
      <family val="1"/>
    </font>
    <font>
      <b/>
      <sz val="12"/>
      <color rgb="FF000000"/>
      <name val="Times New Roman"/>
      <family val="1"/>
    </font>
    <font>
      <sz val="10"/>
      <color rgb="FF000000"/>
      <name val="等线"/>
      <family val="3"/>
      <charset val="134"/>
    </font>
    <font>
      <b/>
      <sz val="11"/>
      <name val="Times New Roman&quot;, serif"/>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name val="等线"/>
      <family val="3"/>
      <charset val="134"/>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name val="等线"/>
      <family val="3"/>
      <charset val="134"/>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name val="等线"/>
      <family val="3"/>
      <charset val="134"/>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name val="等线"/>
      <family val="3"/>
      <charset val="134"/>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00"/>
      <name val="Times New Roman"/>
      <family val="1"/>
    </font>
    <font>
      <sz val="10"/>
      <color rgb="FF000000"/>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FF"/>
      <name val="Times New Roman"/>
      <family val="1"/>
    </font>
    <font>
      <sz val="10"/>
      <color rgb="FF000000"/>
      <name val="Times New Roman"/>
      <family val="1"/>
    </font>
    <font>
      <i/>
      <sz val="10"/>
      <color rgb="FF000000"/>
      <name val="Times New Roman"/>
      <family val="1"/>
    </font>
    <font>
      <i/>
      <sz val="10"/>
      <color rgb="FF0000FF"/>
      <name val="Times New Roman"/>
      <family val="1"/>
    </font>
    <font>
      <sz val="10"/>
      <color rgb="FFFE0300"/>
      <name val="Times New Roman"/>
      <family val="1"/>
    </font>
    <font>
      <b/>
      <sz val="10"/>
      <color rgb="FF000000"/>
      <name val="Times New Roman"/>
      <family val="1"/>
    </font>
    <font>
      <b/>
      <sz val="10.5"/>
      <color rgb="FF000000"/>
      <name val="仿宋_GB2312"/>
      <family val="3"/>
      <charset val="134"/>
    </font>
    <font>
      <sz val="10"/>
      <color rgb="FF000000"/>
      <name val="宋体"/>
      <family val="3"/>
      <charset val="134"/>
    </font>
    <font>
      <b/>
      <sz val="12"/>
      <color rgb="FF000000"/>
      <name val="仿宋_GB2312"/>
      <family val="3"/>
      <charset val="134"/>
    </font>
    <font>
      <sz val="10.5"/>
      <color rgb="FF000000"/>
      <name val="Times New Roman"/>
      <family val="1"/>
    </font>
    <font>
      <sz val="10.5"/>
      <color rgb="FF000000"/>
      <name val="仿宋_GB2312"/>
      <family val="3"/>
      <charset val="134"/>
    </font>
    <font>
      <sz val="12"/>
      <color rgb="FF000000"/>
      <name val="仿宋_GB2312"/>
      <family val="3"/>
      <charset val="134"/>
    </font>
    <font>
      <sz val="12"/>
      <color rgb="FF000000"/>
      <name val="Times New Roman"/>
      <family val="1"/>
    </font>
    <font>
      <i/>
      <sz val="10"/>
      <color rgb="FF000000"/>
      <name val="宋体"/>
      <family val="3"/>
      <charset val="134"/>
    </font>
    <font>
      <u/>
      <sz val="10.5"/>
      <color rgb="FF000000"/>
      <name val="Times New Roman"/>
      <family val="1"/>
    </font>
    <font>
      <i/>
      <sz val="10.5"/>
      <color rgb="FF000000"/>
      <name val="仿宋_GB2312"/>
      <family val="3"/>
      <charset val="134"/>
    </font>
    <font>
      <i/>
      <sz val="10.5"/>
      <color rgb="FF000000"/>
      <name val="Times New Roman"/>
      <family val="1"/>
    </font>
    <font>
      <i/>
      <u/>
      <sz val="10.5"/>
      <color rgb="FF000000"/>
      <name val="Times New Roman"/>
      <family val="1"/>
    </font>
    <font>
      <u/>
      <sz val="10.5"/>
      <color rgb="FF000000"/>
      <name val="仿宋_GB2312"/>
      <family val="3"/>
      <charset val="134"/>
    </font>
    <font>
      <sz val="10.5"/>
      <color rgb="FF000000"/>
      <name val="宋体"/>
      <family val="3"/>
      <charset val="134"/>
    </font>
    <font>
      <sz val="10"/>
      <color rgb="FFFF0000"/>
      <name val="Times New Roman"/>
      <family val="1"/>
    </font>
    <font>
      <sz val="10"/>
      <color rgb="FFFF0000"/>
      <name val="宋体"/>
      <family val="3"/>
      <charset val="134"/>
    </font>
    <font>
      <sz val="10.5"/>
      <color rgb="FFFF0000"/>
      <name val="仿宋_GB2312"/>
      <family val="3"/>
      <charset val="134"/>
    </font>
    <font>
      <sz val="11"/>
      <color rgb="FF000000"/>
      <name val="Times New Roman"/>
      <family val="1"/>
    </font>
    <font>
      <sz val="10"/>
      <color rgb="FF0000FF"/>
      <name val="宋体"/>
      <family val="3"/>
      <charset val="134"/>
    </font>
  </fonts>
  <fills count="9">
    <fill>
      <patternFill patternType="none"/>
    </fill>
    <fill>
      <patternFill patternType="gray125"/>
    </fill>
    <fill>
      <patternFill patternType="solid">
        <fgColor rgb="FFFFFF00"/>
      </patternFill>
    </fill>
    <fill>
      <patternFill patternType="solid">
        <fgColor rgb="FF92D050"/>
      </patternFill>
    </fill>
    <fill>
      <patternFill patternType="solid">
        <fgColor rgb="FFED7D31"/>
      </patternFill>
    </fill>
    <fill>
      <patternFill patternType="solid">
        <fgColor rgb="FFBDD6EE"/>
      </patternFill>
    </fill>
    <fill>
      <patternFill patternType="solid">
        <fgColor rgb="FFFFFFFF"/>
      </patternFill>
    </fill>
    <fill>
      <patternFill patternType="solid">
        <fgColor rgb="FF92D04F"/>
      </patternFill>
    </fill>
    <fill>
      <patternFill patternType="solid">
        <fgColor rgb="FFFE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1">
    <xf numFmtId="0" fontId="0" fillId="0" borderId="0">
      <alignment vertical="center"/>
    </xf>
  </cellStyleXfs>
  <cellXfs count="723">
    <xf numFmtId="0" fontId="0" fillId="0" borderId="0" xfId="0">
      <alignment vertical="center"/>
    </xf>
    <xf numFmtId="0" fontId="2" fillId="0" borderId="0" xfId="0" applyFont="1">
      <alignment vertical="center"/>
    </xf>
    <xf numFmtId="0" fontId="3" fillId="0" borderId="0" xfId="0" applyFont="1">
      <alignment vertical="center"/>
    </xf>
    <xf numFmtId="0" fontId="4" fillId="2" borderId="1" xfId="0" applyFont="1" applyFill="1" applyBorder="1" applyProtection="1">
      <alignment vertical="center"/>
    </xf>
    <xf numFmtId="0" fontId="4" fillId="0" borderId="1" xfId="0" applyFont="1" applyBorder="1" applyProtection="1">
      <alignment vertical="center"/>
    </xf>
    <xf numFmtId="0" fontId="5" fillId="0" borderId="2" xfId="0" applyFont="1" applyBorder="1" applyAlignment="1" applyProtection="1">
      <alignment horizontal="center" vertical="center" wrapText="1"/>
    </xf>
    <xf numFmtId="0" fontId="5" fillId="0" borderId="0" xfId="0" applyFont="1" applyAlignment="1">
      <alignment horizontal="center" vertical="center" wrapText="1"/>
    </xf>
    <xf numFmtId="0" fontId="5" fillId="0" borderId="2" xfId="0" applyFont="1" applyBorder="1" applyAlignment="1" applyProtection="1">
      <alignment horizontal="center" vertical="center" wrapText="1"/>
    </xf>
    <xf numFmtId="0" fontId="4" fillId="3" borderId="1" xfId="0" applyFont="1" applyFill="1" applyBorder="1" applyProtection="1">
      <alignment vertical="center"/>
    </xf>
    <xf numFmtId="0" fontId="4" fillId="0" borderId="3" xfId="0" applyFont="1" applyBorder="1" applyAlignment="1" applyProtection="1">
      <alignment vertical="center" wrapText="1"/>
    </xf>
    <xf numFmtId="0" fontId="4" fillId="0" borderId="0" xfId="0" applyFont="1" applyAlignment="1">
      <alignment vertical="center" wrapText="1"/>
    </xf>
    <xf numFmtId="0" fontId="4" fillId="0" borderId="3" xfId="0" applyFont="1" applyBorder="1" applyAlignment="1" applyProtection="1">
      <alignment vertical="center" wrapText="1"/>
    </xf>
    <xf numFmtId="0" fontId="5" fillId="0" borderId="3" xfId="0" applyFont="1" applyBorder="1" applyAlignment="1" applyProtection="1">
      <alignment horizontal="center" vertical="center" wrapText="1"/>
    </xf>
    <xf numFmtId="0" fontId="4" fillId="4" borderId="4" xfId="0" applyFont="1" applyFill="1" applyBorder="1" applyProtection="1">
      <alignment vertical="center"/>
    </xf>
    <xf numFmtId="0" fontId="4" fillId="0" borderId="4" xfId="0" applyFont="1" applyBorder="1" applyProtection="1">
      <alignment vertical="center"/>
    </xf>
    <xf numFmtId="0" fontId="6" fillId="0" borderId="0" xfId="0" applyFont="1" applyAlignment="1">
      <alignment horizontal="center" vertical="center" wrapText="1"/>
    </xf>
    <xf numFmtId="176" fontId="7" fillId="2" borderId="5" xfId="0" applyNumberFormat="1" applyFont="1" applyFill="1" applyBorder="1" applyAlignment="1" applyProtection="1">
      <alignment horizontal="center" vertical="center" wrapText="1"/>
    </xf>
    <xf numFmtId="0" fontId="7" fillId="3" borderId="0" xfId="0" applyFont="1" applyFill="1" applyAlignment="1">
      <alignment vertical="center" wrapText="1"/>
    </xf>
    <xf numFmtId="0" fontId="4" fillId="5" borderId="0" xfId="0" applyFont="1" applyFill="1" applyAlignment="1"/>
    <xf numFmtId="0" fontId="4" fillId="0" borderId="0" xfId="0" applyFont="1">
      <alignment vertical="center"/>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2" fontId="4" fillId="2" borderId="0" xfId="0" applyNumberFormat="1" applyFont="1" applyFill="1" applyAlignment="1">
      <alignment horizontal="center" vertical="center" wrapText="1"/>
    </xf>
    <xf numFmtId="0" fontId="4" fillId="0" borderId="0" xfId="0" applyFont="1" applyAlignment="1"/>
    <xf numFmtId="0" fontId="4" fillId="0" borderId="5" xfId="0" applyFont="1" applyBorder="1" applyAlignment="1" applyProtection="1">
      <alignment vertical="center" wrapText="1"/>
    </xf>
    <xf numFmtId="0" fontId="7" fillId="0" borderId="5" xfId="0" applyFont="1" applyBorder="1" applyAlignment="1" applyProtection="1">
      <alignment horizontal="center" vertical="center" wrapText="1"/>
    </xf>
    <xf numFmtId="0" fontId="7" fillId="3" borderId="5" xfId="0" applyFont="1" applyFill="1" applyBorder="1" applyAlignment="1" applyProtection="1">
      <alignment vertical="center" wrapText="1"/>
    </xf>
    <xf numFmtId="0" fontId="8" fillId="0" borderId="0" xfId="0" applyFont="1">
      <alignment vertical="center"/>
    </xf>
    <xf numFmtId="0" fontId="7" fillId="0" borderId="1" xfId="0" applyFont="1" applyBorder="1" applyAlignment="1" applyProtection="1">
      <alignment horizontal="center" vertical="center" wrapText="1"/>
    </xf>
    <xf numFmtId="177" fontId="7" fillId="0" borderId="1" xfId="0" applyNumberFormat="1" applyFont="1" applyBorder="1" applyAlignment="1" applyProtection="1">
      <alignment horizontal="center" vertical="center" wrapText="1"/>
    </xf>
    <xf numFmtId="178" fontId="7" fillId="0" borderId="1" xfId="0" applyNumberFormat="1" applyFont="1" applyBorder="1" applyAlignment="1" applyProtection="1">
      <alignment horizontal="center" vertical="center" wrapText="1"/>
    </xf>
    <xf numFmtId="0" fontId="7" fillId="0" borderId="6"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8" fillId="0" borderId="0" xfId="0" applyFont="1" applyAlignment="1"/>
    <xf numFmtId="177" fontId="7" fillId="2" borderId="1" xfId="0" applyNumberFormat="1" applyFont="1" applyFill="1" applyBorder="1" applyAlignment="1" applyProtection="1">
      <alignment horizontal="center" vertical="center" wrapText="1"/>
    </xf>
    <xf numFmtId="178" fontId="7" fillId="2" borderId="1" xfId="0" applyNumberFormat="1" applyFont="1" applyFill="1" applyBorder="1" applyAlignment="1" applyProtection="1">
      <alignment horizontal="center" vertical="center" wrapText="1"/>
    </xf>
    <xf numFmtId="0" fontId="7" fillId="2" borderId="7" xfId="0" applyFont="1" applyFill="1" applyBorder="1" applyAlignment="1" applyProtection="1">
      <alignment horizontal="center" vertical="center" wrapText="1"/>
    </xf>
    <xf numFmtId="0" fontId="7" fillId="3" borderId="7" xfId="0" applyFont="1" applyFill="1" applyBorder="1" applyAlignment="1" applyProtection="1">
      <alignment horizontal="center" vertical="center" wrapText="1"/>
    </xf>
    <xf numFmtId="0" fontId="9" fillId="3" borderId="7" xfId="0" applyFont="1" applyFill="1" applyBorder="1" applyAlignment="1" applyProtection="1">
      <alignment horizontal="center" vertical="center" wrapText="1"/>
    </xf>
    <xf numFmtId="0" fontId="7" fillId="0" borderId="1" xfId="0" applyFont="1" applyBorder="1" applyAlignment="1" applyProtection="1">
      <alignment vertical="center" wrapText="1"/>
    </xf>
    <xf numFmtId="0" fontId="7" fillId="2" borderId="1" xfId="0" applyFont="1" applyFill="1" applyBorder="1" applyAlignment="1" applyProtection="1">
      <alignment horizontal="center" vertical="center" wrapText="1"/>
    </xf>
    <xf numFmtId="178" fontId="7" fillId="0" borderId="1" xfId="0" applyNumberFormat="1" applyFont="1" applyBorder="1" applyAlignment="1" applyProtection="1">
      <alignment horizontal="center" vertical="center" wrapText="1"/>
    </xf>
    <xf numFmtId="2" fontId="9" fillId="0" borderId="7" xfId="0" applyNumberFormat="1" applyFont="1" applyBorder="1" applyAlignment="1" applyProtection="1">
      <alignment horizontal="center" vertical="center" wrapText="1"/>
    </xf>
    <xf numFmtId="2" fontId="7" fillId="2" borderId="1" xfId="0" applyNumberFormat="1" applyFont="1" applyFill="1" applyBorder="1" applyAlignment="1" applyProtection="1">
      <alignment horizontal="center" vertical="center" wrapText="1"/>
    </xf>
    <xf numFmtId="0" fontId="10" fillId="0" borderId="0" xfId="0" quotePrefix="1" applyFont="1">
      <alignment vertical="center"/>
    </xf>
    <xf numFmtId="0" fontId="5" fillId="0" borderId="1" xfId="0" applyFont="1" applyBorder="1" applyProtection="1">
      <alignment vertical="center"/>
    </xf>
    <xf numFmtId="0" fontId="5" fillId="0" borderId="1" xfId="0" applyFont="1" applyBorder="1" applyAlignment="1" applyProtection="1">
      <alignment horizontal="center" vertical="center"/>
    </xf>
    <xf numFmtId="178" fontId="5" fillId="0" borderId="1" xfId="0" applyNumberFormat="1" applyFont="1" applyBorder="1" applyProtection="1">
      <alignment vertical="center"/>
    </xf>
    <xf numFmtId="0" fontId="9" fillId="0" borderId="7"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0" fillId="0" borderId="0" xfId="0" applyFont="1">
      <alignment vertical="center"/>
    </xf>
    <xf numFmtId="0" fontId="10" fillId="0" borderId="0" xfId="0" quotePrefix="1" applyFont="1">
      <alignment vertical="center"/>
    </xf>
    <xf numFmtId="0" fontId="7" fillId="0" borderId="1" xfId="0" applyFont="1" applyBorder="1" applyAlignment="1" applyProtection="1">
      <alignment vertical="center" wrapText="1"/>
    </xf>
    <xf numFmtId="0" fontId="12" fillId="2" borderId="0" xfId="0" applyFont="1" applyFill="1" applyAlignment="1">
      <alignment horizontal="left" vertical="center"/>
    </xf>
    <xf numFmtId="177" fontId="7" fillId="0" borderId="1" xfId="0" applyNumberFormat="1" applyFont="1" applyBorder="1" applyAlignment="1" applyProtection="1">
      <alignment horizontal="center" vertical="center" wrapText="1"/>
    </xf>
    <xf numFmtId="178" fontId="11" fillId="2" borderId="1" xfId="0" applyNumberFormat="1" applyFont="1" applyFill="1" applyBorder="1" applyAlignment="1" applyProtection="1">
      <alignment horizontal="center" vertical="center" wrapText="1"/>
    </xf>
    <xf numFmtId="0" fontId="12" fillId="2" borderId="0" xfId="0" applyFont="1" applyFill="1" applyAlignment="1">
      <alignment horizontal="left" vertical="center" wrapText="1"/>
    </xf>
    <xf numFmtId="2" fontId="7" fillId="0" borderId="1" xfId="0" applyNumberFormat="1" applyFont="1" applyBorder="1" applyAlignment="1" applyProtection="1">
      <alignment horizontal="center" vertical="center" wrapText="1"/>
    </xf>
    <xf numFmtId="2" fontId="11" fillId="2" borderId="1" xfId="0" applyNumberFormat="1" applyFont="1" applyFill="1" applyBorder="1" applyAlignment="1" applyProtection="1">
      <alignment horizontal="center" vertical="center" wrapText="1"/>
    </xf>
    <xf numFmtId="0" fontId="7" fillId="6" borderId="7" xfId="0" applyFont="1" applyFill="1" applyBorder="1" applyAlignment="1" applyProtection="1">
      <alignment horizontal="center" vertical="center" wrapText="1"/>
    </xf>
    <xf numFmtId="0" fontId="13" fillId="0" borderId="0" xfId="0" applyFont="1" applyAlignment="1">
      <alignment horizontal="center" vertical="center" wrapText="1"/>
    </xf>
    <xf numFmtId="0" fontId="14" fillId="0" borderId="1" xfId="0" applyFont="1" applyBorder="1" applyAlignment="1" applyProtection="1">
      <alignment horizontal="left" vertical="center"/>
    </xf>
    <xf numFmtId="0" fontId="7" fillId="0" borderId="1" xfId="0" applyFont="1" applyBorder="1" applyAlignment="1" applyProtection="1">
      <alignment horizontal="left" vertical="center" wrapText="1"/>
    </xf>
    <xf numFmtId="0" fontId="7" fillId="0" borderId="0" xfId="0" applyFont="1" applyAlignment="1">
      <alignment horizontal="left" vertical="center" wrapText="1"/>
    </xf>
    <xf numFmtId="0" fontId="13" fillId="0" borderId="0" xfId="0" applyFont="1" applyAlignment="1">
      <alignment horizontal="center" vertical="center"/>
    </xf>
    <xf numFmtId="0" fontId="13" fillId="2" borderId="0" xfId="0" applyFont="1" applyFill="1">
      <alignment vertical="center"/>
    </xf>
    <xf numFmtId="0" fontId="7" fillId="6" borderId="1" xfId="0" applyFont="1" applyFill="1" applyBorder="1" applyAlignment="1" applyProtection="1">
      <alignment horizontal="center" vertical="center" wrapText="1"/>
    </xf>
    <xf numFmtId="0" fontId="10" fillId="0" borderId="0" xfId="0" applyFont="1" applyAlignment="1">
      <alignment horizontal="center" vertical="center"/>
    </xf>
    <xf numFmtId="178" fontId="10" fillId="0" borderId="0" xfId="0" applyNumberFormat="1" applyFont="1">
      <alignment vertical="center"/>
    </xf>
    <xf numFmtId="0" fontId="7" fillId="0" borderId="4"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2" fontId="7" fillId="3" borderId="0" xfId="0" applyNumberFormat="1" applyFont="1" applyFill="1" applyAlignment="1">
      <alignment horizontal="center" vertical="center" wrapText="1"/>
    </xf>
    <xf numFmtId="0" fontId="7" fillId="0" borderId="7" xfId="0" applyFont="1" applyBorder="1" applyAlignment="1" applyProtection="1">
      <alignment horizontal="center" vertical="center" wrapText="1"/>
    </xf>
    <xf numFmtId="0" fontId="10" fillId="0" borderId="0" xfId="0" applyFont="1">
      <alignment vertical="center"/>
    </xf>
    <xf numFmtId="0" fontId="7" fillId="0" borderId="1" xfId="0" applyFont="1" applyBorder="1" applyProtection="1">
      <alignment vertical="center"/>
    </xf>
    <xf numFmtId="0" fontId="7" fillId="0" borderId="1" xfId="0" applyFont="1" applyBorder="1" applyAlignment="1" applyProtection="1">
      <alignment horizontal="center" vertical="center"/>
    </xf>
    <xf numFmtId="0" fontId="7" fillId="0" borderId="0" xfId="0" applyFont="1">
      <alignment vertical="center"/>
    </xf>
    <xf numFmtId="0" fontId="7" fillId="0" borderId="3" xfId="0" applyFont="1" applyBorder="1" applyAlignment="1" applyProtection="1">
      <alignment vertical="center" wrapText="1"/>
    </xf>
    <xf numFmtId="0" fontId="7" fillId="0" borderId="3" xfId="0" applyFont="1" applyBorder="1" applyAlignment="1" applyProtection="1">
      <alignment horizontal="left" vertical="center"/>
    </xf>
    <xf numFmtId="0" fontId="7" fillId="0" borderId="4" xfId="0" applyFont="1" applyBorder="1" applyAlignment="1" applyProtection="1">
      <alignment horizontal="center" vertical="center" wrapText="1"/>
    </xf>
    <xf numFmtId="0" fontId="7" fillId="0" borderId="4" xfId="0" applyFont="1" applyBorder="1" applyAlignment="1" applyProtection="1">
      <alignment vertical="center" wrapText="1"/>
    </xf>
    <xf numFmtId="0" fontId="7" fillId="0" borderId="2" xfId="0" applyFont="1" applyBorder="1" applyAlignment="1" applyProtection="1">
      <alignment vertical="center" wrapText="1"/>
    </xf>
    <xf numFmtId="0" fontId="7" fillId="0" borderId="4" xfId="0" applyFont="1" applyBorder="1" applyAlignment="1" applyProtection="1">
      <alignment horizontal="left" vertical="center" wrapText="1"/>
    </xf>
    <xf numFmtId="0" fontId="7" fillId="0" borderId="2" xfId="0" applyFont="1" applyBorder="1" applyAlignment="1" applyProtection="1">
      <alignment horizontal="left" vertical="center" wrapText="1"/>
    </xf>
    <xf numFmtId="0" fontId="7" fillId="0" borderId="1" xfId="0" applyFont="1" applyBorder="1" applyAlignment="1" applyProtection="1">
      <alignment vertical="center" wrapText="1"/>
    </xf>
    <xf numFmtId="0" fontId="8" fillId="0" borderId="0" xfId="0" applyFont="1" applyAlignment="1"/>
    <xf numFmtId="0" fontId="7" fillId="0" borderId="8" xfId="0" applyFont="1" applyBorder="1" applyAlignment="1" applyProtection="1">
      <alignment horizontal="center" vertical="center" wrapText="1"/>
    </xf>
    <xf numFmtId="0" fontId="15" fillId="0" borderId="3" xfId="0" applyFont="1" applyBorder="1" applyAlignment="1" applyProtection="1">
      <alignment vertical="center" wrapText="1"/>
    </xf>
    <xf numFmtId="0" fontId="7" fillId="0" borderId="0" xfId="0" applyFont="1" applyAlignment="1">
      <alignment vertical="center" wrapText="1"/>
    </xf>
    <xf numFmtId="0" fontId="9" fillId="0" borderId="1" xfId="0" applyFont="1" applyBorder="1" applyProtection="1">
      <alignment vertical="center"/>
    </xf>
    <xf numFmtId="0" fontId="9" fillId="0" borderId="1" xfId="0" applyFont="1" applyBorder="1" applyAlignment="1" applyProtection="1">
      <alignment vertical="center" wrapText="1"/>
    </xf>
    <xf numFmtId="0" fontId="9" fillId="0" borderId="3" xfId="0" applyFont="1" applyBorder="1" applyProtection="1">
      <alignment vertical="center"/>
    </xf>
    <xf numFmtId="0" fontId="17" fillId="0" borderId="4" xfId="0" applyFont="1" applyBorder="1" applyAlignment="1" applyProtection="1">
      <alignment horizontal="center" vertical="center" wrapText="1"/>
    </xf>
    <xf numFmtId="0" fontId="7" fillId="0" borderId="1" xfId="0" applyFont="1" applyBorder="1" applyAlignment="1" applyProtection="1">
      <alignment horizontal="left" vertical="center"/>
    </xf>
    <xf numFmtId="0" fontId="7" fillId="7" borderId="1" xfId="0" applyFont="1" applyFill="1" applyBorder="1" applyAlignment="1" applyProtection="1">
      <alignment horizontal="left" vertical="center" wrapText="1"/>
    </xf>
    <xf numFmtId="0" fontId="18" fillId="0" borderId="0" xfId="0" applyFont="1">
      <alignment vertical="center"/>
    </xf>
    <xf numFmtId="0" fontId="17" fillId="0" borderId="9" xfId="0" applyFont="1" applyBorder="1" applyAlignment="1" applyProtection="1">
      <alignment horizontal="center" vertical="center" wrapText="1"/>
    </xf>
    <xf numFmtId="0" fontId="17" fillId="0" borderId="2" xfId="0" applyFont="1" applyBorder="1" applyAlignment="1" applyProtection="1">
      <alignment horizontal="center" vertical="center" wrapText="1"/>
    </xf>
    <xf numFmtId="0" fontId="7" fillId="8" borderId="3" xfId="0" applyFont="1" applyFill="1" applyBorder="1" applyAlignment="1" applyProtection="1">
      <alignment horizontal="left" vertical="center" wrapText="1"/>
    </xf>
    <xf numFmtId="179" fontId="7" fillId="0" borderId="1" xfId="0" applyNumberFormat="1" applyFont="1" applyBorder="1" applyAlignment="1" applyProtection="1">
      <alignment horizontal="center" vertical="center" wrapText="1"/>
    </xf>
    <xf numFmtId="0" fontId="17" fillId="0" borderId="3" xfId="0" applyFont="1" applyBorder="1" applyAlignment="1" applyProtection="1">
      <alignment horizontal="center" vertical="center" wrapText="1"/>
    </xf>
    <xf numFmtId="0" fontId="7" fillId="0" borderId="3" xfId="0" applyFont="1" applyBorder="1" applyAlignment="1" applyProtection="1">
      <alignment horizontal="left" vertical="center" wrapText="1"/>
    </xf>
    <xf numFmtId="0" fontId="7" fillId="0" borderId="3" xfId="0" applyFont="1" applyBorder="1" applyProtection="1">
      <alignment vertical="center"/>
    </xf>
    <xf numFmtId="0" fontId="7" fillId="0" borderId="4" xfId="0" applyFont="1" applyBorder="1" applyAlignment="1" applyProtection="1">
      <alignment horizontal="center" vertical="center" wrapText="1"/>
    </xf>
    <xf numFmtId="0" fontId="7" fillId="0" borderId="3"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7" fillId="0" borderId="1" xfId="0" applyFont="1" applyBorder="1" applyAlignment="1" applyProtection="1">
      <alignment horizontal="left" vertical="center" wrapText="1"/>
    </xf>
    <xf numFmtId="3" fontId="3" fillId="0" borderId="0" xfId="0" applyNumberFormat="1" applyFont="1">
      <alignment vertical="center"/>
    </xf>
    <xf numFmtId="0" fontId="7" fillId="0" borderId="1" xfId="0" applyFont="1" applyBorder="1" applyAlignment="1" applyProtection="1">
      <alignment horizontal="left" vertical="center"/>
    </xf>
    <xf numFmtId="0" fontId="7" fillId="0" borderId="1" xfId="0" applyFont="1" applyBorder="1" applyAlignment="1" applyProtection="1">
      <alignment horizontal="center" vertical="center" wrapText="1"/>
    </xf>
    <xf numFmtId="176" fontId="7" fillId="0" borderId="1" xfId="0" applyNumberFormat="1" applyFont="1" applyBorder="1" applyAlignment="1" applyProtection="1">
      <alignment horizontal="center" vertical="center" wrapText="1"/>
    </xf>
    <xf numFmtId="0" fontId="7" fillId="0" borderId="1" xfId="0" applyFont="1" applyBorder="1" applyAlignment="1" applyProtection="1">
      <alignment horizontal="left" vertical="center" wrapText="1"/>
    </xf>
    <xf numFmtId="2" fontId="7" fillId="0" borderId="1" xfId="0" applyNumberFormat="1" applyFont="1" applyBorder="1" applyProtection="1">
      <alignment vertical="center"/>
    </xf>
    <xf numFmtId="0" fontId="7" fillId="0" borderId="9" xfId="0" applyFont="1" applyBorder="1" applyAlignment="1" applyProtection="1">
      <alignment horizontal="center" vertical="center" wrapText="1"/>
    </xf>
    <xf numFmtId="0" fontId="17" fillId="0" borderId="1" xfId="0" applyFont="1" applyBorder="1" applyAlignment="1" applyProtection="1">
      <alignment horizontal="center" vertical="center" wrapText="1"/>
    </xf>
    <xf numFmtId="0" fontId="17" fillId="0" borderId="11" xfId="0" applyFont="1" applyBorder="1" applyAlignment="1" applyProtection="1">
      <alignment horizontal="center" vertical="center" wrapText="1"/>
    </xf>
    <xf numFmtId="0" fontId="17" fillId="0" borderId="12" xfId="0" applyFont="1" applyBorder="1" applyAlignment="1" applyProtection="1">
      <alignment horizontal="center" vertical="center" wrapText="1"/>
    </xf>
    <xf numFmtId="0" fontId="22" fillId="0" borderId="3" xfId="0" applyFont="1" applyBorder="1" applyAlignment="1" applyProtection="1">
      <alignment horizontal="center" vertical="center" wrapText="1"/>
    </xf>
    <xf numFmtId="0" fontId="17" fillId="0" borderId="13" xfId="0" applyFont="1" applyBorder="1" applyAlignment="1" applyProtection="1">
      <alignment horizontal="center" vertical="center" wrapText="1"/>
    </xf>
    <xf numFmtId="0" fontId="17" fillId="0" borderId="3" xfId="0" applyFont="1" applyBorder="1" applyAlignment="1" applyProtection="1">
      <alignment horizontal="center" vertical="center" wrapText="1"/>
    </xf>
    <xf numFmtId="0" fontId="7" fillId="0" borderId="3" xfId="0" applyFont="1" applyBorder="1" applyAlignment="1" applyProtection="1">
      <alignment horizontal="left" vertical="center"/>
    </xf>
    <xf numFmtId="0" fontId="11" fillId="0" borderId="0" xfId="0" applyFont="1">
      <alignment vertical="center"/>
    </xf>
    <xf numFmtId="0" fontId="24" fillId="0" borderId="1" xfId="0" applyFont="1" applyBorder="1" applyAlignment="1" applyProtection="1">
      <alignment horizontal="left" vertical="center" wrapText="1"/>
    </xf>
    <xf numFmtId="0" fontId="25" fillId="0" borderId="3" xfId="0" applyFont="1" applyBorder="1" applyAlignment="1" applyProtection="1">
      <alignment horizontal="left" vertical="center" wrapText="1"/>
    </xf>
    <xf numFmtId="0" fontId="26" fillId="0" borderId="3" xfId="0" applyFont="1" applyBorder="1" applyAlignment="1" applyProtection="1">
      <alignment horizontal="left" vertical="center" wrapText="1"/>
    </xf>
    <xf numFmtId="0" fontId="27" fillId="0" borderId="3" xfId="0" applyFont="1" applyBorder="1" applyAlignment="1" applyProtection="1">
      <alignment horizontal="left" vertical="center" wrapText="1"/>
    </xf>
    <xf numFmtId="0" fontId="28" fillId="0" borderId="3" xfId="0" applyFont="1" applyBorder="1" applyAlignment="1" applyProtection="1">
      <alignment horizontal="left" vertical="center" wrapText="1"/>
    </xf>
    <xf numFmtId="0" fontId="30" fillId="0" borderId="1" xfId="0" applyFont="1" applyBorder="1" applyAlignment="1" applyProtection="1">
      <alignment horizontal="left" vertical="center" wrapText="1"/>
    </xf>
    <xf numFmtId="0" fontId="31" fillId="0" borderId="3" xfId="0" applyFont="1" applyBorder="1" applyAlignment="1" applyProtection="1">
      <alignment horizontal="left" vertical="center" wrapText="1"/>
    </xf>
    <xf numFmtId="0" fontId="32" fillId="0" borderId="3" xfId="0" applyFont="1" applyBorder="1" applyAlignment="1" applyProtection="1">
      <alignment horizontal="left" vertical="center" wrapText="1"/>
    </xf>
    <xf numFmtId="0" fontId="33" fillId="0" borderId="3" xfId="0" applyFont="1" applyBorder="1" applyAlignment="1" applyProtection="1">
      <alignment horizontal="left" vertical="center" wrapText="1"/>
    </xf>
    <xf numFmtId="0" fontId="34" fillId="0" borderId="3" xfId="0" applyFont="1" applyBorder="1" applyAlignment="1" applyProtection="1">
      <alignment horizontal="left" vertical="center" wrapText="1"/>
    </xf>
    <xf numFmtId="0" fontId="36" fillId="0" borderId="3" xfId="0" applyFont="1" applyBorder="1" applyAlignment="1" applyProtection="1">
      <alignment horizontal="left" vertical="center" wrapText="1"/>
    </xf>
    <xf numFmtId="0" fontId="37" fillId="0" borderId="3" xfId="0" applyFont="1" applyBorder="1" applyAlignment="1" applyProtection="1">
      <alignment horizontal="left" vertical="center" wrapText="1"/>
    </xf>
    <xf numFmtId="0" fontId="38" fillId="0" borderId="3" xfId="0" applyFont="1" applyBorder="1" applyAlignment="1" applyProtection="1">
      <alignment horizontal="left" vertical="center" wrapText="1"/>
    </xf>
    <xf numFmtId="0" fontId="39" fillId="0" borderId="3" xfId="0" applyFont="1" applyBorder="1" applyAlignment="1" applyProtection="1">
      <alignment horizontal="left" vertical="center" wrapText="1"/>
    </xf>
    <xf numFmtId="0" fontId="40" fillId="0" borderId="3" xfId="0" applyFont="1" applyBorder="1" applyAlignment="1" applyProtection="1">
      <alignment horizontal="left" vertical="center" wrapText="1"/>
    </xf>
    <xf numFmtId="0" fontId="41" fillId="0" borderId="3" xfId="0" applyFont="1" applyBorder="1" applyAlignment="1" applyProtection="1">
      <alignment horizontal="left" vertical="center" wrapText="1"/>
    </xf>
    <xf numFmtId="0" fontId="43" fillId="0" borderId="3" xfId="0" applyFont="1" applyBorder="1" applyAlignment="1" applyProtection="1">
      <alignment horizontal="left" vertical="center" wrapText="1"/>
    </xf>
    <xf numFmtId="0" fontId="44" fillId="0" borderId="3" xfId="0" applyFont="1" applyBorder="1" applyAlignment="1" applyProtection="1">
      <alignment horizontal="left" vertical="center" wrapText="1"/>
    </xf>
    <xf numFmtId="0" fontId="45" fillId="0" borderId="3" xfId="0" applyFont="1" applyBorder="1" applyAlignment="1" applyProtection="1">
      <alignment horizontal="left" vertical="center" wrapText="1"/>
    </xf>
    <xf numFmtId="0" fontId="46" fillId="0" borderId="3" xfId="0" applyFont="1" applyBorder="1" applyAlignment="1" applyProtection="1">
      <alignment horizontal="left" vertical="center" wrapText="1"/>
    </xf>
    <xf numFmtId="0" fontId="47" fillId="0" borderId="3" xfId="0" applyFont="1" applyBorder="1" applyAlignment="1" applyProtection="1">
      <alignment horizontal="left" vertical="center" wrapText="1"/>
    </xf>
    <xf numFmtId="0" fontId="48" fillId="0" borderId="3" xfId="0" applyFont="1" applyBorder="1" applyAlignment="1" applyProtection="1">
      <alignment horizontal="left" vertical="center" wrapText="1"/>
    </xf>
    <xf numFmtId="0" fontId="49" fillId="0" borderId="3" xfId="0" applyFont="1" applyBorder="1" applyAlignment="1" applyProtection="1">
      <alignment horizontal="left" vertical="center" wrapText="1"/>
    </xf>
    <xf numFmtId="0" fontId="51" fillId="0" borderId="3" xfId="0" applyFont="1" applyBorder="1" applyAlignment="1" applyProtection="1">
      <alignment horizontal="left" vertical="center" wrapText="1"/>
    </xf>
    <xf numFmtId="0" fontId="53" fillId="0" borderId="3" xfId="0" applyFont="1" applyBorder="1" applyAlignment="1" applyProtection="1">
      <alignment horizontal="left" vertical="center" wrapText="1"/>
    </xf>
    <xf numFmtId="0" fontId="54" fillId="0" borderId="2" xfId="0" applyFont="1" applyBorder="1" applyAlignment="1" applyProtection="1">
      <alignment horizontal="left" vertical="center" wrapText="1"/>
    </xf>
    <xf numFmtId="0" fontId="56" fillId="0" borderId="3" xfId="0" applyFont="1" applyBorder="1" applyAlignment="1" applyProtection="1">
      <alignment horizontal="left" vertical="center" wrapText="1"/>
    </xf>
    <xf numFmtId="0" fontId="57" fillId="0" borderId="1" xfId="0" applyFont="1" applyBorder="1" applyAlignment="1" applyProtection="1">
      <alignment horizontal="left" vertical="center" wrapText="1"/>
    </xf>
    <xf numFmtId="0" fontId="58" fillId="0" borderId="1" xfId="0" applyFont="1" applyBorder="1" applyAlignment="1" applyProtection="1">
      <alignment horizontal="left" vertical="center" wrapText="1"/>
    </xf>
    <xf numFmtId="0" fontId="60" fillId="0" borderId="3" xfId="0" applyFont="1" applyBorder="1" applyAlignment="1" applyProtection="1">
      <alignment horizontal="left" vertical="center" wrapText="1"/>
    </xf>
    <xf numFmtId="0" fontId="61" fillId="0" borderId="3" xfId="0" applyFont="1" applyBorder="1" applyAlignment="1" applyProtection="1">
      <alignment horizontal="left" vertical="center" wrapText="1"/>
    </xf>
    <xf numFmtId="0" fontId="62" fillId="0" borderId="3" xfId="0" applyFont="1" applyBorder="1" applyAlignment="1" applyProtection="1">
      <alignment horizontal="left" vertical="center" wrapText="1"/>
    </xf>
    <xf numFmtId="0" fontId="63" fillId="0" borderId="3" xfId="0" applyFont="1" applyBorder="1" applyAlignment="1" applyProtection="1">
      <alignment horizontal="left" vertical="center" wrapText="1"/>
    </xf>
    <xf numFmtId="0" fontId="64" fillId="0" borderId="3" xfId="0" applyFont="1" applyBorder="1" applyAlignment="1" applyProtection="1">
      <alignment horizontal="left" vertical="center" wrapText="1"/>
    </xf>
    <xf numFmtId="0" fontId="65" fillId="0" borderId="3" xfId="0" applyFont="1" applyBorder="1" applyAlignment="1" applyProtection="1">
      <alignment horizontal="left" vertical="center" wrapText="1"/>
    </xf>
    <xf numFmtId="0" fontId="66" fillId="0" borderId="1" xfId="0" applyFont="1" applyBorder="1" applyAlignment="1" applyProtection="1">
      <alignment horizontal="left" vertical="center" wrapText="1"/>
    </xf>
    <xf numFmtId="0" fontId="68" fillId="0" borderId="3" xfId="0" applyFont="1" applyBorder="1" applyAlignment="1" applyProtection="1">
      <alignment horizontal="left" vertical="center" wrapText="1"/>
    </xf>
    <xf numFmtId="0" fontId="69" fillId="0" borderId="3" xfId="0" applyFont="1" applyBorder="1" applyAlignment="1" applyProtection="1">
      <alignment horizontal="left" vertical="center" wrapText="1"/>
    </xf>
    <xf numFmtId="0" fontId="70" fillId="0" borderId="3" xfId="0" applyFont="1" applyBorder="1" applyAlignment="1" applyProtection="1">
      <alignment horizontal="left" vertical="center" wrapText="1"/>
    </xf>
    <xf numFmtId="0" fontId="71" fillId="0" borderId="3" xfId="0" applyFont="1" applyBorder="1" applyAlignment="1" applyProtection="1">
      <alignment horizontal="left" vertical="center" wrapText="1"/>
    </xf>
    <xf numFmtId="0" fontId="73" fillId="0" borderId="3" xfId="0" applyFont="1" applyBorder="1" applyAlignment="1" applyProtection="1">
      <alignment horizontal="left" vertical="center" wrapText="1"/>
    </xf>
    <xf numFmtId="0" fontId="74" fillId="0" borderId="3" xfId="0" applyFont="1" applyBorder="1" applyAlignment="1" applyProtection="1">
      <alignment horizontal="left" vertical="center" wrapText="1"/>
    </xf>
    <xf numFmtId="0" fontId="75" fillId="0" borderId="3" xfId="0" applyFont="1" applyBorder="1" applyAlignment="1" applyProtection="1">
      <alignment horizontal="left" vertical="center" wrapText="1"/>
    </xf>
    <xf numFmtId="0" fontId="76" fillId="7" borderId="3" xfId="0" applyFont="1" applyFill="1" applyBorder="1" applyAlignment="1" applyProtection="1">
      <alignment horizontal="left" vertical="center" wrapText="1"/>
    </xf>
    <xf numFmtId="0" fontId="77" fillId="7" borderId="3" xfId="0" applyFont="1" applyFill="1" applyBorder="1" applyAlignment="1" applyProtection="1">
      <alignment horizontal="left" vertical="center" wrapText="1"/>
    </xf>
    <xf numFmtId="0" fontId="78" fillId="0" borderId="3" xfId="0" applyFont="1" applyBorder="1" applyAlignment="1" applyProtection="1">
      <alignment horizontal="left" vertical="center" wrapText="1"/>
    </xf>
    <xf numFmtId="0" fontId="79" fillId="0" borderId="3" xfId="0" applyFont="1" applyBorder="1" applyAlignment="1" applyProtection="1">
      <alignment horizontal="left" vertical="center" wrapText="1"/>
    </xf>
    <xf numFmtId="0" fontId="80" fillId="0" borderId="3" xfId="0" applyFont="1" applyBorder="1" applyAlignment="1" applyProtection="1">
      <alignment horizontal="left" vertical="center" wrapText="1"/>
    </xf>
    <xf numFmtId="0" fontId="81" fillId="0" borderId="3" xfId="0" applyFont="1" applyBorder="1" applyAlignment="1" applyProtection="1">
      <alignment horizontal="left" vertical="center" wrapText="1"/>
    </xf>
    <xf numFmtId="0" fontId="82" fillId="0" borderId="3" xfId="0" applyFont="1" applyBorder="1" applyAlignment="1" applyProtection="1">
      <alignment horizontal="left" vertical="center" wrapText="1"/>
    </xf>
    <xf numFmtId="0" fontId="84" fillId="0" borderId="3" xfId="0" applyFont="1" applyBorder="1" applyAlignment="1" applyProtection="1">
      <alignment horizontal="left" vertical="center" wrapText="1"/>
    </xf>
    <xf numFmtId="0" fontId="85" fillId="0" borderId="3" xfId="0" applyFont="1" applyBorder="1" applyAlignment="1" applyProtection="1">
      <alignment horizontal="left" vertical="center" wrapText="1"/>
    </xf>
    <xf numFmtId="0" fontId="87" fillId="0" borderId="3" xfId="0" applyFont="1" applyBorder="1" applyAlignment="1" applyProtection="1">
      <alignment horizontal="left" vertical="center" wrapText="1"/>
    </xf>
    <xf numFmtId="0" fontId="88" fillId="0" borderId="3" xfId="0" applyFont="1" applyBorder="1" applyAlignment="1" applyProtection="1">
      <alignment horizontal="left" vertical="center" wrapText="1"/>
    </xf>
    <xf numFmtId="0" fontId="89" fillId="0" borderId="3" xfId="0" applyFont="1" applyBorder="1" applyAlignment="1" applyProtection="1">
      <alignment horizontal="left" vertical="center" wrapText="1"/>
    </xf>
    <xf numFmtId="0" fontId="90" fillId="0" borderId="3" xfId="0" applyFont="1" applyBorder="1" applyAlignment="1" applyProtection="1">
      <alignment horizontal="left" vertical="center" wrapText="1"/>
    </xf>
    <xf numFmtId="0" fontId="91" fillId="0" borderId="3" xfId="0" applyFont="1" applyBorder="1" applyAlignment="1" applyProtection="1">
      <alignment horizontal="left" vertical="center" wrapText="1"/>
    </xf>
    <xf numFmtId="0" fontId="92" fillId="0" borderId="3" xfId="0" applyFont="1" applyBorder="1" applyAlignment="1" applyProtection="1">
      <alignment horizontal="left" vertical="center" wrapText="1"/>
    </xf>
    <xf numFmtId="0" fontId="94" fillId="0" borderId="3" xfId="0" applyFont="1" applyBorder="1" applyAlignment="1" applyProtection="1">
      <alignment horizontal="left" vertical="center" wrapText="1"/>
    </xf>
    <xf numFmtId="0" fontId="95" fillId="0" borderId="3" xfId="0" applyFont="1" applyBorder="1" applyAlignment="1" applyProtection="1">
      <alignment horizontal="left" vertical="center" wrapText="1"/>
    </xf>
    <xf numFmtId="0" fontId="97" fillId="0" borderId="3" xfId="0" applyFont="1" applyBorder="1" applyAlignment="1" applyProtection="1">
      <alignment horizontal="left" vertical="center" wrapText="1"/>
    </xf>
    <xf numFmtId="0" fontId="98" fillId="0" borderId="3" xfId="0" applyFont="1" applyBorder="1" applyAlignment="1" applyProtection="1">
      <alignment horizontal="left" vertical="center" wrapText="1"/>
    </xf>
    <xf numFmtId="0" fontId="100" fillId="0" borderId="3" xfId="0" applyFont="1" applyBorder="1" applyAlignment="1" applyProtection="1">
      <alignment horizontal="left" vertical="center" wrapText="1"/>
    </xf>
    <xf numFmtId="0" fontId="101" fillId="0" borderId="3" xfId="0" applyFont="1" applyBorder="1" applyAlignment="1" applyProtection="1">
      <alignment horizontal="left" vertical="center" wrapText="1"/>
    </xf>
    <xf numFmtId="0" fontId="103" fillId="0" borderId="3" xfId="0" applyFont="1" applyBorder="1" applyAlignment="1" applyProtection="1">
      <alignment horizontal="left" vertical="center" wrapText="1"/>
    </xf>
    <xf numFmtId="0" fontId="104" fillId="0" borderId="3" xfId="0" applyFont="1" applyBorder="1" applyAlignment="1" applyProtection="1">
      <alignment horizontal="left" vertical="center" wrapText="1"/>
    </xf>
    <xf numFmtId="0" fontId="105" fillId="0" borderId="3" xfId="0" applyFont="1" applyBorder="1" applyAlignment="1" applyProtection="1">
      <alignment horizontal="left" vertical="center" wrapText="1"/>
    </xf>
    <xf numFmtId="0" fontId="106" fillId="0" borderId="3" xfId="0" applyFont="1" applyBorder="1" applyAlignment="1" applyProtection="1">
      <alignment horizontal="left" vertical="center" wrapText="1"/>
    </xf>
    <xf numFmtId="0" fontId="107" fillId="0" borderId="3" xfId="0" applyFont="1" applyBorder="1" applyAlignment="1" applyProtection="1">
      <alignment horizontal="left" vertical="center" wrapText="1"/>
    </xf>
    <xf numFmtId="0" fontId="108" fillId="0" borderId="3" xfId="0" applyFont="1" applyBorder="1" applyAlignment="1" applyProtection="1">
      <alignment horizontal="left" vertical="center" wrapText="1"/>
    </xf>
    <xf numFmtId="0" fontId="109" fillId="0" borderId="3" xfId="0" applyFont="1" applyBorder="1" applyAlignment="1" applyProtection="1">
      <alignment horizontal="left" vertical="center" wrapText="1"/>
    </xf>
    <xf numFmtId="0" fontId="110" fillId="0" borderId="3" xfId="0" applyFont="1" applyBorder="1" applyAlignment="1" applyProtection="1">
      <alignment horizontal="left" vertical="center" wrapText="1"/>
    </xf>
    <xf numFmtId="0" fontId="111" fillId="0" borderId="3" xfId="0" applyFont="1" applyBorder="1" applyAlignment="1" applyProtection="1">
      <alignment horizontal="left" vertical="center" wrapText="1"/>
    </xf>
    <xf numFmtId="0" fontId="112" fillId="0" borderId="3" xfId="0" applyFont="1" applyBorder="1" applyAlignment="1" applyProtection="1">
      <alignment horizontal="left" vertical="center" wrapText="1"/>
    </xf>
    <xf numFmtId="0" fontId="113" fillId="0" borderId="3" xfId="0" applyFont="1" applyBorder="1" applyAlignment="1" applyProtection="1">
      <alignment horizontal="left" vertical="center" wrapText="1"/>
    </xf>
    <xf numFmtId="0" fontId="114" fillId="0" borderId="3" xfId="0" applyFont="1" applyBorder="1" applyAlignment="1" applyProtection="1">
      <alignment horizontal="left" vertical="center" wrapText="1"/>
    </xf>
    <xf numFmtId="0" fontId="116" fillId="0" borderId="3" xfId="0" applyFont="1" applyBorder="1" applyAlignment="1" applyProtection="1">
      <alignment horizontal="left" vertical="center" wrapText="1"/>
    </xf>
    <xf numFmtId="0" fontId="118" fillId="0" borderId="3" xfId="0" applyFont="1" applyBorder="1" applyAlignment="1" applyProtection="1">
      <alignment horizontal="left" vertical="center" wrapText="1"/>
    </xf>
    <xf numFmtId="0" fontId="119" fillId="0" borderId="3" xfId="0" applyFont="1" applyBorder="1" applyAlignment="1" applyProtection="1">
      <alignment vertical="center" wrapText="1"/>
    </xf>
    <xf numFmtId="0" fontId="120" fillId="0" borderId="3" xfId="0" applyFont="1" applyBorder="1" applyAlignment="1" applyProtection="1">
      <alignment horizontal="left" vertical="center" wrapText="1"/>
    </xf>
    <xf numFmtId="0" fontId="122" fillId="0" borderId="3" xfId="0" applyFont="1" applyBorder="1" applyAlignment="1" applyProtection="1">
      <alignment horizontal="left" vertical="center" wrapText="1"/>
    </xf>
    <xf numFmtId="0" fontId="123" fillId="0" borderId="3" xfId="0" applyFont="1" applyBorder="1" applyAlignment="1" applyProtection="1">
      <alignment horizontal="left" vertical="center" wrapText="1"/>
    </xf>
    <xf numFmtId="0" fontId="124" fillId="0" borderId="3" xfId="0" applyFont="1" applyBorder="1" applyAlignment="1" applyProtection="1">
      <alignment horizontal="left" vertical="center" wrapText="1"/>
    </xf>
    <xf numFmtId="0" fontId="125" fillId="0" borderId="3" xfId="0" applyFont="1" applyBorder="1" applyAlignment="1" applyProtection="1">
      <alignment horizontal="left" vertical="center" wrapText="1"/>
    </xf>
    <xf numFmtId="0" fontId="126" fillId="0" borderId="3" xfId="0" applyFont="1" applyBorder="1" applyAlignment="1" applyProtection="1">
      <alignment horizontal="left" vertical="center" wrapText="1"/>
    </xf>
    <xf numFmtId="0" fontId="128" fillId="0" borderId="3" xfId="0" applyFont="1" applyBorder="1" applyAlignment="1" applyProtection="1">
      <alignment horizontal="left" vertical="center" wrapText="1"/>
    </xf>
    <xf numFmtId="0" fontId="129" fillId="0" borderId="3" xfId="0" applyFont="1" applyBorder="1" applyAlignment="1" applyProtection="1">
      <alignment horizontal="left" vertical="center" wrapText="1"/>
    </xf>
    <xf numFmtId="0" fontId="130" fillId="0" borderId="3" xfId="0" applyFont="1" applyBorder="1" applyAlignment="1" applyProtection="1">
      <alignment horizontal="left" vertical="center" wrapText="1"/>
    </xf>
    <xf numFmtId="0" fontId="131" fillId="0" borderId="3" xfId="0" applyFont="1" applyBorder="1" applyAlignment="1" applyProtection="1">
      <alignment horizontal="left" vertical="center" wrapText="1"/>
    </xf>
    <xf numFmtId="0" fontId="133" fillId="0" borderId="3" xfId="0" applyFont="1" applyBorder="1" applyAlignment="1" applyProtection="1">
      <alignment horizontal="left" vertical="center" wrapText="1"/>
    </xf>
    <xf numFmtId="0" fontId="134" fillId="0" borderId="3" xfId="0" applyFont="1" applyBorder="1" applyAlignment="1" applyProtection="1">
      <alignment horizontal="left" vertical="center" wrapText="1"/>
    </xf>
    <xf numFmtId="0" fontId="135" fillId="0" borderId="3" xfId="0" applyFont="1" applyBorder="1" applyAlignment="1" applyProtection="1">
      <alignment horizontal="left" vertical="center" wrapText="1"/>
    </xf>
    <xf numFmtId="0" fontId="136" fillId="0" borderId="3" xfId="0" applyFont="1" applyBorder="1" applyAlignment="1" applyProtection="1">
      <alignment horizontal="left" vertical="center" wrapText="1"/>
    </xf>
    <xf numFmtId="0" fontId="137" fillId="0" borderId="3" xfId="0" applyFont="1" applyBorder="1" applyAlignment="1" applyProtection="1">
      <alignment horizontal="left" vertical="center" wrapText="1"/>
    </xf>
    <xf numFmtId="0" fontId="138" fillId="0" borderId="3" xfId="0" applyFont="1" applyBorder="1" applyAlignment="1" applyProtection="1">
      <alignment horizontal="left" vertical="center" wrapText="1"/>
    </xf>
    <xf numFmtId="0" fontId="140" fillId="0" borderId="3" xfId="0" applyFont="1" applyBorder="1" applyAlignment="1" applyProtection="1">
      <alignment horizontal="left" vertical="center" wrapText="1"/>
    </xf>
    <xf numFmtId="0" fontId="141" fillId="0" borderId="3" xfId="0" applyFont="1" applyBorder="1" applyAlignment="1" applyProtection="1">
      <alignment horizontal="left" vertical="center" wrapText="1"/>
    </xf>
    <xf numFmtId="0" fontId="143" fillId="0" borderId="3" xfId="0" applyFont="1" applyBorder="1" applyAlignment="1" applyProtection="1">
      <alignment horizontal="left" vertical="center" wrapText="1"/>
    </xf>
    <xf numFmtId="0" fontId="144" fillId="0" borderId="3" xfId="0" applyFont="1" applyBorder="1" applyAlignment="1" applyProtection="1">
      <alignment horizontal="left" vertical="center" wrapText="1"/>
    </xf>
    <xf numFmtId="0" fontId="146" fillId="0" borderId="3" xfId="0" applyFont="1" applyBorder="1" applyAlignment="1" applyProtection="1">
      <alignment horizontal="left" vertical="center" wrapText="1"/>
    </xf>
    <xf numFmtId="0" fontId="147" fillId="0" borderId="3" xfId="0" applyFont="1" applyBorder="1" applyAlignment="1" applyProtection="1">
      <alignment horizontal="left" vertical="center" wrapText="1"/>
    </xf>
    <xf numFmtId="0" fontId="149" fillId="0" borderId="3" xfId="0" applyFont="1" applyBorder="1" applyAlignment="1" applyProtection="1">
      <alignment horizontal="left" vertical="center" wrapText="1"/>
    </xf>
    <xf numFmtId="0" fontId="150" fillId="0" borderId="3" xfId="0" applyFont="1" applyBorder="1" applyAlignment="1" applyProtection="1">
      <alignment horizontal="left" vertical="center" wrapText="1"/>
    </xf>
    <xf numFmtId="0" fontId="151" fillId="0" borderId="3" xfId="0" applyFont="1" applyBorder="1" applyAlignment="1" applyProtection="1">
      <alignment horizontal="left" vertical="center" wrapText="1"/>
    </xf>
    <xf numFmtId="0" fontId="152" fillId="0" borderId="3" xfId="0" applyFont="1" applyBorder="1" applyAlignment="1" applyProtection="1">
      <alignment horizontal="left" vertical="center" wrapText="1"/>
    </xf>
    <xf numFmtId="0" fontId="153" fillId="0" borderId="3" xfId="0" applyFont="1" applyBorder="1" applyAlignment="1" applyProtection="1">
      <alignment horizontal="left" vertical="center" wrapText="1"/>
    </xf>
    <xf numFmtId="0" fontId="154" fillId="0" borderId="3" xfId="0" applyFont="1" applyBorder="1" applyAlignment="1" applyProtection="1">
      <alignment horizontal="left" vertical="center" wrapText="1"/>
    </xf>
    <xf numFmtId="0" fontId="155" fillId="0" borderId="3" xfId="0" applyFont="1" applyBorder="1" applyAlignment="1" applyProtection="1">
      <alignment horizontal="left" vertical="center" wrapText="1"/>
    </xf>
    <xf numFmtId="0" fontId="156" fillId="0" borderId="3" xfId="0" applyFont="1" applyBorder="1" applyAlignment="1" applyProtection="1">
      <alignment horizontal="left" vertical="center" wrapText="1"/>
    </xf>
    <xf numFmtId="0" fontId="157" fillId="0" borderId="3" xfId="0" applyFont="1" applyBorder="1" applyAlignment="1" applyProtection="1">
      <alignment horizontal="left" vertical="center" wrapText="1"/>
    </xf>
    <xf numFmtId="0" fontId="158" fillId="0" borderId="3" xfId="0" applyFont="1" applyBorder="1" applyAlignment="1" applyProtection="1">
      <alignment horizontal="left" vertical="center" wrapText="1"/>
    </xf>
    <xf numFmtId="0" fontId="160" fillId="0" borderId="3" xfId="0" applyFont="1" applyBorder="1" applyAlignment="1" applyProtection="1">
      <alignment horizontal="left" vertical="center" wrapText="1"/>
    </xf>
    <xf numFmtId="0" fontId="161" fillId="0" borderId="3" xfId="0" applyFont="1" applyBorder="1" applyAlignment="1" applyProtection="1">
      <alignment vertical="center" wrapText="1"/>
    </xf>
    <xf numFmtId="0" fontId="162" fillId="0" borderId="3" xfId="0" applyFont="1" applyBorder="1" applyAlignment="1" applyProtection="1">
      <alignment horizontal="left" vertical="center" wrapText="1"/>
    </xf>
    <xf numFmtId="0" fontId="164" fillId="0" borderId="3" xfId="0" applyFont="1" applyBorder="1" applyAlignment="1" applyProtection="1">
      <alignment horizontal="left" vertical="center" wrapText="1"/>
    </xf>
    <xf numFmtId="0" fontId="165" fillId="0" borderId="3" xfId="0" applyFont="1" applyBorder="1" applyAlignment="1" applyProtection="1">
      <alignment horizontal="left" vertical="center" wrapText="1"/>
    </xf>
    <xf numFmtId="0" fontId="166" fillId="0" borderId="3" xfId="0" applyFont="1" applyBorder="1" applyAlignment="1" applyProtection="1">
      <alignment horizontal="left" vertical="center" wrapText="1"/>
    </xf>
    <xf numFmtId="0" fontId="167" fillId="0" borderId="3" xfId="0" applyFont="1" applyBorder="1" applyAlignment="1" applyProtection="1">
      <alignment horizontal="left" vertical="center" wrapText="1"/>
    </xf>
    <xf numFmtId="0" fontId="168" fillId="0" borderId="3" xfId="0" applyFont="1" applyBorder="1" applyAlignment="1" applyProtection="1">
      <alignment horizontal="left" vertical="center" wrapText="1"/>
    </xf>
    <xf numFmtId="0" fontId="170" fillId="0" borderId="3" xfId="0" applyFont="1" applyBorder="1" applyAlignment="1" applyProtection="1">
      <alignment horizontal="left" vertical="center" wrapText="1"/>
    </xf>
    <xf numFmtId="0" fontId="171" fillId="0" borderId="3" xfId="0" applyFont="1" applyBorder="1" applyAlignment="1" applyProtection="1">
      <alignment horizontal="left" vertical="center" wrapText="1"/>
    </xf>
    <xf numFmtId="0" fontId="172" fillId="0" borderId="3" xfId="0" applyFont="1" applyBorder="1" applyAlignment="1" applyProtection="1">
      <alignment horizontal="left" vertical="center" wrapText="1"/>
    </xf>
    <xf numFmtId="0" fontId="173" fillId="0" borderId="3" xfId="0" applyFont="1" applyBorder="1" applyAlignment="1" applyProtection="1">
      <alignment horizontal="left" vertical="center" wrapText="1"/>
    </xf>
    <xf numFmtId="0" fontId="174" fillId="0" borderId="3" xfId="0" applyFont="1" applyBorder="1" applyAlignment="1" applyProtection="1">
      <alignment horizontal="left" vertical="center" wrapText="1"/>
    </xf>
    <xf numFmtId="0" fontId="176" fillId="0" borderId="3" xfId="0" applyFont="1" applyBorder="1" applyAlignment="1" applyProtection="1">
      <alignment horizontal="left" vertical="center" wrapText="1"/>
    </xf>
    <xf numFmtId="0" fontId="177" fillId="0" borderId="3" xfId="0" applyFont="1" applyBorder="1" applyAlignment="1" applyProtection="1">
      <alignment horizontal="left" vertical="center" wrapText="1"/>
    </xf>
    <xf numFmtId="0" fontId="178" fillId="0" borderId="3" xfId="0" applyFont="1" applyBorder="1" applyAlignment="1" applyProtection="1">
      <alignment horizontal="left" vertical="center" wrapText="1"/>
    </xf>
    <xf numFmtId="0" fontId="179" fillId="0" borderId="3" xfId="0" applyFont="1" applyBorder="1" applyAlignment="1" applyProtection="1">
      <alignment horizontal="left" vertical="center" wrapText="1"/>
    </xf>
    <xf numFmtId="0" fontId="180" fillId="0" borderId="3" xfId="0" applyFont="1" applyBorder="1" applyAlignment="1" applyProtection="1">
      <alignment horizontal="left" vertical="center" wrapText="1"/>
    </xf>
    <xf numFmtId="0" fontId="181" fillId="0" borderId="3" xfId="0" applyFont="1" applyBorder="1" applyAlignment="1" applyProtection="1">
      <alignment horizontal="left" vertical="center" wrapText="1"/>
    </xf>
    <xf numFmtId="0" fontId="183" fillId="0" borderId="3" xfId="0" applyFont="1" applyBorder="1" applyAlignment="1" applyProtection="1">
      <alignment horizontal="left" vertical="center" wrapText="1"/>
    </xf>
    <xf numFmtId="0" fontId="184" fillId="0" borderId="3" xfId="0" applyFont="1" applyBorder="1" applyAlignment="1" applyProtection="1">
      <alignment horizontal="left" vertical="center" wrapText="1"/>
    </xf>
    <xf numFmtId="0" fontId="186" fillId="0" borderId="3" xfId="0" applyFont="1" applyBorder="1" applyAlignment="1" applyProtection="1">
      <alignment horizontal="left" vertical="center" wrapText="1"/>
    </xf>
    <xf numFmtId="0" fontId="187" fillId="0" borderId="3" xfId="0" applyFont="1" applyBorder="1" applyAlignment="1" applyProtection="1">
      <alignment horizontal="left" vertical="center" wrapText="1"/>
    </xf>
    <xf numFmtId="0" fontId="189" fillId="0" borderId="3" xfId="0" applyFont="1" applyBorder="1" applyAlignment="1" applyProtection="1">
      <alignment horizontal="left" vertical="center" wrapText="1"/>
    </xf>
    <xf numFmtId="0" fontId="190" fillId="0" borderId="3" xfId="0" applyFont="1" applyBorder="1" applyAlignment="1" applyProtection="1">
      <alignment horizontal="left" vertical="center" wrapText="1"/>
    </xf>
    <xf numFmtId="0" fontId="192" fillId="0" borderId="3" xfId="0" applyFont="1" applyBorder="1" applyAlignment="1" applyProtection="1">
      <alignment horizontal="left" vertical="center" wrapText="1"/>
    </xf>
    <xf numFmtId="0" fontId="193" fillId="0" borderId="3" xfId="0" applyFont="1" applyBorder="1" applyAlignment="1" applyProtection="1">
      <alignment horizontal="left" vertical="center" wrapText="1"/>
    </xf>
    <xf numFmtId="0" fontId="194" fillId="0" borderId="3" xfId="0" applyFont="1" applyBorder="1" applyAlignment="1" applyProtection="1">
      <alignment horizontal="left" vertical="center" wrapText="1"/>
    </xf>
    <xf numFmtId="0" fontId="195" fillId="0" borderId="3" xfId="0" applyFont="1" applyBorder="1" applyAlignment="1" applyProtection="1">
      <alignment horizontal="left" vertical="center" wrapText="1"/>
    </xf>
    <xf numFmtId="0" fontId="196" fillId="0" borderId="3" xfId="0" applyFont="1" applyBorder="1" applyAlignment="1" applyProtection="1">
      <alignment horizontal="left" vertical="center" wrapText="1"/>
    </xf>
    <xf numFmtId="0" fontId="197" fillId="0" borderId="3" xfId="0" applyFont="1" applyBorder="1" applyAlignment="1" applyProtection="1">
      <alignment horizontal="left" vertical="center" wrapText="1"/>
    </xf>
    <xf numFmtId="0" fontId="198" fillId="0" borderId="3" xfId="0" applyFont="1" applyBorder="1" applyAlignment="1" applyProtection="1">
      <alignment horizontal="left" vertical="center" wrapText="1"/>
    </xf>
    <xf numFmtId="0" fontId="199" fillId="0" borderId="3" xfId="0" applyFont="1" applyBorder="1" applyAlignment="1" applyProtection="1">
      <alignment horizontal="left" vertical="center" wrapText="1"/>
    </xf>
    <xf numFmtId="0" fontId="200" fillId="0" borderId="3" xfId="0" applyFont="1" applyBorder="1" applyAlignment="1" applyProtection="1">
      <alignment horizontal="left" vertical="center" wrapText="1"/>
    </xf>
    <xf numFmtId="0" fontId="201" fillId="0" borderId="3" xfId="0" applyFont="1" applyBorder="1" applyAlignment="1" applyProtection="1">
      <alignment horizontal="left" vertical="center" wrapText="1"/>
    </xf>
    <xf numFmtId="0" fontId="202" fillId="0" borderId="3" xfId="0" applyFont="1" applyBorder="1" applyAlignment="1" applyProtection="1">
      <alignment horizontal="left" vertical="center" wrapText="1"/>
    </xf>
    <xf numFmtId="0" fontId="204" fillId="0" borderId="3" xfId="0" applyFont="1" applyBorder="1" applyAlignment="1" applyProtection="1">
      <alignment horizontal="left" vertical="center" wrapText="1"/>
    </xf>
    <xf numFmtId="0" fontId="205" fillId="0" borderId="3" xfId="0" applyFont="1" applyBorder="1" applyAlignment="1" applyProtection="1">
      <alignment horizontal="left" vertical="center" wrapText="1"/>
    </xf>
    <xf numFmtId="0" fontId="206" fillId="0" borderId="3" xfId="0" applyFont="1" applyBorder="1" applyAlignment="1" applyProtection="1">
      <alignment horizontal="left" vertical="center" wrapText="1"/>
    </xf>
    <xf numFmtId="0" fontId="207" fillId="0" borderId="1" xfId="0" applyFont="1" applyBorder="1" applyAlignment="1" applyProtection="1">
      <alignment horizontal="left" vertical="center" wrapText="1"/>
    </xf>
    <xf numFmtId="0" fontId="208" fillId="0" borderId="1" xfId="0" applyFont="1" applyBorder="1" applyAlignment="1" applyProtection="1">
      <alignment horizontal="center" vertical="center" wrapText="1"/>
    </xf>
    <xf numFmtId="0" fontId="210" fillId="0" borderId="3" xfId="0" applyFont="1" applyBorder="1" applyAlignment="1" applyProtection="1">
      <alignment horizontal="left" vertical="center" wrapText="1"/>
    </xf>
    <xf numFmtId="0" fontId="211" fillId="0" borderId="3" xfId="0" applyFont="1" applyBorder="1" applyAlignment="1" applyProtection="1">
      <alignment horizontal="left" vertical="center" wrapText="1"/>
    </xf>
    <xf numFmtId="0" fontId="212" fillId="0" borderId="3" xfId="0" applyFont="1" applyBorder="1" applyAlignment="1" applyProtection="1">
      <alignment horizontal="left" vertical="center" wrapText="1"/>
    </xf>
    <xf numFmtId="0" fontId="213" fillId="0" borderId="3" xfId="0" applyFont="1" applyBorder="1" applyAlignment="1" applyProtection="1">
      <alignment horizontal="left" vertical="center" wrapText="1"/>
    </xf>
    <xf numFmtId="0" fontId="214" fillId="0" borderId="3" xfId="0" applyFont="1" applyBorder="1" applyAlignment="1" applyProtection="1">
      <alignment horizontal="left" vertical="center" wrapText="1"/>
    </xf>
    <xf numFmtId="0" fontId="215" fillId="0" borderId="3" xfId="0" applyFont="1" applyBorder="1" applyAlignment="1" applyProtection="1">
      <alignment horizontal="left" vertical="center" wrapText="1"/>
    </xf>
    <xf numFmtId="0" fontId="216" fillId="0" borderId="3" xfId="0" applyFont="1" applyBorder="1" applyAlignment="1" applyProtection="1">
      <alignment horizontal="left" vertical="center" wrapText="1"/>
    </xf>
    <xf numFmtId="0" fontId="217" fillId="0" borderId="3" xfId="0" applyFont="1" applyBorder="1" applyAlignment="1" applyProtection="1">
      <alignment horizontal="left" vertical="center" wrapText="1"/>
    </xf>
    <xf numFmtId="0" fontId="218" fillId="0" borderId="3" xfId="0" applyFont="1" applyBorder="1" applyAlignment="1" applyProtection="1">
      <alignment horizontal="left" vertical="center" wrapText="1"/>
    </xf>
    <xf numFmtId="0" fontId="219" fillId="0" borderId="3" xfId="0" applyFont="1" applyBorder="1" applyAlignment="1" applyProtection="1">
      <alignment horizontal="left" vertical="center" wrapText="1"/>
    </xf>
    <xf numFmtId="0" fontId="220" fillId="0" borderId="3" xfId="0" applyFont="1" applyBorder="1" applyAlignment="1" applyProtection="1">
      <alignment horizontal="left" vertical="center" wrapText="1"/>
    </xf>
    <xf numFmtId="0" fontId="222" fillId="0" borderId="3" xfId="0" applyFont="1" applyBorder="1" applyAlignment="1" applyProtection="1">
      <alignment horizontal="left" vertical="center" wrapText="1"/>
    </xf>
    <xf numFmtId="0" fontId="223" fillId="0" borderId="3" xfId="0" applyFont="1" applyBorder="1" applyAlignment="1" applyProtection="1">
      <alignment horizontal="left" vertical="center" wrapText="1"/>
    </xf>
    <xf numFmtId="0" fontId="224" fillId="0" borderId="3" xfId="0" applyFont="1" applyBorder="1" applyAlignment="1" applyProtection="1">
      <alignment horizontal="left" vertical="center" wrapText="1"/>
    </xf>
    <xf numFmtId="0" fontId="225" fillId="0" borderId="3" xfId="0" applyFont="1" applyBorder="1" applyAlignment="1" applyProtection="1">
      <alignment horizontal="left" vertical="center" wrapText="1"/>
    </xf>
    <xf numFmtId="0" fontId="226" fillId="0" borderId="3" xfId="0" applyFont="1" applyBorder="1" applyAlignment="1" applyProtection="1">
      <alignment horizontal="left" vertical="center" wrapText="1"/>
    </xf>
    <xf numFmtId="0" fontId="228" fillId="0" borderId="3" xfId="0" applyFont="1" applyBorder="1" applyAlignment="1" applyProtection="1">
      <alignment horizontal="left" vertical="center" wrapText="1"/>
    </xf>
    <xf numFmtId="0" fontId="229" fillId="0" borderId="3" xfId="0" applyFont="1" applyBorder="1" applyAlignment="1" applyProtection="1">
      <alignment horizontal="left" vertical="center" wrapText="1"/>
    </xf>
    <xf numFmtId="0" fontId="230" fillId="0" borderId="3" xfId="0" applyFont="1" applyBorder="1" applyAlignment="1" applyProtection="1">
      <alignment horizontal="left" vertical="center" wrapText="1"/>
    </xf>
    <xf numFmtId="0" fontId="231" fillId="0" borderId="3" xfId="0" applyFont="1" applyBorder="1" applyAlignment="1" applyProtection="1">
      <alignment horizontal="left" vertical="center" wrapText="1"/>
    </xf>
    <xf numFmtId="0" fontId="232" fillId="0" borderId="3" xfId="0" applyFont="1" applyBorder="1" applyAlignment="1" applyProtection="1">
      <alignment horizontal="left" vertical="center" wrapText="1"/>
    </xf>
    <xf numFmtId="0" fontId="233" fillId="0" borderId="3" xfId="0" applyFont="1" applyBorder="1" applyAlignment="1" applyProtection="1">
      <alignment horizontal="left" vertical="center" wrapText="1"/>
    </xf>
    <xf numFmtId="0" fontId="235" fillId="0" borderId="3" xfId="0" applyFont="1" applyBorder="1" applyAlignment="1" applyProtection="1">
      <alignment horizontal="left" vertical="center" wrapText="1"/>
    </xf>
    <xf numFmtId="0" fontId="236" fillId="0" borderId="3" xfId="0" applyFont="1" applyBorder="1" applyAlignment="1" applyProtection="1">
      <alignment horizontal="left" vertical="center" wrapText="1"/>
    </xf>
    <xf numFmtId="0" fontId="238" fillId="0" borderId="3" xfId="0" applyFont="1" applyBorder="1" applyAlignment="1" applyProtection="1">
      <alignment horizontal="left" vertical="center" wrapText="1"/>
    </xf>
    <xf numFmtId="0" fontId="239" fillId="0" borderId="3" xfId="0" applyFont="1" applyBorder="1" applyAlignment="1" applyProtection="1">
      <alignment horizontal="left" vertical="center" wrapText="1"/>
    </xf>
    <xf numFmtId="0" fontId="241" fillId="0" borderId="3" xfId="0" applyFont="1" applyBorder="1" applyAlignment="1" applyProtection="1">
      <alignment horizontal="left" vertical="center" wrapText="1"/>
    </xf>
    <xf numFmtId="0" fontId="242" fillId="0" borderId="3" xfId="0" applyFont="1" applyBorder="1" applyAlignment="1" applyProtection="1">
      <alignment horizontal="left" vertical="center" wrapText="1"/>
    </xf>
    <xf numFmtId="0" fontId="244" fillId="0" borderId="3" xfId="0" applyFont="1" applyBorder="1" applyAlignment="1" applyProtection="1">
      <alignment horizontal="left" vertical="center" wrapText="1"/>
    </xf>
    <xf numFmtId="0" fontId="245" fillId="0" borderId="3" xfId="0" applyFont="1" applyBorder="1" applyAlignment="1" applyProtection="1">
      <alignment horizontal="left" vertical="center" wrapText="1"/>
    </xf>
    <xf numFmtId="0" fontId="246" fillId="0" borderId="3" xfId="0" applyFont="1" applyBorder="1" applyAlignment="1" applyProtection="1">
      <alignment horizontal="left" vertical="center" wrapText="1"/>
    </xf>
    <xf numFmtId="0" fontId="247" fillId="0" borderId="3" xfId="0" applyFont="1" applyBorder="1" applyAlignment="1" applyProtection="1">
      <alignment horizontal="left" vertical="center" wrapText="1"/>
    </xf>
    <xf numFmtId="0" fontId="248" fillId="0" borderId="3" xfId="0" applyFont="1" applyBorder="1" applyAlignment="1" applyProtection="1">
      <alignment horizontal="left" vertical="center" wrapText="1"/>
    </xf>
    <xf numFmtId="0" fontId="249" fillId="0" borderId="3" xfId="0" applyFont="1" applyBorder="1" applyAlignment="1" applyProtection="1">
      <alignment horizontal="left" vertical="center" wrapText="1"/>
    </xf>
    <xf numFmtId="0" fontId="250" fillId="0" borderId="3" xfId="0" applyFont="1" applyBorder="1" applyAlignment="1" applyProtection="1">
      <alignment horizontal="left" vertical="center" wrapText="1"/>
    </xf>
    <xf numFmtId="0" fontId="251" fillId="0" borderId="3" xfId="0" applyFont="1" applyBorder="1" applyAlignment="1" applyProtection="1">
      <alignment horizontal="left" vertical="center" wrapText="1"/>
    </xf>
    <xf numFmtId="0" fontId="252" fillId="0" borderId="3" xfId="0" applyFont="1" applyBorder="1" applyAlignment="1" applyProtection="1">
      <alignment horizontal="left" vertical="center" wrapText="1"/>
    </xf>
    <xf numFmtId="0" fontId="253" fillId="0" borderId="3" xfId="0" applyFont="1" applyBorder="1" applyAlignment="1" applyProtection="1">
      <alignment horizontal="left" vertical="center" wrapText="1"/>
    </xf>
    <xf numFmtId="0" fontId="255" fillId="0" borderId="3" xfId="0" applyFont="1" applyBorder="1" applyAlignment="1" applyProtection="1">
      <alignment horizontal="left" vertical="center" wrapText="1"/>
    </xf>
    <xf numFmtId="0" fontId="256" fillId="0" borderId="3" xfId="0" applyFont="1" applyBorder="1" applyAlignment="1" applyProtection="1">
      <alignment vertical="center" wrapText="1"/>
    </xf>
    <xf numFmtId="0" fontId="257" fillId="0" borderId="3" xfId="0" applyFont="1" applyBorder="1" applyAlignment="1" applyProtection="1">
      <alignment horizontal="left" vertical="center" wrapText="1"/>
    </xf>
    <xf numFmtId="0" fontId="259" fillId="0" borderId="3" xfId="0" applyFont="1" applyBorder="1" applyAlignment="1" applyProtection="1">
      <alignment horizontal="left" vertical="center" wrapText="1"/>
    </xf>
    <xf numFmtId="0" fontId="260" fillId="0" borderId="3" xfId="0" applyFont="1" applyBorder="1" applyAlignment="1" applyProtection="1">
      <alignment horizontal="left" vertical="center" wrapText="1"/>
    </xf>
    <xf numFmtId="0" fontId="261" fillId="0" borderId="3" xfId="0" applyFont="1" applyBorder="1" applyAlignment="1" applyProtection="1">
      <alignment horizontal="left" vertical="center" wrapText="1"/>
    </xf>
    <xf numFmtId="0" fontId="262" fillId="0" borderId="3" xfId="0" applyFont="1" applyBorder="1" applyAlignment="1" applyProtection="1">
      <alignment horizontal="left" vertical="center" wrapText="1"/>
    </xf>
    <xf numFmtId="0" fontId="263" fillId="0" borderId="3" xfId="0" applyFont="1" applyBorder="1" applyAlignment="1" applyProtection="1">
      <alignment horizontal="left" vertical="center" wrapText="1"/>
    </xf>
    <xf numFmtId="0" fontId="265" fillId="0" borderId="3" xfId="0" applyFont="1" applyBorder="1" applyAlignment="1" applyProtection="1">
      <alignment horizontal="left" vertical="center" wrapText="1"/>
    </xf>
    <xf numFmtId="0" fontId="266" fillId="0" borderId="3" xfId="0" applyFont="1" applyBorder="1" applyAlignment="1" applyProtection="1">
      <alignment horizontal="left" vertical="center" wrapText="1"/>
    </xf>
    <xf numFmtId="0" fontId="267" fillId="0" borderId="3" xfId="0" applyFont="1" applyBorder="1" applyAlignment="1" applyProtection="1">
      <alignment horizontal="left" vertical="center" wrapText="1"/>
    </xf>
    <xf numFmtId="0" fontId="268" fillId="0" borderId="3" xfId="0" applyFont="1" applyBorder="1" applyAlignment="1" applyProtection="1">
      <alignment horizontal="left" vertical="center" wrapText="1"/>
    </xf>
    <xf numFmtId="0" fontId="269" fillId="0" borderId="3" xfId="0" applyFont="1" applyBorder="1" applyAlignment="1" applyProtection="1">
      <alignment horizontal="left" vertical="center" wrapText="1"/>
    </xf>
    <xf numFmtId="0" fontId="271" fillId="0" borderId="3" xfId="0" applyFont="1" applyBorder="1" applyAlignment="1" applyProtection="1">
      <alignment horizontal="left" vertical="center" wrapText="1"/>
    </xf>
    <xf numFmtId="0" fontId="272" fillId="0" borderId="3" xfId="0" applyFont="1" applyBorder="1" applyAlignment="1" applyProtection="1">
      <alignment horizontal="left" vertical="center" wrapText="1"/>
    </xf>
    <xf numFmtId="0" fontId="273" fillId="0" borderId="3" xfId="0" applyFont="1" applyBorder="1" applyAlignment="1" applyProtection="1">
      <alignment horizontal="left" vertical="center" wrapText="1"/>
    </xf>
    <xf numFmtId="0" fontId="274" fillId="0" borderId="3" xfId="0" applyFont="1" applyBorder="1" applyAlignment="1" applyProtection="1">
      <alignment horizontal="left" vertical="center" wrapText="1"/>
    </xf>
    <xf numFmtId="0" fontId="275" fillId="0" borderId="3" xfId="0" applyFont="1" applyBorder="1" applyAlignment="1" applyProtection="1">
      <alignment horizontal="left" vertical="center" wrapText="1"/>
    </xf>
    <xf numFmtId="0" fontId="276" fillId="0" borderId="3" xfId="0" applyFont="1" applyBorder="1" applyAlignment="1" applyProtection="1">
      <alignment horizontal="left" vertical="center" wrapText="1"/>
    </xf>
    <xf numFmtId="0" fontId="278" fillId="0" borderId="3" xfId="0" applyFont="1" applyBorder="1" applyAlignment="1" applyProtection="1">
      <alignment horizontal="left" vertical="center" wrapText="1"/>
    </xf>
    <xf numFmtId="0" fontId="279" fillId="0" borderId="3" xfId="0" applyFont="1" applyBorder="1" applyAlignment="1" applyProtection="1">
      <alignment horizontal="left" vertical="center" wrapText="1"/>
    </xf>
    <xf numFmtId="0" fontId="281" fillId="0" borderId="3" xfId="0" applyFont="1" applyBorder="1" applyAlignment="1" applyProtection="1">
      <alignment horizontal="left" vertical="center" wrapText="1"/>
    </xf>
    <xf numFmtId="0" fontId="282" fillId="0" borderId="3" xfId="0" applyFont="1" applyBorder="1" applyAlignment="1" applyProtection="1">
      <alignment horizontal="left" vertical="center" wrapText="1"/>
    </xf>
    <xf numFmtId="0" fontId="284" fillId="0" borderId="3" xfId="0" applyFont="1" applyBorder="1" applyAlignment="1" applyProtection="1">
      <alignment horizontal="left" vertical="center" wrapText="1"/>
    </xf>
    <xf numFmtId="0" fontId="285" fillId="0" borderId="3" xfId="0" applyFont="1" applyBorder="1" applyAlignment="1" applyProtection="1">
      <alignment horizontal="left" vertical="center" wrapText="1"/>
    </xf>
    <xf numFmtId="0" fontId="287" fillId="0" borderId="3" xfId="0" applyFont="1" applyBorder="1" applyAlignment="1" applyProtection="1">
      <alignment horizontal="left" vertical="center" wrapText="1"/>
    </xf>
    <xf numFmtId="0" fontId="288" fillId="0" borderId="3" xfId="0" applyFont="1" applyBorder="1" applyAlignment="1" applyProtection="1">
      <alignment horizontal="left" vertical="center" wrapText="1"/>
    </xf>
    <xf numFmtId="0" fontId="289" fillId="0" borderId="3" xfId="0" applyFont="1" applyBorder="1" applyAlignment="1" applyProtection="1">
      <alignment horizontal="left" vertical="center" wrapText="1"/>
    </xf>
    <xf numFmtId="0" fontId="290" fillId="0" borderId="3" xfId="0" applyFont="1" applyBorder="1" applyAlignment="1" applyProtection="1">
      <alignment horizontal="left" vertical="center" wrapText="1"/>
    </xf>
    <xf numFmtId="0" fontId="291" fillId="0" borderId="3" xfId="0" applyFont="1" applyBorder="1" applyAlignment="1" applyProtection="1">
      <alignment horizontal="left" vertical="center" wrapText="1"/>
    </xf>
    <xf numFmtId="0" fontId="292" fillId="0" borderId="3" xfId="0" applyFont="1" applyBorder="1" applyAlignment="1" applyProtection="1">
      <alignment horizontal="left" vertical="center" wrapText="1"/>
    </xf>
    <xf numFmtId="0" fontId="293" fillId="0" borderId="3" xfId="0" applyFont="1" applyBorder="1" applyAlignment="1" applyProtection="1">
      <alignment horizontal="left" vertical="center" wrapText="1"/>
    </xf>
    <xf numFmtId="0" fontId="294" fillId="0" borderId="3" xfId="0" applyFont="1" applyBorder="1" applyAlignment="1" applyProtection="1">
      <alignment horizontal="left" vertical="center" wrapText="1"/>
    </xf>
    <xf numFmtId="0" fontId="295" fillId="0" borderId="3" xfId="0" applyFont="1" applyBorder="1" applyAlignment="1" applyProtection="1">
      <alignment horizontal="left" vertical="center" wrapText="1"/>
    </xf>
    <xf numFmtId="0" fontId="296" fillId="0" borderId="3" xfId="0" applyFont="1" applyBorder="1" applyAlignment="1" applyProtection="1">
      <alignment horizontal="left" vertical="center" wrapText="1"/>
    </xf>
    <xf numFmtId="0" fontId="298" fillId="0" borderId="3" xfId="0" applyFont="1" applyBorder="1" applyAlignment="1" applyProtection="1">
      <alignment horizontal="left" vertical="center" wrapText="1"/>
    </xf>
    <xf numFmtId="0" fontId="299" fillId="0" borderId="3" xfId="0" applyFont="1" applyBorder="1" applyAlignment="1" applyProtection="1">
      <alignment vertical="center" wrapText="1"/>
    </xf>
    <xf numFmtId="0" fontId="300" fillId="0" borderId="3" xfId="0" applyFont="1" applyBorder="1" applyAlignment="1" applyProtection="1">
      <alignment horizontal="left" vertical="center" wrapText="1"/>
    </xf>
    <xf numFmtId="0" fontId="302" fillId="0" borderId="3" xfId="0" applyFont="1" applyBorder="1" applyAlignment="1" applyProtection="1">
      <alignment horizontal="left" vertical="center" wrapText="1"/>
    </xf>
    <xf numFmtId="0" fontId="303" fillId="0" borderId="3" xfId="0" applyFont="1" applyBorder="1" applyAlignment="1" applyProtection="1">
      <alignment horizontal="left" vertical="center" wrapText="1"/>
    </xf>
    <xf numFmtId="0" fontId="304" fillId="0" borderId="3" xfId="0" applyFont="1" applyBorder="1" applyAlignment="1" applyProtection="1">
      <alignment horizontal="left" vertical="center" wrapText="1"/>
    </xf>
    <xf numFmtId="0" fontId="305" fillId="0" borderId="3" xfId="0" applyFont="1" applyBorder="1" applyAlignment="1" applyProtection="1">
      <alignment horizontal="left" vertical="center" wrapText="1"/>
    </xf>
    <xf numFmtId="0" fontId="306" fillId="0" borderId="3" xfId="0" applyFont="1" applyBorder="1" applyAlignment="1" applyProtection="1">
      <alignment horizontal="left" vertical="center" wrapText="1"/>
    </xf>
    <xf numFmtId="0" fontId="308" fillId="0" borderId="3" xfId="0" applyFont="1" applyBorder="1" applyAlignment="1" applyProtection="1">
      <alignment horizontal="left" vertical="center" wrapText="1"/>
    </xf>
    <xf numFmtId="0" fontId="309" fillId="0" borderId="3" xfId="0" applyFont="1" applyBorder="1" applyAlignment="1" applyProtection="1">
      <alignment horizontal="left" vertical="center" wrapText="1"/>
    </xf>
    <xf numFmtId="0" fontId="310" fillId="0" borderId="3" xfId="0" applyFont="1" applyBorder="1" applyAlignment="1" applyProtection="1">
      <alignment horizontal="left" vertical="center" wrapText="1"/>
    </xf>
    <xf numFmtId="0" fontId="311" fillId="0" borderId="3" xfId="0" applyFont="1" applyBorder="1" applyAlignment="1" applyProtection="1">
      <alignment horizontal="left" vertical="center" wrapText="1"/>
    </xf>
    <xf numFmtId="0" fontId="313" fillId="0" borderId="3" xfId="0" applyFont="1" applyBorder="1" applyAlignment="1" applyProtection="1">
      <alignment horizontal="left" vertical="center" wrapText="1"/>
    </xf>
    <xf numFmtId="0" fontId="314" fillId="0" borderId="3" xfId="0" applyFont="1" applyBorder="1" applyAlignment="1" applyProtection="1">
      <alignment horizontal="left" vertical="center" wrapText="1"/>
    </xf>
    <xf numFmtId="0" fontId="315" fillId="0" borderId="3" xfId="0" applyFont="1" applyBorder="1" applyAlignment="1" applyProtection="1">
      <alignment horizontal="left" vertical="center" wrapText="1"/>
    </xf>
    <xf numFmtId="0" fontId="316" fillId="0" borderId="3" xfId="0" applyFont="1" applyBorder="1" applyAlignment="1" applyProtection="1">
      <alignment horizontal="left" vertical="center" wrapText="1"/>
    </xf>
    <xf numFmtId="0" fontId="317" fillId="0" borderId="3" xfId="0" applyFont="1" applyBorder="1" applyAlignment="1" applyProtection="1">
      <alignment horizontal="left" vertical="center" wrapText="1"/>
    </xf>
    <xf numFmtId="0" fontId="318" fillId="0" borderId="3" xfId="0" applyFont="1" applyBorder="1" applyAlignment="1" applyProtection="1">
      <alignment horizontal="left" vertical="center" wrapText="1"/>
    </xf>
    <xf numFmtId="0" fontId="320" fillId="0" borderId="3" xfId="0" applyFont="1" applyBorder="1" applyAlignment="1" applyProtection="1">
      <alignment horizontal="left" vertical="center" wrapText="1"/>
    </xf>
    <xf numFmtId="0" fontId="322" fillId="0" borderId="3" xfId="0" applyFont="1" applyBorder="1" applyAlignment="1" applyProtection="1">
      <alignment horizontal="left" vertical="center" wrapText="1"/>
    </xf>
    <xf numFmtId="0" fontId="324" fillId="0" borderId="3" xfId="0" applyFont="1" applyBorder="1" applyAlignment="1" applyProtection="1">
      <alignment horizontal="left" vertical="center" wrapText="1"/>
    </xf>
    <xf numFmtId="0" fontId="326" fillId="0" borderId="3" xfId="0" applyFont="1" applyBorder="1" applyAlignment="1" applyProtection="1">
      <alignment horizontal="left" vertical="center" wrapText="1"/>
    </xf>
    <xf numFmtId="0" fontId="327" fillId="0" borderId="3" xfId="0" applyFont="1" applyBorder="1" applyAlignment="1" applyProtection="1">
      <alignment horizontal="left" vertical="center" wrapText="1"/>
    </xf>
    <xf numFmtId="0" fontId="328" fillId="0" borderId="3" xfId="0" applyFont="1" applyBorder="1" applyAlignment="1" applyProtection="1">
      <alignment horizontal="left" vertical="center" wrapText="1"/>
    </xf>
    <xf numFmtId="0" fontId="329" fillId="0" borderId="3" xfId="0" applyFont="1" applyBorder="1" applyAlignment="1" applyProtection="1">
      <alignment horizontal="left" vertical="center" wrapText="1"/>
    </xf>
    <xf numFmtId="0" fontId="330" fillId="0" borderId="3" xfId="0" applyFont="1" applyBorder="1" applyAlignment="1" applyProtection="1">
      <alignment horizontal="left" vertical="center" wrapText="1"/>
    </xf>
    <xf numFmtId="0" fontId="331" fillId="0" borderId="3" xfId="0" applyFont="1" applyBorder="1" applyAlignment="1" applyProtection="1">
      <alignment horizontal="left" vertical="center" wrapText="1"/>
    </xf>
    <xf numFmtId="0" fontId="332" fillId="0" borderId="3" xfId="0" applyFont="1" applyBorder="1" applyAlignment="1" applyProtection="1">
      <alignment horizontal="left" vertical="center" wrapText="1"/>
    </xf>
    <xf numFmtId="0" fontId="333" fillId="0" borderId="3" xfId="0" applyFont="1" applyBorder="1" applyAlignment="1" applyProtection="1">
      <alignment horizontal="left" vertical="center" wrapText="1"/>
    </xf>
    <xf numFmtId="0" fontId="334" fillId="0" borderId="3" xfId="0" applyFont="1" applyBorder="1" applyAlignment="1" applyProtection="1">
      <alignment horizontal="left" vertical="center" wrapText="1"/>
    </xf>
    <xf numFmtId="0" fontId="335" fillId="0" borderId="3" xfId="0" applyFont="1" applyBorder="1" applyAlignment="1" applyProtection="1">
      <alignment horizontal="left" vertical="center" wrapText="1"/>
    </xf>
    <xf numFmtId="0" fontId="337" fillId="0" borderId="3" xfId="0" applyFont="1" applyBorder="1" applyAlignment="1" applyProtection="1">
      <alignment horizontal="left" vertical="center" wrapText="1"/>
    </xf>
    <xf numFmtId="0" fontId="338" fillId="0" borderId="3" xfId="0" applyFont="1" applyBorder="1" applyAlignment="1" applyProtection="1">
      <alignment vertical="center" wrapText="1"/>
    </xf>
    <xf numFmtId="0" fontId="339" fillId="0" borderId="3" xfId="0" applyFont="1" applyBorder="1" applyAlignment="1" applyProtection="1">
      <alignment horizontal="left" vertical="center" wrapText="1"/>
    </xf>
    <xf numFmtId="0" fontId="341" fillId="0" borderId="3" xfId="0" applyFont="1" applyBorder="1" applyAlignment="1" applyProtection="1">
      <alignment horizontal="left" vertical="center" wrapText="1"/>
    </xf>
    <xf numFmtId="0" fontId="342" fillId="0" borderId="3" xfId="0" applyFont="1" applyBorder="1" applyAlignment="1" applyProtection="1">
      <alignment horizontal="left" vertical="center" wrapText="1"/>
    </xf>
    <xf numFmtId="0" fontId="343" fillId="0" borderId="3" xfId="0" applyFont="1" applyBorder="1" applyAlignment="1" applyProtection="1">
      <alignment horizontal="left" vertical="center" wrapText="1"/>
    </xf>
    <xf numFmtId="0" fontId="344" fillId="0" borderId="3" xfId="0" applyFont="1" applyBorder="1" applyAlignment="1" applyProtection="1">
      <alignment horizontal="left" vertical="center" wrapText="1"/>
    </xf>
    <xf numFmtId="0" fontId="345" fillId="0" borderId="3" xfId="0" applyFont="1" applyBorder="1" applyAlignment="1" applyProtection="1">
      <alignment horizontal="left" vertical="center" wrapText="1"/>
    </xf>
    <xf numFmtId="0" fontId="347" fillId="0" borderId="3" xfId="0" applyFont="1" applyBorder="1" applyAlignment="1" applyProtection="1">
      <alignment horizontal="left" vertical="center" wrapText="1"/>
    </xf>
    <xf numFmtId="0" fontId="348" fillId="0" borderId="3" xfId="0" applyFont="1" applyBorder="1" applyAlignment="1" applyProtection="1">
      <alignment horizontal="left" vertical="center" wrapText="1"/>
    </xf>
    <xf numFmtId="0" fontId="349" fillId="0" borderId="3" xfId="0" applyFont="1" applyBorder="1" applyAlignment="1" applyProtection="1">
      <alignment horizontal="left" vertical="center" wrapText="1"/>
    </xf>
    <xf numFmtId="0" fontId="350" fillId="0" borderId="3" xfId="0" applyFont="1" applyBorder="1" applyAlignment="1" applyProtection="1">
      <alignment horizontal="left" vertical="center" wrapText="1"/>
    </xf>
    <xf numFmtId="0" fontId="352" fillId="0" borderId="3" xfId="0" applyFont="1" applyBorder="1" applyAlignment="1" applyProtection="1">
      <alignment horizontal="left" vertical="center" wrapText="1"/>
    </xf>
    <xf numFmtId="0" fontId="353" fillId="0" borderId="3" xfId="0" applyFont="1" applyBorder="1" applyAlignment="1" applyProtection="1">
      <alignment horizontal="left" vertical="center" wrapText="1"/>
    </xf>
    <xf numFmtId="0" fontId="354" fillId="0" borderId="3" xfId="0" applyFont="1" applyBorder="1" applyAlignment="1" applyProtection="1">
      <alignment horizontal="left" vertical="center" wrapText="1"/>
    </xf>
    <xf numFmtId="0" fontId="355" fillId="0" borderId="3" xfId="0" applyFont="1" applyBorder="1" applyAlignment="1" applyProtection="1">
      <alignment horizontal="left" vertical="center" wrapText="1"/>
    </xf>
    <xf numFmtId="0" fontId="356" fillId="0" borderId="3" xfId="0" applyFont="1" applyBorder="1" applyAlignment="1" applyProtection="1">
      <alignment horizontal="left" vertical="center" wrapText="1"/>
    </xf>
    <xf numFmtId="0" fontId="357" fillId="0" borderId="3" xfId="0" applyFont="1" applyBorder="1" applyAlignment="1" applyProtection="1">
      <alignment horizontal="left" vertical="center" wrapText="1"/>
    </xf>
    <xf numFmtId="0" fontId="359" fillId="0" borderId="3" xfId="0" applyFont="1" applyBorder="1" applyAlignment="1" applyProtection="1">
      <alignment horizontal="left" vertical="center" wrapText="1"/>
    </xf>
    <xf numFmtId="0" fontId="361" fillId="0" borderId="3" xfId="0" applyFont="1" applyBorder="1" applyAlignment="1" applyProtection="1">
      <alignment horizontal="left" vertical="center" wrapText="1"/>
    </xf>
    <xf numFmtId="0" fontId="363" fillId="0" borderId="3" xfId="0" applyFont="1" applyBorder="1" applyAlignment="1" applyProtection="1">
      <alignment horizontal="left" vertical="center" wrapText="1"/>
    </xf>
    <xf numFmtId="0" fontId="365" fillId="0" borderId="3" xfId="0" applyFont="1" applyBorder="1" applyAlignment="1" applyProtection="1">
      <alignment horizontal="left" vertical="center" wrapText="1"/>
    </xf>
    <xf numFmtId="0" fontId="366" fillId="0" borderId="3" xfId="0" applyFont="1" applyBorder="1" applyAlignment="1" applyProtection="1">
      <alignment horizontal="left" vertical="center" wrapText="1"/>
    </xf>
    <xf numFmtId="0" fontId="367" fillId="0" borderId="3" xfId="0" applyFont="1" applyBorder="1" applyAlignment="1" applyProtection="1">
      <alignment horizontal="left" vertical="center" wrapText="1"/>
    </xf>
    <xf numFmtId="0" fontId="368" fillId="0" borderId="3" xfId="0" applyFont="1" applyBorder="1" applyAlignment="1" applyProtection="1">
      <alignment horizontal="left" vertical="center" wrapText="1"/>
    </xf>
    <xf numFmtId="0" fontId="369" fillId="0" borderId="3" xfId="0" applyFont="1" applyBorder="1" applyAlignment="1" applyProtection="1">
      <alignment horizontal="left" vertical="center" wrapText="1"/>
    </xf>
    <xf numFmtId="0" fontId="370" fillId="0" borderId="3" xfId="0" applyFont="1" applyBorder="1" applyAlignment="1" applyProtection="1">
      <alignment horizontal="left" vertical="center" wrapText="1"/>
    </xf>
    <xf numFmtId="0" fontId="371" fillId="0" borderId="3" xfId="0" applyFont="1" applyBorder="1" applyAlignment="1" applyProtection="1">
      <alignment horizontal="left" vertical="center" wrapText="1"/>
    </xf>
    <xf numFmtId="0" fontId="372" fillId="0" borderId="3" xfId="0" applyFont="1" applyBorder="1" applyAlignment="1" applyProtection="1">
      <alignment horizontal="left" vertical="center" wrapText="1"/>
    </xf>
    <xf numFmtId="0" fontId="373" fillId="0" borderId="3" xfId="0" applyFont="1" applyBorder="1" applyAlignment="1" applyProtection="1">
      <alignment horizontal="left" vertical="center" wrapText="1"/>
    </xf>
    <xf numFmtId="0" fontId="374" fillId="0" borderId="3" xfId="0" applyFont="1" applyBorder="1" applyAlignment="1" applyProtection="1">
      <alignment horizontal="left" vertical="center" wrapText="1"/>
    </xf>
    <xf numFmtId="0" fontId="376" fillId="0" borderId="3" xfId="0" applyFont="1" applyBorder="1" applyAlignment="1" applyProtection="1">
      <alignment horizontal="left" vertical="center" wrapText="1"/>
    </xf>
    <xf numFmtId="0" fontId="377" fillId="0" borderId="3" xfId="0" applyFont="1" applyBorder="1" applyAlignment="1" applyProtection="1">
      <alignment vertical="center" wrapText="1"/>
    </xf>
    <xf numFmtId="0" fontId="378" fillId="0" borderId="3" xfId="0" applyFont="1" applyBorder="1" applyAlignment="1" applyProtection="1">
      <alignment horizontal="left" vertical="center" wrapText="1"/>
    </xf>
    <xf numFmtId="0" fontId="380" fillId="0" borderId="3" xfId="0" applyFont="1" applyBorder="1" applyAlignment="1" applyProtection="1">
      <alignment horizontal="left" vertical="center" wrapText="1"/>
    </xf>
    <xf numFmtId="0" fontId="381" fillId="0" borderId="3" xfId="0" applyFont="1" applyBorder="1" applyAlignment="1" applyProtection="1">
      <alignment horizontal="left" vertical="center" wrapText="1"/>
    </xf>
    <xf numFmtId="0" fontId="382" fillId="0" borderId="3" xfId="0" applyFont="1" applyBorder="1" applyAlignment="1" applyProtection="1">
      <alignment horizontal="left" vertical="center" wrapText="1"/>
    </xf>
    <xf numFmtId="0" fontId="383" fillId="0" borderId="3" xfId="0" applyFont="1" applyBorder="1" applyAlignment="1" applyProtection="1">
      <alignment horizontal="left" vertical="center" wrapText="1"/>
    </xf>
    <xf numFmtId="0" fontId="384" fillId="0" borderId="3" xfId="0" applyFont="1" applyBorder="1" applyAlignment="1" applyProtection="1">
      <alignment horizontal="left" vertical="center" wrapText="1"/>
    </xf>
    <xf numFmtId="0" fontId="386" fillId="0" borderId="3" xfId="0" applyFont="1" applyBorder="1" applyAlignment="1" applyProtection="1">
      <alignment horizontal="left" vertical="center" wrapText="1"/>
    </xf>
    <xf numFmtId="0" fontId="387" fillId="0" borderId="3" xfId="0" applyFont="1" applyBorder="1" applyAlignment="1" applyProtection="1">
      <alignment horizontal="left" vertical="center" wrapText="1"/>
    </xf>
    <xf numFmtId="0" fontId="388" fillId="0" borderId="3" xfId="0" applyFont="1" applyBorder="1" applyAlignment="1" applyProtection="1">
      <alignment horizontal="left" vertical="center" wrapText="1"/>
    </xf>
    <xf numFmtId="0" fontId="389" fillId="0" borderId="3" xfId="0" applyFont="1" applyBorder="1" applyAlignment="1" applyProtection="1">
      <alignment horizontal="left" vertical="center" wrapText="1"/>
    </xf>
    <xf numFmtId="0" fontId="391" fillId="0" borderId="3" xfId="0" applyFont="1" applyBorder="1" applyAlignment="1" applyProtection="1">
      <alignment horizontal="left" vertical="center" wrapText="1"/>
    </xf>
    <xf numFmtId="0" fontId="392" fillId="0" borderId="3" xfId="0" applyFont="1" applyBorder="1" applyAlignment="1" applyProtection="1">
      <alignment horizontal="left" vertical="center" wrapText="1"/>
    </xf>
    <xf numFmtId="0" fontId="393" fillId="0" borderId="3" xfId="0" applyFont="1" applyBorder="1" applyAlignment="1" applyProtection="1">
      <alignment horizontal="left" vertical="center" wrapText="1"/>
    </xf>
    <xf numFmtId="0" fontId="394" fillId="0" borderId="3" xfId="0" applyFont="1" applyBorder="1" applyAlignment="1" applyProtection="1">
      <alignment horizontal="left" vertical="center" wrapText="1"/>
    </xf>
    <xf numFmtId="0" fontId="395" fillId="0" borderId="3" xfId="0" applyFont="1" applyBorder="1" applyAlignment="1" applyProtection="1">
      <alignment horizontal="left" vertical="center" wrapText="1"/>
    </xf>
    <xf numFmtId="0" fontId="396" fillId="0" borderId="3" xfId="0" applyFont="1" applyBorder="1" applyAlignment="1" applyProtection="1">
      <alignment horizontal="left" vertical="center" wrapText="1"/>
    </xf>
    <xf numFmtId="0" fontId="398" fillId="0" borderId="3" xfId="0" applyFont="1" applyBorder="1" applyAlignment="1" applyProtection="1">
      <alignment horizontal="left" vertical="center" wrapText="1"/>
    </xf>
    <xf numFmtId="0" fontId="400" fillId="0" borderId="3" xfId="0" applyFont="1" applyBorder="1" applyAlignment="1" applyProtection="1">
      <alignment horizontal="left" vertical="center" wrapText="1"/>
    </xf>
    <xf numFmtId="0" fontId="402" fillId="0" borderId="3" xfId="0" applyFont="1" applyBorder="1" applyAlignment="1" applyProtection="1">
      <alignment horizontal="left" vertical="center" wrapText="1"/>
    </xf>
    <xf numFmtId="0" fontId="404" fillId="0" borderId="3" xfId="0" applyFont="1" applyBorder="1" applyAlignment="1" applyProtection="1">
      <alignment horizontal="left" vertical="center" wrapText="1"/>
    </xf>
    <xf numFmtId="0" fontId="405" fillId="0" borderId="3" xfId="0" applyFont="1" applyBorder="1" applyAlignment="1" applyProtection="1">
      <alignment horizontal="left" vertical="center" wrapText="1"/>
    </xf>
    <xf numFmtId="0" fontId="406" fillId="0" borderId="3" xfId="0" applyFont="1" applyBorder="1" applyAlignment="1" applyProtection="1">
      <alignment horizontal="left" vertical="center" wrapText="1"/>
    </xf>
    <xf numFmtId="0" fontId="407" fillId="0" borderId="3" xfId="0" applyFont="1" applyBorder="1" applyAlignment="1" applyProtection="1">
      <alignment horizontal="left" vertical="center" wrapText="1"/>
    </xf>
    <xf numFmtId="0" fontId="408" fillId="0" borderId="3" xfId="0" applyFont="1" applyBorder="1" applyAlignment="1" applyProtection="1">
      <alignment horizontal="left" vertical="center" wrapText="1"/>
    </xf>
    <xf numFmtId="0" fontId="409" fillId="0" borderId="3" xfId="0" applyFont="1" applyBorder="1" applyAlignment="1" applyProtection="1">
      <alignment horizontal="left" vertical="center" wrapText="1"/>
    </xf>
    <xf numFmtId="0" fontId="410" fillId="0" borderId="3" xfId="0" applyFont="1" applyBorder="1" applyAlignment="1" applyProtection="1">
      <alignment horizontal="left" vertical="center" wrapText="1"/>
    </xf>
    <xf numFmtId="0" fontId="411" fillId="0" borderId="3" xfId="0" applyFont="1" applyBorder="1" applyAlignment="1" applyProtection="1">
      <alignment horizontal="left" vertical="center" wrapText="1"/>
    </xf>
    <xf numFmtId="0" fontId="412" fillId="0" borderId="3" xfId="0" applyFont="1" applyBorder="1" applyAlignment="1" applyProtection="1">
      <alignment horizontal="left" vertical="center" wrapText="1"/>
    </xf>
    <xf numFmtId="0" fontId="413" fillId="0" borderId="3" xfId="0" applyFont="1" applyBorder="1" applyAlignment="1" applyProtection="1">
      <alignment horizontal="left" vertical="center" wrapText="1"/>
    </xf>
    <xf numFmtId="0" fontId="415" fillId="0" borderId="3" xfId="0" applyFont="1" applyBorder="1" applyAlignment="1" applyProtection="1">
      <alignment horizontal="left" vertical="center" wrapText="1"/>
    </xf>
    <xf numFmtId="0" fontId="416" fillId="0" borderId="3" xfId="0" applyFont="1" applyBorder="1" applyAlignment="1" applyProtection="1">
      <alignment horizontal="left" vertical="center" wrapText="1"/>
    </xf>
    <xf numFmtId="0" fontId="417" fillId="0" borderId="3" xfId="0" applyFont="1" applyBorder="1" applyAlignment="1" applyProtection="1">
      <alignment horizontal="left" vertical="center" wrapText="1"/>
    </xf>
    <xf numFmtId="0" fontId="418" fillId="0" borderId="1" xfId="0" applyFont="1" applyBorder="1" applyAlignment="1" applyProtection="1">
      <alignment horizontal="left" vertical="center" wrapText="1"/>
    </xf>
    <xf numFmtId="0" fontId="419" fillId="0" borderId="1" xfId="0" applyFont="1" applyBorder="1" applyAlignment="1" applyProtection="1">
      <alignment horizontal="left" vertical="center" wrapText="1"/>
    </xf>
    <xf numFmtId="0" fontId="421" fillId="0" borderId="3" xfId="0" applyFont="1" applyBorder="1" applyAlignment="1" applyProtection="1">
      <alignment horizontal="left" vertical="center" wrapText="1"/>
    </xf>
    <xf numFmtId="0" fontId="422" fillId="0" borderId="3" xfId="0" applyFont="1" applyBorder="1" applyAlignment="1" applyProtection="1">
      <alignment horizontal="left" vertical="center" wrapText="1"/>
    </xf>
    <xf numFmtId="0" fontId="423" fillId="0" borderId="3" xfId="0" applyFont="1" applyBorder="1" applyAlignment="1" applyProtection="1">
      <alignment horizontal="left" vertical="center" wrapText="1"/>
    </xf>
    <xf numFmtId="0" fontId="424" fillId="0" borderId="3" xfId="0" applyFont="1" applyBorder="1" applyAlignment="1" applyProtection="1">
      <alignment horizontal="left" vertical="center" wrapText="1"/>
    </xf>
    <xf numFmtId="0" fontId="425" fillId="0" borderId="3" xfId="0" applyFont="1" applyBorder="1" applyAlignment="1" applyProtection="1">
      <alignment horizontal="left" vertical="center" wrapText="1"/>
    </xf>
    <xf numFmtId="0" fontId="426" fillId="0" borderId="3" xfId="0" applyFont="1" applyBorder="1" applyAlignment="1" applyProtection="1">
      <alignment horizontal="left" vertical="center" wrapText="1"/>
    </xf>
    <xf numFmtId="0" fontId="427" fillId="0" borderId="3" xfId="0" applyFont="1" applyBorder="1" applyAlignment="1" applyProtection="1">
      <alignment horizontal="left" vertical="center" wrapText="1"/>
    </xf>
    <xf numFmtId="0" fontId="428" fillId="0" borderId="3" xfId="0" applyFont="1" applyBorder="1" applyAlignment="1" applyProtection="1">
      <alignment horizontal="left" vertical="center" wrapText="1"/>
    </xf>
    <xf numFmtId="0" fontId="429" fillId="0" borderId="3" xfId="0" applyFont="1" applyBorder="1" applyAlignment="1" applyProtection="1">
      <alignment horizontal="left" vertical="center" wrapText="1"/>
    </xf>
    <xf numFmtId="0" fontId="430" fillId="0" borderId="3" xfId="0" applyFont="1" applyBorder="1" applyAlignment="1" applyProtection="1">
      <alignment horizontal="left" vertical="center" wrapText="1"/>
    </xf>
    <xf numFmtId="0" fontId="431" fillId="0" borderId="3" xfId="0" applyFont="1" applyBorder="1" applyAlignment="1" applyProtection="1">
      <alignment horizontal="left" vertical="center" wrapText="1"/>
    </xf>
    <xf numFmtId="0" fontId="433" fillId="0" borderId="3" xfId="0" applyFont="1" applyBorder="1" applyAlignment="1" applyProtection="1">
      <alignment horizontal="left" vertical="center" wrapText="1"/>
    </xf>
    <xf numFmtId="0" fontId="434" fillId="0" borderId="3" xfId="0" applyFont="1" applyBorder="1" applyAlignment="1" applyProtection="1">
      <alignment horizontal="left" vertical="center" wrapText="1"/>
    </xf>
    <xf numFmtId="0" fontId="435" fillId="0" borderId="3" xfId="0" applyFont="1" applyBorder="1" applyAlignment="1" applyProtection="1">
      <alignment horizontal="left" vertical="center" wrapText="1"/>
    </xf>
    <xf numFmtId="0" fontId="436" fillId="0" borderId="3" xfId="0" applyFont="1" applyBorder="1" applyAlignment="1" applyProtection="1">
      <alignment horizontal="left" vertical="center" wrapText="1"/>
    </xf>
    <xf numFmtId="0" fontId="438" fillId="0" borderId="3" xfId="0" applyFont="1" applyBorder="1" applyAlignment="1" applyProtection="1">
      <alignment horizontal="left" vertical="center" wrapText="1"/>
    </xf>
    <xf numFmtId="0" fontId="439" fillId="0" borderId="3" xfId="0" applyFont="1" applyBorder="1" applyAlignment="1" applyProtection="1">
      <alignment horizontal="left" vertical="center" wrapText="1"/>
    </xf>
    <xf numFmtId="0" fontId="440" fillId="0" borderId="3" xfId="0" applyFont="1" applyBorder="1" applyAlignment="1" applyProtection="1">
      <alignment horizontal="left" vertical="center" wrapText="1"/>
    </xf>
    <xf numFmtId="0" fontId="441" fillId="0" borderId="3" xfId="0" applyFont="1" applyBorder="1" applyAlignment="1" applyProtection="1">
      <alignment horizontal="left" vertical="center" wrapText="1"/>
    </xf>
    <xf numFmtId="0" fontId="442" fillId="0" borderId="3" xfId="0" applyFont="1" applyBorder="1" applyAlignment="1" applyProtection="1">
      <alignment horizontal="left" vertical="center" wrapText="1"/>
    </xf>
    <xf numFmtId="0" fontId="443" fillId="0" borderId="3" xfId="0" applyFont="1" applyBorder="1" applyAlignment="1" applyProtection="1">
      <alignment horizontal="left" vertical="center" wrapText="1"/>
    </xf>
    <xf numFmtId="0" fontId="445" fillId="0" borderId="3" xfId="0" applyFont="1" applyBorder="1" applyAlignment="1" applyProtection="1">
      <alignment horizontal="left" vertical="center" wrapText="1"/>
    </xf>
    <xf numFmtId="0" fontId="447" fillId="0" borderId="3" xfId="0" applyFont="1" applyBorder="1" applyAlignment="1" applyProtection="1">
      <alignment horizontal="left" vertical="center" wrapText="1"/>
    </xf>
    <xf numFmtId="0" fontId="449" fillId="0" borderId="3" xfId="0" applyFont="1" applyBorder="1" applyAlignment="1" applyProtection="1">
      <alignment horizontal="left" vertical="center" wrapText="1"/>
    </xf>
    <xf numFmtId="0" fontId="451" fillId="0" borderId="3" xfId="0" applyFont="1" applyBorder="1" applyAlignment="1" applyProtection="1">
      <alignment horizontal="left" vertical="center" wrapText="1"/>
    </xf>
    <xf numFmtId="0" fontId="452" fillId="0" borderId="3" xfId="0" applyFont="1" applyBorder="1" applyAlignment="1" applyProtection="1">
      <alignment horizontal="left" vertical="center" wrapText="1"/>
    </xf>
    <xf numFmtId="0" fontId="453" fillId="0" borderId="3" xfId="0" applyFont="1" applyBorder="1" applyAlignment="1" applyProtection="1">
      <alignment horizontal="left" vertical="center" wrapText="1"/>
    </xf>
    <xf numFmtId="0" fontId="454" fillId="0" borderId="3" xfId="0" applyFont="1" applyBorder="1" applyAlignment="1" applyProtection="1">
      <alignment horizontal="left" vertical="center" wrapText="1"/>
    </xf>
    <xf numFmtId="0" fontId="455" fillId="0" borderId="3" xfId="0" applyFont="1" applyBorder="1" applyAlignment="1" applyProtection="1">
      <alignment horizontal="left" vertical="center" wrapText="1"/>
    </xf>
    <xf numFmtId="0" fontId="456" fillId="0" borderId="3" xfId="0" applyFont="1" applyBorder="1" applyAlignment="1" applyProtection="1">
      <alignment horizontal="left" vertical="center" wrapText="1"/>
    </xf>
    <xf numFmtId="0" fontId="459" fillId="0" borderId="3" xfId="0" applyFont="1" applyBorder="1" applyAlignment="1" applyProtection="1">
      <alignment horizontal="left" vertical="center" wrapText="1"/>
    </xf>
    <xf numFmtId="0" fontId="460" fillId="0" borderId="3" xfId="0" applyFont="1" applyBorder="1" applyAlignment="1" applyProtection="1">
      <alignment horizontal="left" vertical="center" wrapText="1"/>
    </xf>
    <xf numFmtId="0" fontId="461" fillId="0" borderId="3" xfId="0" applyFont="1" applyBorder="1" applyAlignment="1" applyProtection="1">
      <alignment horizontal="left" vertical="center" wrapText="1"/>
    </xf>
    <xf numFmtId="0" fontId="462" fillId="0" borderId="3" xfId="0" applyFont="1" applyBorder="1" applyAlignment="1" applyProtection="1">
      <alignment horizontal="left" vertical="center" wrapText="1"/>
    </xf>
    <xf numFmtId="0" fontId="463" fillId="0" borderId="3" xfId="0" applyFont="1" applyBorder="1" applyAlignment="1" applyProtection="1">
      <alignment horizontal="left" vertical="center" wrapText="1"/>
    </xf>
    <xf numFmtId="0" fontId="464" fillId="0" borderId="3" xfId="0" applyFont="1" applyBorder="1" applyAlignment="1" applyProtection="1">
      <alignment horizontal="left" vertical="center" wrapText="1"/>
    </xf>
    <xf numFmtId="0" fontId="465" fillId="0" borderId="3" xfId="0" applyFont="1" applyBorder="1" applyAlignment="1" applyProtection="1">
      <alignment horizontal="left" vertical="center" wrapText="1"/>
    </xf>
    <xf numFmtId="0" fontId="466" fillId="0" borderId="3" xfId="0" applyFont="1" applyBorder="1" applyAlignment="1" applyProtection="1">
      <alignment horizontal="left" vertical="center" wrapText="1"/>
    </xf>
    <xf numFmtId="0" fontId="467" fillId="0" borderId="3" xfId="0" applyFont="1" applyBorder="1" applyAlignment="1" applyProtection="1">
      <alignment horizontal="left" vertical="center" wrapText="1"/>
    </xf>
    <xf numFmtId="0" fontId="469" fillId="0" borderId="3" xfId="0" applyFont="1" applyBorder="1" applyAlignment="1" applyProtection="1">
      <alignment horizontal="left" vertical="center" wrapText="1"/>
    </xf>
    <xf numFmtId="0" fontId="470" fillId="0" borderId="3" xfId="0" applyFont="1" applyBorder="1" applyAlignment="1" applyProtection="1">
      <alignment horizontal="left" vertical="center" wrapText="1"/>
    </xf>
    <xf numFmtId="0" fontId="471" fillId="0" borderId="3" xfId="0" applyFont="1" applyBorder="1" applyAlignment="1" applyProtection="1">
      <alignment horizontal="left" vertical="center" wrapText="1"/>
    </xf>
    <xf numFmtId="0" fontId="473" fillId="0" borderId="3" xfId="0" applyFont="1" applyBorder="1" applyAlignment="1" applyProtection="1">
      <alignment horizontal="left" vertical="center" wrapText="1"/>
    </xf>
    <xf numFmtId="0" fontId="474" fillId="0" borderId="3" xfId="0" applyFont="1" applyBorder="1" applyAlignment="1" applyProtection="1">
      <alignment horizontal="left" vertical="center" wrapText="1"/>
    </xf>
    <xf numFmtId="0" fontId="475" fillId="0" borderId="3" xfId="0" applyFont="1" applyBorder="1" applyAlignment="1" applyProtection="1">
      <alignment horizontal="left" vertical="center" wrapText="1"/>
    </xf>
    <xf numFmtId="0" fontId="476" fillId="0" borderId="3" xfId="0" applyFont="1" applyBorder="1" applyAlignment="1" applyProtection="1">
      <alignment horizontal="left" vertical="center" wrapText="1"/>
    </xf>
    <xf numFmtId="0" fontId="477" fillId="0" borderId="3" xfId="0" applyFont="1" applyBorder="1" applyAlignment="1" applyProtection="1">
      <alignment horizontal="left" vertical="center" wrapText="1"/>
    </xf>
    <xf numFmtId="0" fontId="478" fillId="0" borderId="3" xfId="0" applyFont="1" applyBorder="1" applyAlignment="1" applyProtection="1">
      <alignment horizontal="left" vertical="center" wrapText="1"/>
    </xf>
    <xf numFmtId="0" fontId="480" fillId="0" borderId="3" xfId="0" applyFont="1" applyBorder="1" applyAlignment="1" applyProtection="1">
      <alignment horizontal="left" vertical="center" wrapText="1"/>
    </xf>
    <xf numFmtId="0" fontId="481" fillId="0" borderId="3" xfId="0" applyFont="1" applyBorder="1" applyAlignment="1" applyProtection="1">
      <alignment horizontal="left" vertical="center" wrapText="1"/>
    </xf>
    <xf numFmtId="0" fontId="482" fillId="0" borderId="3" xfId="0" applyFont="1" applyBorder="1" applyAlignment="1" applyProtection="1">
      <alignment horizontal="left" vertical="center" wrapText="1"/>
    </xf>
    <xf numFmtId="0" fontId="483" fillId="0" borderId="3" xfId="0" applyFont="1" applyBorder="1" applyAlignment="1" applyProtection="1">
      <alignment horizontal="left" vertical="center" wrapText="1"/>
    </xf>
    <xf numFmtId="0" fontId="485" fillId="0" borderId="1" xfId="0" applyFont="1" applyBorder="1" applyAlignment="1" applyProtection="1">
      <alignment horizontal="left" vertical="center" wrapText="1"/>
    </xf>
    <xf numFmtId="0" fontId="487" fillId="0" borderId="3" xfId="0" applyFont="1" applyBorder="1" applyAlignment="1" applyProtection="1">
      <alignment horizontal="left" vertical="center" wrapText="1"/>
    </xf>
    <xf numFmtId="0" fontId="488" fillId="0" borderId="1" xfId="0" applyFont="1" applyBorder="1" applyAlignment="1" applyProtection="1">
      <alignment horizontal="left" vertical="center" wrapText="1"/>
    </xf>
    <xf numFmtId="0" fontId="489" fillId="0" borderId="3" xfId="0" applyFont="1" applyBorder="1" applyAlignment="1" applyProtection="1">
      <alignment horizontal="left" vertical="center" wrapText="1"/>
    </xf>
    <xf numFmtId="0" fontId="490" fillId="0" borderId="3" xfId="0" applyFont="1" applyBorder="1" applyAlignment="1" applyProtection="1">
      <alignment horizontal="left" vertical="center" wrapText="1"/>
    </xf>
    <xf numFmtId="0" fontId="491" fillId="0" borderId="3" xfId="0" applyFont="1" applyBorder="1" applyAlignment="1" applyProtection="1">
      <alignment horizontal="left" vertical="center" wrapText="1"/>
    </xf>
    <xf numFmtId="0" fontId="492" fillId="0" borderId="3" xfId="0" applyFont="1" applyBorder="1" applyAlignment="1" applyProtection="1">
      <alignment horizontal="left" vertical="center" wrapText="1"/>
    </xf>
    <xf numFmtId="0" fontId="494" fillId="0" borderId="3" xfId="0" applyFont="1" applyBorder="1" applyAlignment="1" applyProtection="1">
      <alignment horizontal="left" vertical="center" wrapText="1"/>
    </xf>
    <xf numFmtId="0" fontId="496" fillId="0" borderId="0" xfId="0" applyFont="1" applyAlignment="1">
      <alignment vertical="center" wrapText="1"/>
    </xf>
    <xf numFmtId="0" fontId="497" fillId="0" borderId="3" xfId="0" applyFont="1" applyBorder="1" applyAlignment="1" applyProtection="1">
      <alignment vertical="center" wrapText="1"/>
    </xf>
    <xf numFmtId="0" fontId="498" fillId="0" borderId="3" xfId="0" applyFont="1" applyBorder="1" applyAlignment="1" applyProtection="1">
      <alignment vertical="center" wrapText="1"/>
    </xf>
    <xf numFmtId="0" fontId="499" fillId="0" borderId="3" xfId="0" applyFont="1" applyBorder="1" applyAlignment="1" applyProtection="1">
      <alignment vertical="center" wrapText="1"/>
    </xf>
    <xf numFmtId="0" fontId="500" fillId="0" borderId="3" xfId="0" applyFont="1" applyBorder="1" applyAlignment="1" applyProtection="1">
      <alignment vertical="center" wrapText="1"/>
    </xf>
    <xf numFmtId="0" fontId="501" fillId="0" borderId="3" xfId="0" applyFont="1" applyBorder="1" applyAlignment="1" applyProtection="1">
      <alignment vertical="center" wrapText="1"/>
    </xf>
    <xf numFmtId="0" fontId="502" fillId="0" borderId="0" xfId="0" applyFont="1" applyAlignment="1">
      <alignment vertical="center" wrapText="1"/>
    </xf>
    <xf numFmtId="0" fontId="503" fillId="0" borderId="3" xfId="0" applyFont="1" applyBorder="1" applyAlignment="1" applyProtection="1">
      <alignment vertical="center" wrapText="1"/>
    </xf>
    <xf numFmtId="0" fontId="504" fillId="0" borderId="3" xfId="0" applyFont="1" applyBorder="1" applyAlignment="1" applyProtection="1">
      <alignment vertical="center" wrapText="1"/>
    </xf>
    <xf numFmtId="0" fontId="505" fillId="0" borderId="3" xfId="0" applyFont="1" applyBorder="1" applyAlignment="1" applyProtection="1">
      <alignment horizontal="left" vertical="center" wrapText="1"/>
    </xf>
    <xf numFmtId="0" fontId="506" fillId="0" borderId="3" xfId="0" applyFont="1" applyBorder="1" applyAlignment="1" applyProtection="1">
      <alignment horizontal="left" vertical="center" wrapText="1"/>
    </xf>
    <xf numFmtId="0" fontId="507" fillId="0" borderId="3" xfId="0" applyFont="1" applyBorder="1" applyAlignment="1" applyProtection="1">
      <alignment vertical="center" wrapText="1"/>
    </xf>
    <xf numFmtId="0" fontId="508" fillId="0" borderId="3" xfId="0" applyFont="1" applyBorder="1" applyAlignment="1" applyProtection="1">
      <alignment horizontal="left" vertical="center" wrapText="1"/>
    </xf>
    <xf numFmtId="0" fontId="509" fillId="0" borderId="3" xfId="0" applyFont="1" applyBorder="1" applyAlignment="1" applyProtection="1">
      <alignment horizontal="left" vertical="center" wrapText="1"/>
    </xf>
    <xf numFmtId="0" fontId="510" fillId="0" borderId="3" xfId="0" applyFont="1" applyBorder="1" applyAlignment="1" applyProtection="1">
      <alignment horizontal="left" vertical="center" wrapText="1"/>
    </xf>
    <xf numFmtId="0" fontId="511" fillId="0" borderId="3" xfId="0" applyFont="1" applyBorder="1" applyAlignment="1" applyProtection="1">
      <alignment horizontal="left" vertical="center" wrapText="1"/>
    </xf>
    <xf numFmtId="0" fontId="512" fillId="0" borderId="3" xfId="0" applyFont="1" applyBorder="1" applyAlignment="1" applyProtection="1">
      <alignment horizontal="left" vertical="center" wrapText="1"/>
    </xf>
    <xf numFmtId="0" fontId="514" fillId="0" borderId="0" xfId="0" applyFont="1" applyAlignment="1">
      <alignment vertical="center" wrapText="1"/>
    </xf>
    <xf numFmtId="0" fontId="515" fillId="0" borderId="3" xfId="0" applyFont="1" applyBorder="1" applyAlignment="1" applyProtection="1">
      <alignment vertical="center" wrapText="1"/>
    </xf>
    <xf numFmtId="0" fontId="516" fillId="0" borderId="3" xfId="0" applyFont="1" applyBorder="1" applyAlignment="1" applyProtection="1">
      <alignment vertical="center" wrapText="1"/>
    </xf>
    <xf numFmtId="0" fontId="517" fillId="0" borderId="3" xfId="0" applyFont="1" applyBorder="1" applyAlignment="1" applyProtection="1">
      <alignment vertical="center" wrapText="1"/>
    </xf>
    <xf numFmtId="0" fontId="518" fillId="0" borderId="3" xfId="0" applyFont="1" applyBorder="1" applyAlignment="1" applyProtection="1">
      <alignment vertical="center" wrapText="1"/>
    </xf>
    <xf numFmtId="0" fontId="519" fillId="0" borderId="3" xfId="0" applyFont="1" applyBorder="1" applyAlignment="1" applyProtection="1">
      <alignment vertical="center" wrapText="1"/>
    </xf>
    <xf numFmtId="0" fontId="520" fillId="0" borderId="3" xfId="0" applyFont="1" applyBorder="1" applyAlignment="1" applyProtection="1">
      <alignment vertical="center" wrapText="1"/>
    </xf>
    <xf numFmtId="0" fontId="521" fillId="0" borderId="3" xfId="0" applyFont="1" applyBorder="1" applyAlignment="1" applyProtection="1">
      <alignment horizontal="left" vertical="center" wrapText="1"/>
    </xf>
    <xf numFmtId="0" fontId="522" fillId="0" borderId="3" xfId="0" applyFont="1" applyBorder="1" applyAlignment="1" applyProtection="1">
      <alignment horizontal="left" vertical="center" wrapText="1"/>
    </xf>
    <xf numFmtId="0" fontId="523" fillId="0" borderId="3" xfId="0" applyFont="1" applyBorder="1" applyAlignment="1" applyProtection="1">
      <alignment vertical="center" wrapText="1"/>
    </xf>
    <xf numFmtId="0" fontId="524" fillId="0" borderId="3" xfId="0" applyFont="1" applyBorder="1" applyAlignment="1" applyProtection="1">
      <alignment horizontal="left" vertical="center" wrapText="1"/>
    </xf>
    <xf numFmtId="0" fontId="525" fillId="0" borderId="3" xfId="0" applyFont="1" applyBorder="1" applyAlignment="1" applyProtection="1">
      <alignment horizontal="left" vertical="center" wrapText="1"/>
    </xf>
    <xf numFmtId="0" fontId="526" fillId="0" borderId="3" xfId="0" applyFont="1" applyBorder="1" applyAlignment="1" applyProtection="1">
      <alignment horizontal="left" vertical="center" wrapText="1"/>
    </xf>
    <xf numFmtId="0" fontId="527" fillId="0" borderId="3" xfId="0" applyFont="1" applyBorder="1" applyAlignment="1" applyProtection="1">
      <alignment horizontal="left" vertical="center" wrapText="1"/>
    </xf>
    <xf numFmtId="0" fontId="528" fillId="0" borderId="3" xfId="0" applyFont="1" applyBorder="1" applyAlignment="1" applyProtection="1">
      <alignment horizontal="left" vertical="center" wrapText="1"/>
    </xf>
    <xf numFmtId="0" fontId="529" fillId="0" borderId="3" xfId="0" applyFont="1" applyBorder="1" applyAlignment="1" applyProtection="1">
      <alignment horizontal="left" vertical="center" wrapText="1"/>
    </xf>
    <xf numFmtId="0" fontId="531" fillId="0" borderId="3" xfId="0" applyFont="1" applyBorder="1" applyAlignment="1" applyProtection="1">
      <alignment horizontal="left" vertical="center" wrapText="1"/>
    </xf>
    <xf numFmtId="0" fontId="532" fillId="0" borderId="1" xfId="0" applyFont="1" applyBorder="1" applyAlignment="1" applyProtection="1">
      <alignment horizontal="left" vertical="center" wrapText="1"/>
    </xf>
    <xf numFmtId="0" fontId="533" fillId="0" borderId="3" xfId="0" applyFont="1" applyBorder="1" applyAlignment="1" applyProtection="1">
      <alignment horizontal="left" vertical="center" wrapText="1"/>
    </xf>
    <xf numFmtId="0" fontId="537" fillId="0" borderId="3" xfId="0" applyFont="1" applyBorder="1" applyAlignment="1" applyProtection="1">
      <alignment horizontal="left" vertical="center" wrapText="1"/>
    </xf>
    <xf numFmtId="0" fontId="538" fillId="0" borderId="1" xfId="0" applyFont="1" applyBorder="1" applyAlignment="1" applyProtection="1">
      <alignment horizontal="left" vertical="center" wrapText="1"/>
    </xf>
    <xf numFmtId="0" fontId="539" fillId="0" borderId="3" xfId="0" applyFont="1" applyBorder="1" applyAlignment="1" applyProtection="1">
      <alignment horizontal="left" vertical="center" wrapText="1"/>
    </xf>
    <xf numFmtId="0" fontId="540" fillId="0" borderId="3" xfId="0" applyFont="1" applyBorder="1" applyAlignment="1" applyProtection="1">
      <alignment horizontal="left" vertical="center" wrapText="1"/>
    </xf>
    <xf numFmtId="0" fontId="541" fillId="0" borderId="3" xfId="0" applyFont="1" applyBorder="1" applyAlignment="1" applyProtection="1">
      <alignment horizontal="left" vertical="center" wrapText="1"/>
    </xf>
    <xf numFmtId="0" fontId="543" fillId="0" borderId="3" xfId="0" applyFont="1" applyBorder="1" applyAlignment="1" applyProtection="1">
      <alignment horizontal="left" vertical="center" wrapText="1"/>
    </xf>
    <xf numFmtId="0" fontId="545" fillId="0" borderId="0" xfId="0" applyFont="1" applyAlignment="1">
      <alignment vertical="center" wrapText="1"/>
    </xf>
    <xf numFmtId="0" fontId="546" fillId="0" borderId="3" xfId="0" applyFont="1" applyBorder="1" applyAlignment="1" applyProtection="1">
      <alignment vertical="center" wrapText="1"/>
    </xf>
    <xf numFmtId="0" fontId="547" fillId="0" borderId="3" xfId="0" applyFont="1" applyBorder="1" applyAlignment="1" applyProtection="1">
      <alignment vertical="center" wrapText="1"/>
    </xf>
    <xf numFmtId="0" fontId="548" fillId="0" borderId="3" xfId="0" applyFont="1" applyBorder="1" applyAlignment="1" applyProtection="1">
      <alignment vertical="center" wrapText="1"/>
    </xf>
    <xf numFmtId="0" fontId="549" fillId="0" borderId="3" xfId="0" applyFont="1" applyBorder="1" applyAlignment="1" applyProtection="1">
      <alignment vertical="center" wrapText="1"/>
    </xf>
    <xf numFmtId="0" fontId="550" fillId="0" borderId="3" xfId="0" applyFont="1" applyBorder="1" applyAlignment="1" applyProtection="1">
      <alignment vertical="center" wrapText="1"/>
    </xf>
    <xf numFmtId="0" fontId="551" fillId="0" borderId="0" xfId="0" applyFont="1" applyAlignment="1">
      <alignment vertical="center" wrapText="1"/>
    </xf>
    <xf numFmtId="0" fontId="552" fillId="0" borderId="3" xfId="0" applyFont="1" applyBorder="1" applyAlignment="1" applyProtection="1">
      <alignment vertical="center" wrapText="1"/>
    </xf>
    <xf numFmtId="0" fontId="553" fillId="0" borderId="3" xfId="0" applyFont="1" applyBorder="1" applyAlignment="1" applyProtection="1">
      <alignment vertical="center" wrapText="1"/>
    </xf>
    <xf numFmtId="0" fontId="554" fillId="0" borderId="3" xfId="0" applyFont="1" applyBorder="1" applyAlignment="1" applyProtection="1">
      <alignment horizontal="left" vertical="center" wrapText="1"/>
    </xf>
    <xf numFmtId="0" fontId="555" fillId="0" borderId="3" xfId="0" applyFont="1" applyBorder="1" applyAlignment="1" applyProtection="1">
      <alignment horizontal="left" vertical="center" wrapText="1"/>
    </xf>
    <xf numFmtId="0" fontId="556" fillId="0" borderId="3" xfId="0" applyFont="1" applyBorder="1" applyAlignment="1" applyProtection="1">
      <alignment vertical="center" wrapText="1"/>
    </xf>
    <xf numFmtId="0" fontId="557" fillId="0" borderId="3" xfId="0" applyFont="1" applyBorder="1" applyAlignment="1" applyProtection="1">
      <alignment horizontal="left" vertical="center" wrapText="1"/>
    </xf>
    <xf numFmtId="0" fontId="558" fillId="0" borderId="3" xfId="0" applyFont="1" applyBorder="1" applyAlignment="1" applyProtection="1">
      <alignment horizontal="left" vertical="center" wrapText="1"/>
    </xf>
    <xf numFmtId="0" fontId="559" fillId="0" borderId="3" xfId="0" applyFont="1" applyBorder="1" applyAlignment="1" applyProtection="1">
      <alignment horizontal="left" vertical="center" wrapText="1"/>
    </xf>
    <xf numFmtId="0" fontId="560" fillId="0" borderId="3" xfId="0" applyFont="1" applyBorder="1" applyAlignment="1" applyProtection="1">
      <alignment horizontal="left" vertical="center" wrapText="1"/>
    </xf>
    <xf numFmtId="0" fontId="561" fillId="0" borderId="3" xfId="0" applyFont="1" applyBorder="1" applyAlignment="1" applyProtection="1">
      <alignment horizontal="left" vertical="center" wrapText="1"/>
    </xf>
    <xf numFmtId="0" fontId="563" fillId="0" borderId="0" xfId="0" applyFont="1" applyAlignment="1">
      <alignment vertical="center" wrapText="1"/>
    </xf>
    <xf numFmtId="0" fontId="564" fillId="0" borderId="3" xfId="0" applyFont="1" applyBorder="1" applyAlignment="1" applyProtection="1">
      <alignment vertical="center" wrapText="1"/>
    </xf>
    <xf numFmtId="0" fontId="565" fillId="0" borderId="3" xfId="0" applyFont="1" applyBorder="1" applyAlignment="1" applyProtection="1">
      <alignment vertical="center" wrapText="1"/>
    </xf>
    <xf numFmtId="0" fontId="566" fillId="0" borderId="3" xfId="0" applyFont="1" applyBorder="1" applyAlignment="1" applyProtection="1">
      <alignment vertical="center" wrapText="1"/>
    </xf>
    <xf numFmtId="0" fontId="567" fillId="0" borderId="3" xfId="0" applyFont="1" applyBorder="1" applyAlignment="1" applyProtection="1">
      <alignment vertical="center" wrapText="1"/>
    </xf>
    <xf numFmtId="0" fontId="568" fillId="0" borderId="3" xfId="0" applyFont="1" applyBorder="1" applyAlignment="1" applyProtection="1">
      <alignment vertical="center" wrapText="1"/>
    </xf>
    <xf numFmtId="0" fontId="569" fillId="0" borderId="3" xfId="0" applyFont="1" applyBorder="1" applyAlignment="1" applyProtection="1">
      <alignment vertical="center" wrapText="1"/>
    </xf>
    <xf numFmtId="0" fontId="570" fillId="0" borderId="3" xfId="0" applyFont="1" applyBorder="1" applyAlignment="1" applyProtection="1">
      <alignment horizontal="left" vertical="center" wrapText="1"/>
    </xf>
    <xf numFmtId="0" fontId="571" fillId="0" borderId="3" xfId="0" applyFont="1" applyBorder="1" applyAlignment="1" applyProtection="1">
      <alignment horizontal="left" vertical="center" wrapText="1"/>
    </xf>
    <xf numFmtId="0" fontId="572" fillId="0" borderId="3" xfId="0" applyFont="1" applyBorder="1" applyAlignment="1" applyProtection="1">
      <alignment vertical="center" wrapText="1"/>
    </xf>
    <xf numFmtId="0" fontId="573" fillId="0" borderId="3" xfId="0" applyFont="1" applyBorder="1" applyAlignment="1" applyProtection="1">
      <alignment horizontal="left" vertical="center" wrapText="1"/>
    </xf>
    <xf numFmtId="0" fontId="574" fillId="0" borderId="3" xfId="0" applyFont="1" applyBorder="1" applyAlignment="1" applyProtection="1">
      <alignment horizontal="left" vertical="center" wrapText="1"/>
    </xf>
    <xf numFmtId="0" fontId="575" fillId="0" borderId="3" xfId="0" applyFont="1" applyBorder="1" applyAlignment="1" applyProtection="1">
      <alignment horizontal="left" vertical="center" wrapText="1"/>
    </xf>
    <xf numFmtId="0" fontId="576" fillId="0" borderId="3" xfId="0" applyFont="1" applyBorder="1" applyAlignment="1" applyProtection="1">
      <alignment horizontal="left" vertical="center" wrapText="1"/>
    </xf>
    <xf numFmtId="0" fontId="577" fillId="0" borderId="3" xfId="0" applyFont="1" applyBorder="1" applyAlignment="1" applyProtection="1">
      <alignment horizontal="left" vertical="center" wrapText="1"/>
    </xf>
    <xf numFmtId="0" fontId="578" fillId="0" borderId="3" xfId="0" applyFont="1" applyBorder="1" applyAlignment="1" applyProtection="1">
      <alignment horizontal="left" vertical="center" wrapText="1"/>
    </xf>
    <xf numFmtId="0" fontId="580" fillId="0" borderId="3" xfId="0" applyFont="1" applyBorder="1" applyAlignment="1" applyProtection="1">
      <alignment horizontal="left" vertical="center" wrapText="1"/>
    </xf>
    <xf numFmtId="0" fontId="581" fillId="0" borderId="1" xfId="0" applyFont="1" applyBorder="1" applyAlignment="1" applyProtection="1">
      <alignment horizontal="left" vertical="center" wrapText="1"/>
    </xf>
    <xf numFmtId="0" fontId="582" fillId="0" borderId="3" xfId="0" applyFont="1" applyBorder="1" applyAlignment="1" applyProtection="1">
      <alignment horizontal="left" vertical="center" wrapText="1"/>
    </xf>
    <xf numFmtId="0" fontId="584" fillId="0" borderId="3" xfId="0" applyFont="1" applyBorder="1" applyAlignment="1" applyProtection="1">
      <alignment horizontal="left" vertical="center" wrapText="1"/>
    </xf>
    <xf numFmtId="0" fontId="585" fillId="0" borderId="3" xfId="0" applyFont="1" applyBorder="1" applyAlignment="1" applyProtection="1">
      <alignment horizontal="left" vertical="center" wrapText="1"/>
    </xf>
    <xf numFmtId="0" fontId="586" fillId="0" borderId="3" xfId="0" applyFont="1" applyBorder="1" applyAlignment="1" applyProtection="1">
      <alignment horizontal="left" vertical="center" wrapText="1"/>
    </xf>
    <xf numFmtId="0" fontId="588" fillId="0" borderId="3" xfId="0" applyFont="1" applyBorder="1" applyAlignment="1" applyProtection="1">
      <alignment horizontal="left" vertical="center" wrapText="1"/>
    </xf>
    <xf numFmtId="0" fontId="589" fillId="0" borderId="3" xfId="0" applyFont="1" applyBorder="1" applyAlignment="1" applyProtection="1">
      <alignment horizontal="left" vertical="center" wrapText="1"/>
    </xf>
    <xf numFmtId="0" fontId="591" fillId="0" borderId="3" xfId="0" applyFont="1" applyBorder="1" applyAlignment="1" applyProtection="1">
      <alignment horizontal="left" vertical="center" wrapText="1"/>
    </xf>
    <xf numFmtId="0" fontId="592" fillId="0" borderId="3" xfId="0" applyFont="1" applyBorder="1" applyAlignment="1" applyProtection="1">
      <alignment horizontal="left" vertical="center" wrapText="1"/>
    </xf>
    <xf numFmtId="0" fontId="593" fillId="0" borderId="3" xfId="0" applyFont="1" applyBorder="1" applyAlignment="1" applyProtection="1">
      <alignment horizontal="left" vertical="center" wrapText="1"/>
    </xf>
    <xf numFmtId="0" fontId="594" fillId="0" borderId="3" xfId="0" applyFont="1" applyBorder="1" applyAlignment="1" applyProtection="1">
      <alignment horizontal="left" vertical="center" wrapText="1"/>
    </xf>
    <xf numFmtId="0" fontId="595" fillId="0" borderId="3" xfId="0" applyFont="1" applyBorder="1" applyAlignment="1" applyProtection="1">
      <alignment horizontal="left" vertical="center" wrapText="1"/>
    </xf>
    <xf numFmtId="0" fontId="596" fillId="0" borderId="3" xfId="0" applyFont="1" applyBorder="1" applyAlignment="1" applyProtection="1">
      <alignment horizontal="left" vertical="center" wrapText="1"/>
    </xf>
    <xf numFmtId="0" fontId="597" fillId="0" borderId="3" xfId="0" applyFont="1" applyBorder="1" applyAlignment="1" applyProtection="1">
      <alignment horizontal="left" vertical="top" wrapText="1"/>
    </xf>
    <xf numFmtId="0" fontId="9" fillId="0" borderId="4" xfId="0" applyFont="1" applyBorder="1" applyAlignment="1" applyProtection="1">
      <alignment horizontal="center" vertical="center" wrapText="1"/>
    </xf>
    <xf numFmtId="0" fontId="9" fillId="0" borderId="2" xfId="0" applyFont="1" applyBorder="1" applyProtection="1">
      <alignment vertical="center"/>
    </xf>
    <xf numFmtId="0" fontId="9" fillId="0" borderId="3" xfId="0" applyFont="1" applyBorder="1" applyProtection="1">
      <alignment vertical="center"/>
    </xf>
    <xf numFmtId="0" fontId="7" fillId="0" borderId="4" xfId="0" applyFont="1" applyBorder="1" applyAlignment="1" applyProtection="1">
      <alignment horizontal="center" vertical="center" wrapText="1"/>
    </xf>
    <xf numFmtId="0" fontId="7" fillId="0" borderId="2" xfId="0" applyFont="1" applyBorder="1" applyProtection="1">
      <alignment vertical="center"/>
    </xf>
    <xf numFmtId="0" fontId="7" fillId="0" borderId="3" xfId="0" applyFont="1" applyBorder="1" applyProtection="1">
      <alignment vertical="center"/>
    </xf>
    <xf numFmtId="0" fontId="7" fillId="0" borderId="1" xfId="0" applyFont="1" applyBorder="1" applyAlignment="1" applyProtection="1">
      <alignment horizontal="center" vertical="center" wrapText="1"/>
    </xf>
    <xf numFmtId="0" fontId="7" fillId="0" borderId="1" xfId="0" applyFont="1" applyBorder="1" applyAlignment="1" applyProtection="1">
      <alignment horizontal="left" vertical="center" wrapText="1"/>
    </xf>
    <xf numFmtId="0" fontId="9" fillId="0" borderId="1" xfId="0" applyFont="1" applyBorder="1" applyAlignment="1" applyProtection="1">
      <alignment horizontal="center" vertical="center" wrapText="1"/>
    </xf>
    <xf numFmtId="0" fontId="93" fillId="0" borderId="1" xfId="0" applyFont="1" applyBorder="1" applyAlignment="1" applyProtection="1">
      <alignment horizontal="left" vertical="center" wrapText="1"/>
    </xf>
    <xf numFmtId="0" fontId="9" fillId="0" borderId="2" xfId="0" applyFont="1" applyBorder="1" applyAlignment="1" applyProtection="1">
      <alignment horizontal="center" vertical="center" wrapText="1"/>
    </xf>
    <xf numFmtId="0" fontId="9" fillId="0" borderId="3" xfId="0" applyFont="1" applyBorder="1" applyAlignment="1" applyProtection="1">
      <alignment horizontal="center" vertical="center" wrapText="1"/>
    </xf>
    <xf numFmtId="0" fontId="115" fillId="0" borderId="1" xfId="0" applyFont="1" applyBorder="1" applyAlignment="1" applyProtection="1">
      <alignment horizontal="left" vertical="center" wrapText="1"/>
    </xf>
    <xf numFmtId="0" fontId="86" fillId="0" borderId="4" xfId="0" applyFont="1" applyBorder="1" applyAlignment="1" applyProtection="1">
      <alignment horizontal="left" vertical="center" wrapText="1"/>
    </xf>
    <xf numFmtId="0" fontId="50" fillId="0" borderId="1" xfId="0" applyFont="1" applyBorder="1" applyAlignment="1" applyProtection="1">
      <alignment horizontal="left" vertical="center" wrapText="1"/>
    </xf>
    <xf numFmtId="0" fontId="96" fillId="0" borderId="1" xfId="0" applyFont="1" applyBorder="1" applyAlignment="1" applyProtection="1">
      <alignment horizontal="left" vertical="center" wrapText="1"/>
    </xf>
    <xf numFmtId="0" fontId="587" fillId="0" borderId="1" xfId="0" applyFont="1" applyBorder="1" applyAlignment="1" applyProtection="1">
      <alignment horizontal="left" vertical="center" wrapText="1"/>
    </xf>
    <xf numFmtId="0" fontId="67" fillId="0" borderId="1" xfId="0" applyFont="1" applyBorder="1" applyAlignment="1" applyProtection="1">
      <alignment horizontal="left" vertical="center" wrapText="1"/>
    </xf>
    <xf numFmtId="0" fontId="420" fillId="0" borderId="4" xfId="0" applyFont="1" applyBorder="1" applyAlignment="1" applyProtection="1">
      <alignment horizontal="left" vertical="center" wrapText="1"/>
    </xf>
    <xf numFmtId="0" fontId="121" fillId="0" borderId="4" xfId="0" applyFont="1" applyBorder="1" applyAlignment="1" applyProtection="1">
      <alignment horizontal="left" vertical="center" wrapText="1"/>
    </xf>
    <xf numFmtId="0" fontId="42" fillId="0" borderId="4" xfId="0" applyFont="1" applyBorder="1" applyAlignment="1" applyProtection="1">
      <alignment horizontal="left" vertical="center" wrapText="1"/>
    </xf>
    <xf numFmtId="0" fontId="7" fillId="0" borderId="4" xfId="0" applyFont="1" applyBorder="1" applyAlignment="1" applyProtection="1">
      <alignment horizontal="left" vertical="center" wrapText="1"/>
    </xf>
    <xf numFmtId="0" fontId="7" fillId="0" borderId="2" xfId="0" applyFont="1" applyBorder="1" applyAlignment="1" applyProtection="1">
      <alignment horizontal="left" vertical="center" wrapText="1"/>
    </xf>
    <xf numFmtId="0" fontId="163" fillId="0" borderId="4" xfId="0" applyFont="1" applyBorder="1" applyAlignment="1" applyProtection="1">
      <alignment horizontal="left" vertical="center" wrapText="1"/>
    </xf>
    <xf numFmtId="0" fontId="23" fillId="0" borderId="1" xfId="0" applyFont="1" applyBorder="1" applyAlignment="1" applyProtection="1">
      <alignment horizontal="left" vertical="center" wrapText="1"/>
    </xf>
    <xf numFmtId="0" fontId="258" fillId="0" borderId="4" xfId="0" applyFont="1" applyBorder="1" applyAlignment="1" applyProtection="1">
      <alignment horizontal="left" vertical="center" wrapText="1"/>
    </xf>
    <xf numFmtId="0" fontId="55" fillId="0" borderId="10" xfId="0" applyFont="1" applyBorder="1" applyAlignment="1" applyProtection="1">
      <alignment horizontal="left" vertical="center" wrapText="1"/>
    </xf>
    <xf numFmtId="0" fontId="7" fillId="0" borderId="14" xfId="0" applyFont="1" applyBorder="1" applyProtection="1">
      <alignment vertical="center"/>
    </xf>
    <xf numFmtId="0" fontId="493" fillId="0" borderId="1" xfId="0" applyFont="1" applyBorder="1" applyAlignment="1" applyProtection="1">
      <alignment horizontal="left" vertical="center" wrapText="1"/>
    </xf>
    <xf numFmtId="0" fontId="72" fillId="0" borderId="1" xfId="0" applyFont="1" applyBorder="1" applyAlignment="1" applyProtection="1">
      <alignment horizontal="left" vertical="center" wrapText="1"/>
    </xf>
    <xf numFmtId="0" fontId="209" fillId="0" borderId="4" xfId="0" applyFont="1" applyBorder="1" applyAlignment="1" applyProtection="1">
      <alignment horizontal="left" vertical="center" wrapText="1"/>
    </xf>
    <xf numFmtId="0" fontId="83" fillId="0" borderId="1" xfId="0" applyFont="1" applyBorder="1" applyAlignment="1" applyProtection="1">
      <alignment horizontal="left" vertical="center" wrapText="1"/>
    </xf>
    <xf numFmtId="0" fontId="530" fillId="0" borderId="1" xfId="0" applyFont="1" applyBorder="1" applyAlignment="1" applyProtection="1">
      <alignment horizontal="left" vertical="center" wrapText="1"/>
    </xf>
    <xf numFmtId="0" fontId="117" fillId="0" borderId="4" xfId="0" applyFont="1" applyBorder="1" applyAlignment="1" applyProtection="1">
      <alignment horizontal="left" vertical="center" wrapText="1"/>
    </xf>
    <xf numFmtId="0" fontId="590" fillId="0" borderId="4" xfId="0" applyFont="1" applyBorder="1" applyAlignment="1" applyProtection="1">
      <alignment horizontal="left" vertical="center" wrapText="1"/>
    </xf>
    <xf numFmtId="0" fontId="583" fillId="0" borderId="1" xfId="0" applyFont="1" applyBorder="1" applyAlignment="1" applyProtection="1">
      <alignment horizontal="left" vertical="center" wrapText="1"/>
    </xf>
    <xf numFmtId="0" fontId="59" fillId="0" borderId="4" xfId="0" applyFont="1" applyBorder="1" applyAlignment="1" applyProtection="1">
      <alignment horizontal="left" vertical="center" wrapText="1"/>
    </xf>
    <xf numFmtId="0" fontId="16" fillId="0" borderId="2" xfId="0" applyFont="1" applyBorder="1" applyProtection="1">
      <alignment vertical="center"/>
    </xf>
    <xf numFmtId="0" fontId="52" fillId="0" borderId="4" xfId="0" applyFont="1" applyBorder="1" applyAlignment="1" applyProtection="1">
      <alignment horizontal="left" vertical="center" wrapText="1"/>
    </xf>
    <xf numFmtId="0" fontId="3" fillId="0" borderId="2" xfId="0" applyFont="1" applyBorder="1" applyProtection="1">
      <alignment vertical="center"/>
    </xf>
    <xf numFmtId="0" fontId="3" fillId="0" borderId="3" xfId="0" applyFont="1" applyBorder="1" applyProtection="1">
      <alignment vertical="center"/>
    </xf>
    <xf numFmtId="0" fontId="29" fillId="0" borderId="1" xfId="0" applyFont="1" applyBorder="1" applyAlignment="1" applyProtection="1">
      <alignment horizontal="left" vertical="center" wrapText="1"/>
    </xf>
    <xf numFmtId="0" fontId="35" fillId="0" borderId="1" xfId="0" applyFont="1" applyBorder="1" applyAlignment="1" applyProtection="1">
      <alignment horizontal="left" vertical="center" wrapText="1"/>
    </xf>
    <xf numFmtId="0" fontId="102" fillId="0" borderId="4" xfId="0" applyFont="1" applyBorder="1" applyAlignment="1" applyProtection="1">
      <alignment horizontal="left" vertical="center" wrapText="1"/>
    </xf>
    <xf numFmtId="0" fontId="148" fillId="0" borderId="4" xfId="0" applyFont="1" applyBorder="1" applyAlignment="1" applyProtection="1">
      <alignment horizontal="left" vertical="center" wrapText="1"/>
    </xf>
    <xf numFmtId="0" fontId="191" fillId="0" borderId="4" xfId="0" applyFont="1" applyBorder="1" applyAlignment="1" applyProtection="1">
      <alignment horizontal="left" vertical="center" wrapText="1"/>
    </xf>
    <xf numFmtId="0" fontId="243" fillId="0" borderId="4" xfId="0" applyFont="1" applyBorder="1" applyAlignment="1" applyProtection="1">
      <alignment horizontal="left" vertical="center" wrapText="1"/>
    </xf>
    <xf numFmtId="0" fontId="286" fillId="0" borderId="4" xfId="0" applyFont="1" applyBorder="1" applyAlignment="1" applyProtection="1">
      <alignment horizontal="left" vertical="center" wrapText="1"/>
    </xf>
    <xf numFmtId="0" fontId="301" fillId="0" borderId="4" xfId="0" applyFont="1" applyBorder="1" applyAlignment="1" applyProtection="1">
      <alignment horizontal="left" vertical="center" wrapText="1"/>
    </xf>
    <xf numFmtId="0" fontId="307" fillId="0" borderId="1" xfId="0" applyFont="1" applyBorder="1" applyAlignment="1" applyProtection="1">
      <alignment horizontal="left" vertical="center" wrapText="1"/>
    </xf>
    <xf numFmtId="0" fontId="319" fillId="0" borderId="1" xfId="0" applyFont="1" applyBorder="1" applyAlignment="1" applyProtection="1">
      <alignment horizontal="left" vertical="center" wrapText="1"/>
    </xf>
    <xf numFmtId="0" fontId="321" fillId="0" borderId="1" xfId="0" applyFont="1" applyBorder="1" applyAlignment="1" applyProtection="1">
      <alignment horizontal="left" vertical="center" wrapText="1"/>
    </xf>
    <xf numFmtId="0" fontId="323" fillId="0" borderId="1" xfId="0" applyFont="1" applyBorder="1" applyAlignment="1" applyProtection="1">
      <alignment horizontal="left" vertical="center" wrapText="1"/>
    </xf>
    <xf numFmtId="0" fontId="325" fillId="0" borderId="4" xfId="0" applyFont="1" applyBorder="1" applyAlignment="1" applyProtection="1">
      <alignment horizontal="left" vertical="center" wrapText="1"/>
    </xf>
    <xf numFmtId="0" fontId="340" fillId="0" borderId="4" xfId="0" applyFont="1" applyBorder="1" applyAlignment="1" applyProtection="1">
      <alignment horizontal="left" vertical="center" wrapText="1"/>
    </xf>
    <xf numFmtId="0" fontId="358" fillId="0" borderId="1" xfId="0" applyFont="1" applyBorder="1" applyAlignment="1" applyProtection="1">
      <alignment horizontal="left" vertical="center" wrapText="1"/>
    </xf>
    <xf numFmtId="0" fontId="360" fillId="0" borderId="1" xfId="0" applyFont="1" applyBorder="1" applyAlignment="1" applyProtection="1">
      <alignment horizontal="left" vertical="center" wrapText="1"/>
    </xf>
    <xf numFmtId="0" fontId="362" fillId="0" borderId="1" xfId="0" applyFont="1" applyBorder="1" applyAlignment="1" applyProtection="1">
      <alignment horizontal="left" vertical="center" wrapText="1"/>
    </xf>
    <xf numFmtId="0" fontId="379" fillId="0" borderId="4" xfId="0" applyFont="1" applyBorder="1" applyAlignment="1" applyProtection="1">
      <alignment horizontal="left" vertical="center" wrapText="1"/>
    </xf>
    <xf numFmtId="0" fontId="397" fillId="0" borderId="1" xfId="0" applyFont="1" applyBorder="1" applyAlignment="1" applyProtection="1">
      <alignment horizontal="left" vertical="center" wrapText="1"/>
    </xf>
    <xf numFmtId="0" fontId="399" fillId="0" borderId="1" xfId="0" applyFont="1" applyBorder="1" applyAlignment="1" applyProtection="1">
      <alignment horizontal="left" vertical="center" wrapText="1"/>
    </xf>
    <xf numFmtId="0" fontId="401" fillId="0" borderId="1" xfId="0" applyFont="1" applyBorder="1" applyAlignment="1" applyProtection="1">
      <alignment horizontal="left" vertical="center" wrapText="1"/>
    </xf>
    <xf numFmtId="0" fontId="403" fillId="0" borderId="4" xfId="0" applyFont="1" applyBorder="1" applyAlignment="1" applyProtection="1">
      <alignment horizontal="left" vertical="center" wrapText="1"/>
    </xf>
    <xf numFmtId="0" fontId="444" fillId="0" borderId="1" xfId="0" applyFont="1" applyBorder="1" applyAlignment="1" applyProtection="1">
      <alignment horizontal="left" vertical="center" wrapText="1"/>
    </xf>
    <xf numFmtId="0" fontId="446" fillId="0" borderId="1" xfId="0" applyFont="1" applyBorder="1" applyAlignment="1" applyProtection="1">
      <alignment horizontal="left" vertical="center" wrapText="1"/>
    </xf>
    <xf numFmtId="0" fontId="448" fillId="0" borderId="1" xfId="0" applyFont="1" applyBorder="1" applyAlignment="1" applyProtection="1">
      <alignment horizontal="left" vertical="center" wrapText="1"/>
    </xf>
    <xf numFmtId="0" fontId="472" fillId="0" borderId="4" xfId="0" applyFont="1" applyBorder="1" applyAlignment="1" applyProtection="1">
      <alignment horizontal="left" vertical="center" wrapText="1"/>
    </xf>
    <xf numFmtId="0" fontId="132" fillId="0" borderId="4" xfId="0" applyFont="1" applyBorder="1" applyAlignment="1" applyProtection="1">
      <alignment horizontal="left" vertical="center" wrapText="1"/>
    </xf>
    <xf numFmtId="0" fontId="139" fillId="0" borderId="1" xfId="0" applyFont="1" applyBorder="1" applyAlignment="1" applyProtection="1">
      <alignment horizontal="left" vertical="center" wrapText="1"/>
    </xf>
    <xf numFmtId="0" fontId="182" fillId="0" borderId="1" xfId="0" applyFont="1" applyBorder="1" applyAlignment="1" applyProtection="1">
      <alignment horizontal="left" vertical="center" wrapText="1"/>
    </xf>
    <xf numFmtId="0" fontId="234" fillId="0" borderId="1" xfId="0" applyFont="1" applyBorder="1" applyAlignment="1" applyProtection="1">
      <alignment horizontal="left" vertical="center" wrapText="1"/>
    </xf>
    <xf numFmtId="0" fontId="277" fillId="0" borderId="1" xfId="0" applyFont="1" applyBorder="1" applyAlignment="1" applyProtection="1">
      <alignment horizontal="left" vertical="center" wrapText="1"/>
    </xf>
    <xf numFmtId="0" fontId="142" fillId="0" borderId="1" xfId="0" applyFont="1" applyBorder="1" applyAlignment="1" applyProtection="1">
      <alignment horizontal="left" vertical="center" wrapText="1"/>
    </xf>
    <xf numFmtId="0" fontId="185" fillId="0" borderId="1" xfId="0" applyFont="1" applyBorder="1" applyAlignment="1" applyProtection="1">
      <alignment horizontal="left" vertical="center" wrapText="1"/>
    </xf>
    <xf numFmtId="0" fontId="188" fillId="0" borderId="1" xfId="0" applyFont="1" applyBorder="1" applyAlignment="1" applyProtection="1">
      <alignment horizontal="left" vertical="center" wrapText="1"/>
    </xf>
    <xf numFmtId="0" fontId="237" fillId="0" borderId="1" xfId="0" applyFont="1" applyBorder="1" applyAlignment="1" applyProtection="1">
      <alignment horizontal="left" vertical="center" wrapText="1"/>
    </xf>
    <xf numFmtId="0" fontId="240" fillId="0" borderId="1" xfId="0" applyFont="1" applyBorder="1" applyAlignment="1" applyProtection="1">
      <alignment horizontal="left" vertical="center" wrapText="1"/>
    </xf>
    <xf numFmtId="0" fontId="280" fillId="0" borderId="1" xfId="0" applyFont="1" applyBorder="1" applyAlignment="1" applyProtection="1">
      <alignment horizontal="left" vertical="center" wrapText="1"/>
    </xf>
    <xf numFmtId="0" fontId="283" fillId="0" borderId="1" xfId="0" applyFont="1" applyBorder="1" applyAlignment="1" applyProtection="1">
      <alignment horizontal="left" vertical="center" wrapText="1"/>
    </xf>
    <xf numFmtId="0" fontId="159" fillId="0" borderId="10" xfId="0" applyFont="1" applyBorder="1" applyAlignment="1" applyProtection="1">
      <alignment horizontal="left" vertical="center" wrapText="1"/>
    </xf>
    <xf numFmtId="0" fontId="203" fillId="0" borderId="10" xfId="0" applyFont="1" applyBorder="1" applyAlignment="1" applyProtection="1">
      <alignment horizontal="left" vertical="center" wrapText="1"/>
    </xf>
    <xf numFmtId="0" fontId="254" fillId="0" borderId="10" xfId="0" applyFont="1" applyBorder="1" applyAlignment="1" applyProtection="1">
      <alignment horizontal="left" vertical="center" wrapText="1"/>
    </xf>
    <xf numFmtId="0" fontId="297" fillId="0" borderId="10" xfId="0" applyFont="1" applyBorder="1" applyAlignment="1" applyProtection="1">
      <alignment horizontal="left" vertical="center" wrapText="1"/>
    </xf>
    <xf numFmtId="0" fontId="336" fillId="0" borderId="10" xfId="0" applyFont="1" applyBorder="1" applyAlignment="1" applyProtection="1">
      <alignment horizontal="left" vertical="center" wrapText="1"/>
    </xf>
    <xf numFmtId="0" fontId="375" fillId="0" borderId="10" xfId="0" applyFont="1" applyBorder="1" applyAlignment="1" applyProtection="1">
      <alignment horizontal="left" vertical="center" wrapText="1"/>
    </xf>
    <xf numFmtId="0" fontId="414" fillId="0" borderId="10" xfId="0" applyFont="1" applyBorder="1" applyAlignment="1" applyProtection="1">
      <alignment horizontal="left" vertical="center" wrapText="1"/>
    </xf>
    <xf numFmtId="0" fontId="468" fillId="0" borderId="10" xfId="0" applyFont="1" applyBorder="1" applyAlignment="1" applyProtection="1">
      <alignment horizontal="left" vertical="center" wrapText="1"/>
    </xf>
    <xf numFmtId="0" fontId="364" fillId="0" borderId="4" xfId="0" applyFont="1" applyBorder="1" applyAlignment="1" applyProtection="1">
      <alignment horizontal="left" vertical="center" wrapText="1"/>
    </xf>
    <xf numFmtId="0" fontId="450" fillId="0" borderId="4" xfId="0" applyFont="1" applyBorder="1" applyAlignment="1" applyProtection="1">
      <alignment horizontal="left" vertical="center" wrapText="1"/>
    </xf>
    <xf numFmtId="0" fontId="486" fillId="0" borderId="4" xfId="0" applyFont="1" applyBorder="1" applyAlignment="1" applyProtection="1">
      <alignment horizontal="left" vertical="center" wrapText="1"/>
    </xf>
    <xf numFmtId="0" fontId="513" fillId="0" borderId="1" xfId="0" applyFont="1" applyBorder="1" applyAlignment="1" applyProtection="1">
      <alignment horizontal="left" vertical="center" wrapText="1"/>
    </xf>
    <xf numFmtId="0" fontId="346" fillId="0" borderId="1" xfId="0" applyFont="1" applyBorder="1" applyAlignment="1" applyProtection="1">
      <alignment horizontal="left" vertical="center" wrapText="1"/>
    </xf>
    <xf numFmtId="0" fontId="385" fillId="0" borderId="1" xfId="0" applyFont="1" applyBorder="1" applyAlignment="1" applyProtection="1">
      <alignment horizontal="left" vertical="center" wrapText="1"/>
    </xf>
    <xf numFmtId="0" fontId="432" fillId="0" borderId="1" xfId="0" applyFont="1" applyBorder="1" applyAlignment="1" applyProtection="1">
      <alignment horizontal="left" vertical="center" wrapText="1"/>
    </xf>
    <xf numFmtId="0" fontId="479" fillId="0" borderId="1" xfId="0" applyFont="1" applyBorder="1" applyAlignment="1" applyProtection="1">
      <alignment horizontal="left" vertical="center" wrapText="1"/>
    </xf>
    <xf numFmtId="0" fontId="99" fillId="0" borderId="1" xfId="0" applyFont="1" applyBorder="1" applyAlignment="1" applyProtection="1">
      <alignment horizontal="left" vertical="center" wrapText="1"/>
    </xf>
    <xf numFmtId="0" fontId="145" fillId="0" borderId="1" xfId="0" applyFont="1" applyBorder="1" applyAlignment="1" applyProtection="1">
      <alignment horizontal="left" vertical="center" wrapText="1"/>
    </xf>
    <xf numFmtId="0" fontId="127" fillId="0" borderId="1" xfId="0" applyFont="1" applyBorder="1" applyAlignment="1" applyProtection="1">
      <alignment horizontal="left" vertical="center" wrapText="1"/>
    </xf>
    <xf numFmtId="0" fontId="169" fillId="0" borderId="1" xfId="0" applyFont="1" applyBorder="1" applyAlignment="1" applyProtection="1">
      <alignment horizontal="left" vertical="center" wrapText="1"/>
    </xf>
    <xf numFmtId="0" fontId="221" fillId="0" borderId="1" xfId="0" applyFont="1" applyBorder="1" applyAlignment="1" applyProtection="1">
      <alignment horizontal="left" vertical="center" wrapText="1"/>
    </xf>
    <xf numFmtId="0" fontId="264" fillId="0" borderId="1" xfId="0" applyFont="1" applyBorder="1" applyAlignment="1" applyProtection="1">
      <alignment horizontal="left" vertical="center" wrapText="1"/>
    </xf>
    <xf numFmtId="0" fontId="175" fillId="0" borderId="4" xfId="0" applyFont="1" applyBorder="1" applyAlignment="1" applyProtection="1">
      <alignment horizontal="left" vertical="center" wrapText="1"/>
    </xf>
    <xf numFmtId="0" fontId="227" fillId="0" borderId="4" xfId="0" applyFont="1" applyBorder="1" applyAlignment="1" applyProtection="1">
      <alignment horizontal="left" vertical="center" wrapText="1"/>
    </xf>
    <xf numFmtId="0" fontId="270" fillId="0" borderId="4" xfId="0" applyFont="1" applyBorder="1" applyAlignment="1" applyProtection="1">
      <alignment horizontal="left" vertical="center" wrapText="1"/>
    </xf>
    <xf numFmtId="0" fontId="312" fillId="0" borderId="4" xfId="0" applyFont="1" applyBorder="1" applyAlignment="1" applyProtection="1">
      <alignment horizontal="left" vertical="center" wrapText="1"/>
    </xf>
    <xf numFmtId="0" fontId="351" fillId="0" borderId="4" xfId="0" applyFont="1" applyBorder="1" applyAlignment="1" applyProtection="1">
      <alignment horizontal="left" vertical="center" wrapText="1"/>
    </xf>
    <xf numFmtId="0" fontId="390" fillId="0" borderId="4" xfId="0" applyFont="1" applyBorder="1" applyAlignment="1" applyProtection="1">
      <alignment horizontal="left" vertical="center" wrapText="1"/>
    </xf>
    <xf numFmtId="0" fontId="437" fillId="0" borderId="4" xfId="0" applyFont="1" applyBorder="1" applyAlignment="1" applyProtection="1">
      <alignment horizontal="left" vertical="center" wrapText="1"/>
    </xf>
    <xf numFmtId="0" fontId="579" fillId="0" borderId="1" xfId="0" applyFont="1" applyBorder="1" applyAlignment="1" applyProtection="1">
      <alignment horizontal="left" vertical="center" wrapText="1"/>
    </xf>
    <xf numFmtId="0" fontId="536" fillId="0" borderId="4" xfId="0" applyFont="1" applyBorder="1" applyAlignment="1" applyProtection="1">
      <alignment horizontal="left" vertical="center" wrapText="1"/>
    </xf>
    <xf numFmtId="0" fontId="542" fillId="0" borderId="1" xfId="0" applyFont="1" applyBorder="1" applyAlignment="1" applyProtection="1">
      <alignment horizontal="left" vertical="center" wrapText="1"/>
    </xf>
    <xf numFmtId="0" fontId="7" fillId="0" borderId="0" xfId="0" applyFont="1" applyAlignment="1">
      <alignment horizontal="left" vertical="center" wrapText="1"/>
    </xf>
    <xf numFmtId="0" fontId="7" fillId="0" borderId="8" xfId="0" applyFont="1" applyBorder="1" applyAlignment="1" applyProtection="1">
      <alignment horizontal="left" vertical="center" wrapText="1"/>
    </xf>
    <xf numFmtId="0" fontId="7" fillId="0" borderId="2" xfId="0" applyFont="1" applyBorder="1" applyAlignment="1" applyProtection="1">
      <alignment horizontal="center" vertical="center" wrapText="1"/>
    </xf>
    <xf numFmtId="0" fontId="7" fillId="0" borderId="3" xfId="0" applyFont="1" applyBorder="1" applyAlignment="1" applyProtection="1">
      <alignment horizontal="center" vertical="center" wrapText="1"/>
    </xf>
    <xf numFmtId="2" fontId="7" fillId="2" borderId="4" xfId="0" applyNumberFormat="1" applyFont="1" applyFill="1" applyBorder="1" applyAlignment="1" applyProtection="1">
      <alignment horizontal="center" vertical="center" wrapText="1"/>
    </xf>
    <xf numFmtId="2" fontId="7" fillId="2" borderId="2" xfId="0" applyNumberFormat="1" applyFont="1" applyFill="1" applyBorder="1" applyAlignment="1" applyProtection="1">
      <alignment horizontal="center" vertical="center" wrapText="1"/>
    </xf>
    <xf numFmtId="2" fontId="7" fillId="2" borderId="3" xfId="0" applyNumberFormat="1" applyFont="1" applyFill="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2" xfId="0" applyFont="1" applyBorder="1" applyAlignment="1" applyProtection="1">
      <alignment horizontal="center" vertical="center" wrapText="1"/>
    </xf>
    <xf numFmtId="0" fontId="6" fillId="0" borderId="3" xfId="0" applyFont="1" applyBorder="1" applyAlignment="1" applyProtection="1">
      <alignment horizontal="center" vertical="center" wrapText="1"/>
    </xf>
    <xf numFmtId="0" fontId="20" fillId="0" borderId="0" xfId="0" applyFont="1" applyAlignment="1">
      <alignment horizontal="left" vertical="center"/>
    </xf>
    <xf numFmtId="0" fontId="19" fillId="0" borderId="0" xfId="0" applyFont="1" applyAlignment="1">
      <alignment horizontal="left" vertical="center"/>
    </xf>
    <xf numFmtId="0" fontId="8" fillId="0" borderId="0" xfId="0" applyFont="1" applyAlignment="1">
      <alignment horizontal="left" vertical="center"/>
    </xf>
    <xf numFmtId="0" fontId="21" fillId="0" borderId="0" xfId="0" applyFont="1" applyAlignment="1">
      <alignment horizontal="left" vertical="center"/>
    </xf>
    <xf numFmtId="0" fontId="21" fillId="0" borderId="3" xfId="0" applyFont="1" applyBorder="1" applyProtection="1">
      <alignment vertical="center"/>
    </xf>
    <xf numFmtId="0" fontId="23" fillId="7" borderId="1" xfId="0" applyFont="1" applyFill="1" applyBorder="1" applyAlignment="1" applyProtection="1">
      <alignment horizontal="left" vertical="center" wrapText="1"/>
    </xf>
    <xf numFmtId="0" fontId="535" fillId="0" borderId="1" xfId="0" applyFont="1" applyBorder="1" applyAlignment="1" applyProtection="1">
      <alignment horizontal="left" vertical="center"/>
    </xf>
  </cellXfs>
  <cellStyles count="1">
    <cellStyle name="常规" xfId="0" builtinId="0"/>
  </cellStyles>
  <dxfs count="105">
    <dxf>
      <font>
        <color rgb="FFBD101E"/>
      </font>
      <fill>
        <patternFill>
          <bgColor rgb="FFFBC8CF"/>
        </patternFill>
      </fill>
    </dxf>
    <dxf>
      <font>
        <color rgb="FF9C0006"/>
      </font>
      <fill>
        <patternFill>
          <bgColor rgb="FFFFC7CE"/>
        </patternFill>
      </fill>
    </dxf>
    <dxf>
      <font>
        <color rgb="FF9C6500"/>
      </font>
      <fill>
        <patternFill>
          <bgColor rgb="FFFFEB9C"/>
        </patternFill>
      </fill>
    </dxf>
    <dxf>
      <fill>
        <patternFill>
          <bgColor rgb="FFFF0000"/>
        </patternFill>
      </fill>
    </dxf>
    <dxf>
      <font>
        <color rgb="FFBD101E"/>
      </font>
      <fill>
        <patternFill>
          <bgColor rgb="FFFBC8C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A8D08D"/>
        </patternFill>
      </fill>
    </dxf>
    <dxf>
      <fill>
        <patternFill>
          <bgColor rgb="FFA8D08D"/>
        </patternFill>
      </fill>
    </dxf>
    <dxf>
      <fill>
        <patternFill>
          <bgColor rgb="FFA8D08D"/>
        </patternFill>
      </fill>
    </dxf>
    <dxf>
      <fill>
        <patternFill>
          <bgColor rgb="FFA8D08D"/>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C5E0B3"/>
        </patternFill>
      </fill>
    </dxf>
    <dxf>
      <fill>
        <patternFill>
          <bgColor rgb="FFFF0000"/>
        </patternFill>
      </fill>
    </dxf>
    <dxf>
      <fill>
        <patternFill>
          <bgColor rgb="FFFF0000"/>
        </patternFill>
      </fill>
    </dxf>
    <dxf>
      <fill>
        <patternFill>
          <bgColor rgb="FFFF0000"/>
        </patternFill>
      </fill>
    </dxf>
    <dxf>
      <fill>
        <patternFill>
          <bgColor rgb="FFA8D08D"/>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E2EFD9"/>
        </patternFill>
      </fill>
    </dxf>
    <dxf>
      <fill>
        <patternFill>
          <bgColor rgb="FFFF0000"/>
        </patternFill>
      </fill>
    </dxf>
    <dxf>
      <fill>
        <patternFill>
          <bgColor rgb="FFE2EFD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A8D08D"/>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L1064"/>
  <sheetViews>
    <sheetView tabSelected="1" workbookViewId="0">
      <pane xSplit="2" ySplit="1" topLeftCell="C1049" activePane="bottomRight" state="frozen"/>
      <selection pane="topRight"/>
      <selection pane="bottomLeft"/>
      <selection pane="bottomRight" activeCell="D1014" sqref="D1014"/>
    </sheetView>
  </sheetViews>
  <sheetFormatPr defaultColWidth="8.875" defaultRowHeight="30" customHeight="1" outlineLevelCol="1"/>
  <cols>
    <col min="1" max="1" width="13.125" style="89" customWidth="1"/>
    <col min="2" max="2" width="70" style="108" customWidth="1"/>
    <col min="3" max="3" width="12.625" style="75" customWidth="1"/>
    <col min="4" max="4" width="30.875" style="84" customWidth="1"/>
    <col min="5" max="5" width="70" style="74" customWidth="1" collapsed="1"/>
    <col min="6" max="7" width="5.625" style="105" hidden="1" customWidth="1" outlineLevel="1"/>
    <col min="8" max="8" width="7.125" style="105" hidden="1" customWidth="1" outlineLevel="1"/>
    <col min="9" max="9" width="30.625" style="84" customWidth="1"/>
    <col min="10" max="10" width="70.875" style="84" customWidth="1" collapsed="1"/>
    <col min="11" max="11" width="5.625" style="105" hidden="1" customWidth="1" outlineLevel="1"/>
    <col min="12" max="12" width="8" style="105" hidden="1" customWidth="1" outlineLevel="1"/>
    <col min="13" max="13" width="6.125" style="105" customWidth="1"/>
    <col min="14" max="14" width="21.5" style="74" customWidth="1" outlineLevel="1"/>
    <col min="15" max="15" width="13.125" style="74" customWidth="1" outlineLevel="1"/>
    <col min="16" max="16" width="8.875" style="74" customWidth="1" outlineLevel="1"/>
    <col min="17" max="17" width="23.625" style="74" customWidth="1" outlineLevel="1"/>
    <col min="18" max="18" width="15.625" style="74" customWidth="1" outlineLevel="1"/>
    <col min="19" max="21" width="8.875" style="74" customWidth="1" outlineLevel="1"/>
    <col min="22" max="22" width="9.625" style="74" customWidth="1" outlineLevel="1"/>
    <col min="23" max="38" width="8.875" style="76"/>
  </cols>
  <sheetData>
    <row r="1" spans="1:22" ht="45" customHeight="1">
      <c r="A1" s="84" t="s">
        <v>0</v>
      </c>
      <c r="B1" s="109" t="s">
        <v>1</v>
      </c>
      <c r="C1" s="105" t="s">
        <v>2</v>
      </c>
      <c r="D1" s="105" t="s">
        <v>3</v>
      </c>
      <c r="E1" s="105" t="s">
        <v>4</v>
      </c>
      <c r="F1" s="105" t="s">
        <v>5</v>
      </c>
      <c r="G1" s="105" t="s">
        <v>6</v>
      </c>
      <c r="H1" s="105" t="s">
        <v>7</v>
      </c>
      <c r="I1" s="105" t="s">
        <v>8</v>
      </c>
      <c r="J1" s="105" t="s">
        <v>4</v>
      </c>
      <c r="K1" s="105" t="s">
        <v>6</v>
      </c>
      <c r="L1" s="105" t="s">
        <v>7</v>
      </c>
      <c r="M1" s="105" t="s">
        <v>9</v>
      </c>
      <c r="N1" s="105" t="s">
        <v>10</v>
      </c>
      <c r="O1" s="105" t="s">
        <v>11</v>
      </c>
      <c r="P1" s="105" t="s">
        <v>12</v>
      </c>
      <c r="Q1" s="105" t="s">
        <v>13</v>
      </c>
      <c r="R1" s="110" t="s">
        <v>14</v>
      </c>
      <c r="S1" s="54" t="s">
        <v>15</v>
      </c>
      <c r="T1" s="105" t="s">
        <v>16</v>
      </c>
      <c r="U1" s="84" t="s">
        <v>17</v>
      </c>
      <c r="V1" s="84" t="s">
        <v>18</v>
      </c>
    </row>
    <row r="2" spans="1:22" ht="45" customHeight="1">
      <c r="A2" s="89" t="s">
        <v>19</v>
      </c>
      <c r="C2" s="74"/>
      <c r="D2" s="74"/>
      <c r="F2" s="105" t="str">
        <f t="shared" ref="F2:H7" si="0">IFERROR(IF(FIND("开",F1,1),"开","关"),"关")</f>
        <v>关</v>
      </c>
      <c r="G2" s="105" t="str">
        <f t="shared" si="0"/>
        <v>关</v>
      </c>
      <c r="H2" s="105" t="str">
        <f t="shared" si="0"/>
        <v>关</v>
      </c>
      <c r="K2" s="105" t="str">
        <f t="shared" ref="K2:L4" si="1">IFERROR(IF(FIND("开",K1,1),"开","关"),"关")</f>
        <v>关</v>
      </c>
      <c r="L2" s="105" t="str">
        <f t="shared" si="1"/>
        <v>关</v>
      </c>
      <c r="T2" s="75" t="str">
        <f>IF(ISBLANK(A2),T1,LEFT(A2,FIND(" ",A2,1)-1))</f>
        <v>3.0</v>
      </c>
    </row>
    <row r="3" spans="1:22" ht="45" customHeight="1">
      <c r="A3" s="603" t="s">
        <v>20</v>
      </c>
      <c r="B3" s="619" t="s">
        <v>21</v>
      </c>
      <c r="C3" s="105" t="s">
        <v>8</v>
      </c>
      <c r="D3" s="105"/>
      <c r="E3" s="105"/>
      <c r="F3" s="105" t="str">
        <f t="shared" si="0"/>
        <v>关</v>
      </c>
      <c r="G3" s="105" t="str">
        <f t="shared" si="0"/>
        <v>关</v>
      </c>
      <c r="H3" s="105" t="str">
        <f t="shared" si="0"/>
        <v>关</v>
      </c>
      <c r="I3" s="106" t="s">
        <v>22</v>
      </c>
      <c r="J3" s="122" t="s">
        <v>23</v>
      </c>
      <c r="K3" s="105" t="str">
        <f t="shared" si="1"/>
        <v>关</v>
      </c>
      <c r="L3" s="105" t="str">
        <f t="shared" si="1"/>
        <v>关</v>
      </c>
      <c r="M3" s="601">
        <v>1</v>
      </c>
      <c r="N3" s="75" t="s">
        <v>24</v>
      </c>
      <c r="O3" s="75" t="str">
        <f>MID(J3,FIND("setting",J3,1)+8,FIND("kg",J3,1)-FIND("setting",J3,1)-8)</f>
        <v xml:space="preserve"> 369.85</v>
      </c>
      <c r="Q3" s="75" t="str">
        <f>SUBSTITUTE(T3&amp;N3," ","")</f>
        <v>3DMF</v>
      </c>
      <c r="R3" s="74">
        <f>VLOOKUP(Q3,MOR投料表!A:L,9,FALSE)</f>
        <v>369.85</v>
      </c>
      <c r="T3" s="75">
        <v>3</v>
      </c>
      <c r="U3" s="74" t="b">
        <f>TEXT(O3,"0.00")=TEXT(R3,"0.00")</f>
        <v>1</v>
      </c>
    </row>
    <row r="4" spans="1:22" ht="45" customHeight="1">
      <c r="A4" s="603"/>
      <c r="B4" s="602"/>
      <c r="C4" s="105" t="s">
        <v>8</v>
      </c>
      <c r="D4" s="105"/>
      <c r="E4" s="104"/>
      <c r="F4" s="105" t="str">
        <f t="shared" si="0"/>
        <v>关</v>
      </c>
      <c r="G4" s="105" t="str">
        <f t="shared" si="0"/>
        <v>关</v>
      </c>
      <c r="H4" s="105" t="str">
        <f t="shared" si="0"/>
        <v>关</v>
      </c>
      <c r="I4" s="106" t="s">
        <v>25</v>
      </c>
      <c r="J4" s="101" t="s">
        <v>26</v>
      </c>
      <c r="K4" s="105" t="str">
        <f t="shared" si="1"/>
        <v>关</v>
      </c>
      <c r="L4" s="105" t="str">
        <f t="shared" si="1"/>
        <v>关</v>
      </c>
      <c r="M4" s="601"/>
      <c r="N4" s="75"/>
      <c r="O4" s="75"/>
      <c r="P4" s="75"/>
      <c r="R4" s="112"/>
      <c r="T4" s="75">
        <f t="shared" ref="T4:T13" si="2">IF(ISBLANK(A4),T3,LEFT(A4,FIND(" ",A4,1)-1))</f>
        <v>3</v>
      </c>
    </row>
    <row r="5" spans="1:22" ht="45" customHeight="1">
      <c r="A5" s="603"/>
      <c r="B5" s="602"/>
      <c r="C5" s="105" t="s">
        <v>8</v>
      </c>
      <c r="D5" s="105"/>
      <c r="E5" s="104"/>
      <c r="F5" s="105" t="str">
        <f t="shared" si="0"/>
        <v>关</v>
      </c>
      <c r="G5" s="105" t="str">
        <f t="shared" si="0"/>
        <v>关</v>
      </c>
      <c r="H5" s="105" t="str">
        <f t="shared" si="0"/>
        <v>关</v>
      </c>
      <c r="I5" s="106" t="s">
        <v>27</v>
      </c>
      <c r="J5" s="101" t="s">
        <v>28</v>
      </c>
      <c r="K5" s="105" t="s">
        <v>29</v>
      </c>
      <c r="L5" s="105" t="str">
        <f t="shared" ref="L5:L37" si="3">IFERROR(IF(FIND("开",L4,1),"开","关"),"关")</f>
        <v>关</v>
      </c>
      <c r="M5" s="601"/>
      <c r="N5" s="75"/>
      <c r="O5" s="75"/>
      <c r="T5" s="75">
        <f t="shared" si="2"/>
        <v>3</v>
      </c>
    </row>
    <row r="6" spans="1:22" ht="45" customHeight="1">
      <c r="A6" s="603"/>
      <c r="B6" s="602"/>
      <c r="C6" s="105" t="s">
        <v>30</v>
      </c>
      <c r="D6" s="106" t="s">
        <v>31</v>
      </c>
      <c r="E6" s="123" t="s">
        <v>32</v>
      </c>
      <c r="F6" s="105" t="str">
        <f t="shared" si="0"/>
        <v>关</v>
      </c>
      <c r="G6" s="105" t="str">
        <f t="shared" si="0"/>
        <v>关</v>
      </c>
      <c r="H6" s="105" t="str">
        <f t="shared" si="0"/>
        <v>关</v>
      </c>
      <c r="I6" s="106"/>
      <c r="J6" s="101"/>
      <c r="K6" s="105" t="str">
        <f t="shared" ref="K6:K15" si="4">IFERROR(IF(FIND("开",K5,1),"开","关"),"关")</f>
        <v>关</v>
      </c>
      <c r="L6" s="105" t="str">
        <f t="shared" si="3"/>
        <v>关</v>
      </c>
      <c r="M6" s="601"/>
      <c r="T6" s="75">
        <f t="shared" si="2"/>
        <v>3</v>
      </c>
    </row>
    <row r="7" spans="1:22" ht="45" customHeight="1">
      <c r="A7" s="603"/>
      <c r="B7" s="602"/>
      <c r="C7" s="105" t="s">
        <v>30</v>
      </c>
      <c r="D7" s="106" t="s">
        <v>33</v>
      </c>
      <c r="E7" s="101" t="s">
        <v>34</v>
      </c>
      <c r="F7" s="105" t="str">
        <f t="shared" si="0"/>
        <v>关</v>
      </c>
      <c r="G7" s="105" t="str">
        <f t="shared" si="0"/>
        <v>关</v>
      </c>
      <c r="H7" s="105" t="str">
        <f t="shared" si="0"/>
        <v>关</v>
      </c>
      <c r="I7" s="106"/>
      <c r="J7" s="101"/>
      <c r="K7" s="105" t="str">
        <f t="shared" si="4"/>
        <v>关</v>
      </c>
      <c r="L7" s="105" t="str">
        <f t="shared" si="3"/>
        <v>关</v>
      </c>
      <c r="M7" s="601"/>
      <c r="T7" s="75">
        <f t="shared" si="2"/>
        <v>3</v>
      </c>
    </row>
    <row r="8" spans="1:22" ht="45" customHeight="1">
      <c r="A8" s="603"/>
      <c r="B8" s="602"/>
      <c r="C8" s="105" t="s">
        <v>3</v>
      </c>
      <c r="D8" s="106" t="s">
        <v>35</v>
      </c>
      <c r="E8" s="124" t="s">
        <v>36</v>
      </c>
      <c r="F8" s="105" t="s">
        <v>37</v>
      </c>
      <c r="G8" s="105" t="str">
        <f>IFERROR(IF(FIND("开",G7,1),"开","关"),"关")</f>
        <v>关</v>
      </c>
      <c r="H8" s="105" t="str">
        <f>IFERROR(IF(FIND("开",H7,1),"开","关"),"关")</f>
        <v>关</v>
      </c>
      <c r="I8" s="106"/>
      <c r="J8" s="101"/>
      <c r="K8" s="105" t="str">
        <f t="shared" si="4"/>
        <v>关</v>
      </c>
      <c r="L8" s="105" t="str">
        <f t="shared" si="3"/>
        <v>关</v>
      </c>
      <c r="M8" s="601"/>
      <c r="T8" s="75">
        <f t="shared" si="2"/>
        <v>3</v>
      </c>
    </row>
    <row r="9" spans="1:22" ht="45" customHeight="1">
      <c r="A9" s="603"/>
      <c r="B9" s="602"/>
      <c r="C9" s="105" t="s">
        <v>3</v>
      </c>
      <c r="D9" s="106" t="s">
        <v>38</v>
      </c>
      <c r="E9" s="125" t="s">
        <v>39</v>
      </c>
      <c r="F9" s="105" t="str">
        <f>IFERROR(IF(FIND("开",F8,1),"开","关"),"关")</f>
        <v>开</v>
      </c>
      <c r="G9" s="105" t="s">
        <v>29</v>
      </c>
      <c r="H9" s="105" t="str">
        <f t="shared" ref="H9:H24" si="5">IFERROR(IF(FIND("开",H8,1),"开","关"),"关")</f>
        <v>关</v>
      </c>
      <c r="I9" s="106"/>
      <c r="J9" s="101"/>
      <c r="K9" s="105" t="str">
        <f t="shared" si="4"/>
        <v>关</v>
      </c>
      <c r="L9" s="105" t="str">
        <f t="shared" si="3"/>
        <v>关</v>
      </c>
      <c r="M9" s="601"/>
      <c r="T9" s="75">
        <f t="shared" si="2"/>
        <v>3</v>
      </c>
    </row>
    <row r="10" spans="1:22" ht="45" customHeight="1">
      <c r="A10" s="603"/>
      <c r="B10" s="602"/>
      <c r="C10" s="105" t="s">
        <v>3</v>
      </c>
      <c r="D10" s="106" t="s">
        <v>40</v>
      </c>
      <c r="E10" s="101" t="s">
        <v>41</v>
      </c>
      <c r="F10" s="105" t="s">
        <v>42</v>
      </c>
      <c r="G10" s="105" t="str">
        <f t="shared" ref="G10:G19" si="6">IFERROR(IF(FIND("开",G9,1),"开","关"),"关")</f>
        <v>关</v>
      </c>
      <c r="H10" s="105" t="str">
        <f t="shared" si="5"/>
        <v>关</v>
      </c>
      <c r="I10" s="106"/>
      <c r="J10" s="101"/>
      <c r="K10" s="105" t="str">
        <f t="shared" si="4"/>
        <v>关</v>
      </c>
      <c r="L10" s="105" t="str">
        <f t="shared" si="3"/>
        <v>关</v>
      </c>
      <c r="M10" s="601"/>
      <c r="T10" s="75">
        <f t="shared" si="2"/>
        <v>3</v>
      </c>
    </row>
    <row r="11" spans="1:22" ht="45" customHeight="1">
      <c r="A11" s="603"/>
      <c r="B11" s="602"/>
      <c r="C11" s="105" t="s">
        <v>3</v>
      </c>
      <c r="D11" s="106" t="s">
        <v>43</v>
      </c>
      <c r="E11" s="101" t="s">
        <v>44</v>
      </c>
      <c r="F11" s="105" t="str">
        <f t="shared" ref="F11:F18" si="7">IFERROR(IF(FIND("开",F10,1),"开","关"),"关")</f>
        <v>关</v>
      </c>
      <c r="G11" s="105" t="str">
        <f t="shared" si="6"/>
        <v>关</v>
      </c>
      <c r="H11" s="105" t="str">
        <f t="shared" si="5"/>
        <v>关</v>
      </c>
      <c r="I11" s="106"/>
      <c r="J11" s="101"/>
      <c r="K11" s="105" t="str">
        <f t="shared" si="4"/>
        <v>关</v>
      </c>
      <c r="L11" s="105" t="str">
        <f t="shared" si="3"/>
        <v>关</v>
      </c>
      <c r="M11" s="601"/>
      <c r="N11" s="75"/>
      <c r="O11" s="75"/>
      <c r="T11" s="75">
        <f t="shared" si="2"/>
        <v>3</v>
      </c>
    </row>
    <row r="12" spans="1:22" ht="45" customHeight="1">
      <c r="A12" s="603"/>
      <c r="B12" s="602"/>
      <c r="C12" s="105" t="s">
        <v>3</v>
      </c>
      <c r="D12" s="106" t="s">
        <v>45</v>
      </c>
      <c r="E12" s="126" t="s">
        <v>46</v>
      </c>
      <c r="F12" s="105" t="str">
        <f t="shared" si="7"/>
        <v>关</v>
      </c>
      <c r="G12" s="105" t="str">
        <f t="shared" si="6"/>
        <v>关</v>
      </c>
      <c r="H12" s="105" t="str">
        <f t="shared" si="5"/>
        <v>关</v>
      </c>
      <c r="I12" s="75"/>
      <c r="J12" s="104"/>
      <c r="K12" s="105" t="str">
        <f t="shared" si="4"/>
        <v>关</v>
      </c>
      <c r="L12" s="105" t="str">
        <f t="shared" si="3"/>
        <v>关</v>
      </c>
      <c r="M12" s="601"/>
      <c r="T12" s="75">
        <f t="shared" si="2"/>
        <v>3</v>
      </c>
    </row>
    <row r="13" spans="1:22" ht="45" customHeight="1">
      <c r="A13" s="89" t="s">
        <v>47</v>
      </c>
      <c r="C13" s="74"/>
      <c r="D13" s="74"/>
      <c r="F13" s="105" t="str">
        <f t="shared" si="7"/>
        <v>关</v>
      </c>
      <c r="G13" s="105" t="str">
        <f t="shared" si="6"/>
        <v>关</v>
      </c>
      <c r="H13" s="105" t="str">
        <f t="shared" si="5"/>
        <v>关</v>
      </c>
      <c r="K13" s="105" t="str">
        <f t="shared" si="4"/>
        <v>关</v>
      </c>
      <c r="L13" s="105" t="str">
        <f t="shared" si="3"/>
        <v>关</v>
      </c>
      <c r="T13" s="75" t="str">
        <f t="shared" si="2"/>
        <v>☐3.0</v>
      </c>
    </row>
    <row r="14" spans="1:22" ht="45" customHeight="1">
      <c r="A14" s="603" t="s">
        <v>48</v>
      </c>
      <c r="B14" s="636" t="s">
        <v>21</v>
      </c>
      <c r="C14" s="105" t="s">
        <v>8</v>
      </c>
      <c r="D14" s="105"/>
      <c r="E14" s="105"/>
      <c r="F14" s="105" t="str">
        <f t="shared" si="7"/>
        <v>关</v>
      </c>
      <c r="G14" s="105" t="str">
        <f t="shared" si="6"/>
        <v>关</v>
      </c>
      <c r="H14" s="105" t="str">
        <f t="shared" si="5"/>
        <v>关</v>
      </c>
      <c r="I14" s="106" t="s">
        <v>22</v>
      </c>
      <c r="J14" s="127" t="s">
        <v>23</v>
      </c>
      <c r="K14" s="105" t="str">
        <f t="shared" si="4"/>
        <v>关</v>
      </c>
      <c r="L14" s="105" t="str">
        <f t="shared" si="3"/>
        <v>关</v>
      </c>
      <c r="M14" s="601">
        <v>1</v>
      </c>
      <c r="N14" s="75" t="s">
        <v>24</v>
      </c>
      <c r="O14" s="75" t="str">
        <f>MID(J14,FIND("setting",J14,1)+8,FIND("kg",J14,1)-FIND("setting",J14,1)-8)</f>
        <v xml:space="preserve"> 369.85</v>
      </c>
      <c r="Q14" s="75" t="str">
        <f>SUBSTITUTE(T14&amp;N14," ","")</f>
        <v>3DMF</v>
      </c>
      <c r="R14" s="74">
        <f>VLOOKUP(Q14,MOR投料表!A:L,9,FALSE)</f>
        <v>369.85</v>
      </c>
      <c r="T14" s="75">
        <v>3</v>
      </c>
      <c r="U14" s="74" t="b">
        <f>TEXT(O14,"0.00")=TEXT(R14,"0.00")</f>
        <v>1</v>
      </c>
    </row>
    <row r="15" spans="1:22" ht="45" customHeight="1">
      <c r="A15" s="603"/>
      <c r="B15" s="602"/>
      <c r="C15" s="105" t="s">
        <v>8</v>
      </c>
      <c r="D15" s="105"/>
      <c r="E15" s="104"/>
      <c r="F15" s="105" t="str">
        <f t="shared" si="7"/>
        <v>关</v>
      </c>
      <c r="G15" s="105" t="str">
        <f t="shared" si="6"/>
        <v>关</v>
      </c>
      <c r="H15" s="105" t="str">
        <f t="shared" si="5"/>
        <v>关</v>
      </c>
      <c r="I15" s="106" t="s">
        <v>25</v>
      </c>
      <c r="J15" s="101" t="s">
        <v>26</v>
      </c>
      <c r="K15" s="105" t="str">
        <f t="shared" si="4"/>
        <v>关</v>
      </c>
      <c r="L15" s="105" t="str">
        <f t="shared" si="3"/>
        <v>关</v>
      </c>
      <c r="M15" s="601"/>
      <c r="N15" s="75"/>
      <c r="O15" s="75"/>
      <c r="P15" s="75"/>
      <c r="R15" s="112"/>
      <c r="T15" s="75">
        <f t="shared" ref="T15:T23" si="8">IF(ISBLANK(A15),T14,LEFT(A15,FIND(" ",A15,1)-1))</f>
        <v>3</v>
      </c>
    </row>
    <row r="16" spans="1:22" ht="45" customHeight="1">
      <c r="A16" s="603"/>
      <c r="B16" s="602"/>
      <c r="C16" s="105" t="s">
        <v>8</v>
      </c>
      <c r="D16" s="105"/>
      <c r="E16" s="104"/>
      <c r="F16" s="105" t="str">
        <f t="shared" si="7"/>
        <v>关</v>
      </c>
      <c r="G16" s="105" t="str">
        <f t="shared" si="6"/>
        <v>关</v>
      </c>
      <c r="H16" s="105" t="str">
        <f t="shared" si="5"/>
        <v>关</v>
      </c>
      <c r="I16" s="106" t="s">
        <v>27</v>
      </c>
      <c r="J16" s="101" t="s">
        <v>28</v>
      </c>
      <c r="K16" s="105" t="s">
        <v>29</v>
      </c>
      <c r="L16" s="105" t="str">
        <f t="shared" si="3"/>
        <v>关</v>
      </c>
      <c r="M16" s="601"/>
      <c r="N16" s="75"/>
      <c r="O16" s="75"/>
      <c r="T16" s="75">
        <f t="shared" si="8"/>
        <v>3</v>
      </c>
    </row>
    <row r="17" spans="1:21" ht="45" customHeight="1">
      <c r="A17" s="603"/>
      <c r="B17" s="602"/>
      <c r="C17" s="105" t="s">
        <v>30</v>
      </c>
      <c r="D17" s="106" t="s">
        <v>31</v>
      </c>
      <c r="E17" s="128" t="s">
        <v>32</v>
      </c>
      <c r="F17" s="105" t="str">
        <f t="shared" si="7"/>
        <v>关</v>
      </c>
      <c r="G17" s="105" t="str">
        <f t="shared" si="6"/>
        <v>关</v>
      </c>
      <c r="H17" s="105" t="str">
        <f t="shared" si="5"/>
        <v>关</v>
      </c>
      <c r="I17" s="106"/>
      <c r="J17" s="101"/>
      <c r="K17" s="105" t="str">
        <f t="shared" ref="K17:K37" si="9">IFERROR(IF(FIND("开",K16,1),"开","关"),"关")</f>
        <v>关</v>
      </c>
      <c r="L17" s="105" t="str">
        <f t="shared" si="3"/>
        <v>关</v>
      </c>
      <c r="M17" s="601"/>
      <c r="T17" s="75">
        <f t="shared" si="8"/>
        <v>3</v>
      </c>
    </row>
    <row r="18" spans="1:21" ht="45" customHeight="1">
      <c r="A18" s="603"/>
      <c r="B18" s="602"/>
      <c r="C18" s="105" t="s">
        <v>30</v>
      </c>
      <c r="D18" s="106" t="s">
        <v>33</v>
      </c>
      <c r="E18" s="101" t="s">
        <v>34</v>
      </c>
      <c r="F18" s="105" t="str">
        <f t="shared" si="7"/>
        <v>关</v>
      </c>
      <c r="G18" s="105" t="str">
        <f t="shared" si="6"/>
        <v>关</v>
      </c>
      <c r="H18" s="105" t="str">
        <f t="shared" si="5"/>
        <v>关</v>
      </c>
      <c r="I18" s="106"/>
      <c r="J18" s="101"/>
      <c r="K18" s="105" t="str">
        <f t="shared" si="9"/>
        <v>关</v>
      </c>
      <c r="L18" s="105" t="str">
        <f t="shared" si="3"/>
        <v>关</v>
      </c>
      <c r="M18" s="601"/>
      <c r="T18" s="75">
        <f t="shared" si="8"/>
        <v>3</v>
      </c>
    </row>
    <row r="19" spans="1:21" ht="45" customHeight="1">
      <c r="A19" s="603"/>
      <c r="B19" s="602"/>
      <c r="C19" s="105" t="s">
        <v>3</v>
      </c>
      <c r="D19" s="106" t="s">
        <v>35</v>
      </c>
      <c r="E19" s="129" t="s">
        <v>36</v>
      </c>
      <c r="F19" s="105" t="s">
        <v>37</v>
      </c>
      <c r="G19" s="105" t="str">
        <f t="shared" si="6"/>
        <v>关</v>
      </c>
      <c r="H19" s="105" t="str">
        <f t="shared" si="5"/>
        <v>关</v>
      </c>
      <c r="I19" s="106"/>
      <c r="J19" s="101"/>
      <c r="K19" s="105" t="str">
        <f t="shared" si="9"/>
        <v>关</v>
      </c>
      <c r="L19" s="105" t="str">
        <f t="shared" si="3"/>
        <v>关</v>
      </c>
      <c r="M19" s="601"/>
      <c r="T19" s="75">
        <f t="shared" si="8"/>
        <v>3</v>
      </c>
    </row>
    <row r="20" spans="1:21" ht="45" customHeight="1">
      <c r="A20" s="603"/>
      <c r="B20" s="602"/>
      <c r="C20" s="105" t="s">
        <v>3</v>
      </c>
      <c r="D20" s="106" t="s">
        <v>38</v>
      </c>
      <c r="E20" s="130" t="s">
        <v>39</v>
      </c>
      <c r="F20" s="105" t="str">
        <f>IFERROR(IF(FIND("开",F19,1),"开","关"),"关")</f>
        <v>开</v>
      </c>
      <c r="G20" s="105" t="s">
        <v>29</v>
      </c>
      <c r="H20" s="105" t="str">
        <f t="shared" si="5"/>
        <v>关</v>
      </c>
      <c r="I20" s="106"/>
      <c r="J20" s="101"/>
      <c r="K20" s="105" t="str">
        <f t="shared" si="9"/>
        <v>关</v>
      </c>
      <c r="L20" s="105" t="str">
        <f t="shared" si="3"/>
        <v>关</v>
      </c>
      <c r="M20" s="601"/>
      <c r="T20" s="75">
        <f t="shared" si="8"/>
        <v>3</v>
      </c>
    </row>
    <row r="21" spans="1:21" ht="45" customHeight="1">
      <c r="A21" s="603"/>
      <c r="B21" s="602"/>
      <c r="C21" s="105" t="s">
        <v>3</v>
      </c>
      <c r="D21" s="106" t="s">
        <v>40</v>
      </c>
      <c r="E21" s="101" t="s">
        <v>41</v>
      </c>
      <c r="F21" s="105" t="s">
        <v>42</v>
      </c>
      <c r="G21" s="105" t="str">
        <f t="shared" ref="G21:G30" si="10">IFERROR(IF(FIND("开",G20,1),"开","关"),"关")</f>
        <v>关</v>
      </c>
      <c r="H21" s="105" t="str">
        <f t="shared" si="5"/>
        <v>关</v>
      </c>
      <c r="I21" s="106"/>
      <c r="J21" s="101"/>
      <c r="K21" s="105" t="str">
        <f t="shared" si="9"/>
        <v>关</v>
      </c>
      <c r="L21" s="105" t="str">
        <f t="shared" si="3"/>
        <v>关</v>
      </c>
      <c r="M21" s="601"/>
      <c r="T21" s="75">
        <f t="shared" si="8"/>
        <v>3</v>
      </c>
    </row>
    <row r="22" spans="1:21" ht="45" customHeight="1">
      <c r="A22" s="603"/>
      <c r="B22" s="602"/>
      <c r="C22" s="105" t="s">
        <v>3</v>
      </c>
      <c r="D22" s="106" t="s">
        <v>43</v>
      </c>
      <c r="E22" s="101" t="s">
        <v>44</v>
      </c>
      <c r="F22" s="105" t="str">
        <f t="shared" ref="F22:F29" si="11">IFERROR(IF(FIND("开",F21,1),"开","关"),"关")</f>
        <v>关</v>
      </c>
      <c r="G22" s="105" t="str">
        <f t="shared" si="10"/>
        <v>关</v>
      </c>
      <c r="H22" s="105" t="str">
        <f t="shared" si="5"/>
        <v>关</v>
      </c>
      <c r="I22" s="106"/>
      <c r="J22" s="101"/>
      <c r="K22" s="105" t="str">
        <f t="shared" si="9"/>
        <v>关</v>
      </c>
      <c r="L22" s="105" t="str">
        <f t="shared" si="3"/>
        <v>关</v>
      </c>
      <c r="M22" s="601"/>
      <c r="N22" s="75"/>
      <c r="O22" s="75"/>
      <c r="T22" s="75">
        <f t="shared" si="8"/>
        <v>3</v>
      </c>
    </row>
    <row r="23" spans="1:21" ht="45" customHeight="1">
      <c r="A23" s="603"/>
      <c r="B23" s="602"/>
      <c r="C23" s="105" t="s">
        <v>3</v>
      </c>
      <c r="D23" s="106" t="s">
        <v>45</v>
      </c>
      <c r="E23" s="131" t="s">
        <v>46</v>
      </c>
      <c r="F23" s="105" t="str">
        <f t="shared" si="11"/>
        <v>关</v>
      </c>
      <c r="G23" s="105" t="str">
        <f t="shared" si="10"/>
        <v>关</v>
      </c>
      <c r="H23" s="105" t="str">
        <f t="shared" si="5"/>
        <v>关</v>
      </c>
      <c r="I23" s="75"/>
      <c r="J23" s="104"/>
      <c r="K23" s="105" t="str">
        <f t="shared" si="9"/>
        <v>关</v>
      </c>
      <c r="L23" s="105" t="str">
        <f t="shared" si="3"/>
        <v>关</v>
      </c>
      <c r="M23" s="601"/>
      <c r="T23" s="75">
        <f t="shared" si="8"/>
        <v>3</v>
      </c>
    </row>
    <row r="24" spans="1:21" ht="45" customHeight="1">
      <c r="A24" s="89" t="s">
        <v>49</v>
      </c>
      <c r="E24" s="102"/>
      <c r="F24" s="105" t="str">
        <f t="shared" si="11"/>
        <v>关</v>
      </c>
      <c r="G24" s="105" t="str">
        <f t="shared" si="10"/>
        <v>关</v>
      </c>
      <c r="H24" s="105" t="str">
        <f t="shared" si="5"/>
        <v>关</v>
      </c>
      <c r="J24" s="77"/>
      <c r="K24" s="105" t="str">
        <f t="shared" si="9"/>
        <v>关</v>
      </c>
      <c r="L24" s="105" t="str">
        <f t="shared" si="3"/>
        <v>关</v>
      </c>
      <c r="M24" s="76"/>
      <c r="T24" s="75" t="str">
        <f>IF(ISBLANK(A24),T12,LEFT(A24,FIND(" ",A24,1)-1))</f>
        <v>3.1</v>
      </c>
    </row>
    <row r="25" spans="1:21" ht="45" customHeight="1">
      <c r="A25" s="603" t="s">
        <v>50</v>
      </c>
      <c r="B25" s="637" t="s">
        <v>51</v>
      </c>
      <c r="C25" s="105" t="s">
        <v>3</v>
      </c>
      <c r="D25" s="106" t="s">
        <v>52</v>
      </c>
      <c r="E25" s="101" t="s">
        <v>53</v>
      </c>
      <c r="F25" s="105" t="str">
        <f t="shared" si="11"/>
        <v>关</v>
      </c>
      <c r="G25" s="105" t="str">
        <f t="shared" si="10"/>
        <v>关</v>
      </c>
      <c r="H25" s="105" t="s">
        <v>37</v>
      </c>
      <c r="I25" s="106"/>
      <c r="J25" s="101"/>
      <c r="K25" s="105" t="str">
        <f t="shared" si="9"/>
        <v>关</v>
      </c>
      <c r="L25" s="105" t="str">
        <f t="shared" si="3"/>
        <v>关</v>
      </c>
      <c r="M25" s="598">
        <v>1</v>
      </c>
      <c r="T25" s="75" t="str">
        <f>IF(ISBLANK(A25),T24,LEFT(A25,FIND(" ",A25,1)-1))</f>
        <v>3.1.1</v>
      </c>
    </row>
    <row r="26" spans="1:21" ht="45" customHeight="1">
      <c r="A26" s="603"/>
      <c r="B26" s="602"/>
      <c r="C26" s="105" t="s">
        <v>8</v>
      </c>
      <c r="D26" s="106"/>
      <c r="E26" s="101"/>
      <c r="F26" s="105" t="str">
        <f t="shared" si="11"/>
        <v>关</v>
      </c>
      <c r="G26" s="105" t="str">
        <f t="shared" si="10"/>
        <v>关</v>
      </c>
      <c r="H26" s="105" t="str">
        <f t="shared" ref="H26:H37" si="12">IFERROR(IF(FIND("开",H25,1),"开","关"),"关")</f>
        <v>开</v>
      </c>
      <c r="I26" s="106" t="s">
        <v>54</v>
      </c>
      <c r="J26" s="132" t="s">
        <v>55</v>
      </c>
      <c r="K26" s="105" t="str">
        <f t="shared" si="9"/>
        <v>关</v>
      </c>
      <c r="L26" s="105" t="str">
        <f t="shared" si="3"/>
        <v>关</v>
      </c>
      <c r="M26" s="599"/>
      <c r="N26" s="75"/>
      <c r="O26" s="75"/>
      <c r="P26" s="75"/>
      <c r="Q26" s="75"/>
      <c r="T26" s="75" t="str">
        <f>IF(ISBLANK(A26),T25,LEFT(A26,FIND(" ",A26,1)-1))</f>
        <v>3.1.1</v>
      </c>
    </row>
    <row r="27" spans="1:21" ht="56.25" customHeight="1">
      <c r="A27" s="603"/>
      <c r="B27" s="602"/>
      <c r="C27" s="105" t="s">
        <v>3</v>
      </c>
      <c r="D27" s="106" t="s">
        <v>56</v>
      </c>
      <c r="E27" s="133" t="s">
        <v>57</v>
      </c>
      <c r="F27" s="105" t="str">
        <f t="shared" si="11"/>
        <v>关</v>
      </c>
      <c r="G27" s="105" t="str">
        <f t="shared" si="10"/>
        <v>关</v>
      </c>
      <c r="H27" s="105" t="str">
        <f t="shared" si="12"/>
        <v>开</v>
      </c>
      <c r="J27" s="77"/>
      <c r="K27" s="105" t="str">
        <f t="shared" si="9"/>
        <v>关</v>
      </c>
      <c r="L27" s="105" t="str">
        <f t="shared" si="3"/>
        <v>关</v>
      </c>
      <c r="M27" s="599"/>
      <c r="N27" s="75" t="str">
        <f>MID(E27,FIND("物料",E27,1)+3,FIND("投料重量",E27,1)-FIND("物料",E27,1)-4)</f>
        <v>2-Chlorotrityl chloride resin</v>
      </c>
      <c r="O27" s="75" t="str">
        <f>MID(E27,FIND("setting",E27,1)+8,FIND("kg",E27,1)-FIND("setting",E27,1)-8)</f>
        <v xml:space="preserve"> 65.00</v>
      </c>
      <c r="P27" s="75" t="str">
        <f>SUBSTITUTE(RIGHT(E27,LEN(E27)-FIND("重量误差",E27,1)-4),"kg","")</f>
        <v>0.13</v>
      </c>
      <c r="Q27" s="75" t="str">
        <f>SUBSTITUTE(T27&amp;N27," ","")</f>
        <v>3.1.12-Chlorotritylchlorideresin</v>
      </c>
      <c r="R27" s="112">
        <f>树脂信息!$C$4</f>
        <v>65</v>
      </c>
      <c r="T27" s="75" t="str">
        <f>IF(ISBLANK(A27),T26,LEFT(A27,FIND(" ",A27,1)-1))</f>
        <v>3.1.1</v>
      </c>
      <c r="U27" s="74" t="b">
        <f>TEXT(O27,"0.00")=TEXT(R27,"0.00")</f>
        <v>1</v>
      </c>
    </row>
    <row r="28" spans="1:21" ht="45" customHeight="1">
      <c r="A28" s="603"/>
      <c r="B28" s="602"/>
      <c r="C28" s="105" t="s">
        <v>3</v>
      </c>
      <c r="D28" s="106" t="s">
        <v>58</v>
      </c>
      <c r="E28" s="134" t="s">
        <v>59</v>
      </c>
      <c r="F28" s="105" t="str">
        <f t="shared" si="11"/>
        <v>关</v>
      </c>
      <c r="G28" s="105" t="str">
        <f t="shared" si="10"/>
        <v>关</v>
      </c>
      <c r="H28" s="105" t="str">
        <f t="shared" si="12"/>
        <v>开</v>
      </c>
      <c r="J28" s="77"/>
      <c r="K28" s="105" t="str">
        <f t="shared" si="9"/>
        <v>关</v>
      </c>
      <c r="L28" s="105" t="str">
        <f t="shared" si="3"/>
        <v>关</v>
      </c>
      <c r="M28" s="599"/>
      <c r="N28" s="75" t="s">
        <v>24</v>
      </c>
      <c r="O28" s="75" t="str">
        <f>MID(E28,FIND("setting",E28,1)+8,FIND("kg",E28,1)-FIND("setting",E28,1)-8)</f>
        <v xml:space="preserve"> 492.70</v>
      </c>
      <c r="Q28" s="75" t="str">
        <f>SUBSTITUTE(T28&amp;N28," ","")</f>
        <v>3.1.3DMF</v>
      </c>
      <c r="R28" s="74">
        <f>VLOOKUP(Q28,MOR投料表!A:L,9,FALSE)</f>
        <v>492.7</v>
      </c>
      <c r="T28" s="75" t="s">
        <v>60</v>
      </c>
      <c r="U28" s="74" t="b">
        <f>TEXT(O28,"0.00")=TEXT(R28,"0.00")</f>
        <v>1</v>
      </c>
    </row>
    <row r="29" spans="1:21" ht="45" customHeight="1">
      <c r="A29" s="603"/>
      <c r="B29" s="602"/>
      <c r="C29" s="105" t="s">
        <v>3</v>
      </c>
      <c r="D29" s="106" t="s">
        <v>61</v>
      </c>
      <c r="E29" s="101" t="s">
        <v>62</v>
      </c>
      <c r="F29" s="105" t="str">
        <f t="shared" si="11"/>
        <v>关</v>
      </c>
      <c r="G29" s="105" t="str">
        <f t="shared" si="10"/>
        <v>关</v>
      </c>
      <c r="H29" s="105" t="str">
        <f t="shared" si="12"/>
        <v>开</v>
      </c>
      <c r="J29" s="77"/>
      <c r="K29" s="105" t="str">
        <f t="shared" si="9"/>
        <v>关</v>
      </c>
      <c r="L29" s="105" t="str">
        <f t="shared" si="3"/>
        <v>关</v>
      </c>
      <c r="M29" s="599"/>
      <c r="T29" s="75" t="str">
        <f t="shared" ref="T29:T37" si="13">IF(ISBLANK(A29),T28,LEFT(A29,FIND(" ",A29,1)-1))</f>
        <v>3.1.3</v>
      </c>
    </row>
    <row r="30" spans="1:21" ht="45" customHeight="1">
      <c r="A30" s="603"/>
      <c r="B30" s="602"/>
      <c r="C30" s="105" t="s">
        <v>3</v>
      </c>
      <c r="D30" s="106" t="s">
        <v>35</v>
      </c>
      <c r="E30" s="101" t="s">
        <v>63</v>
      </c>
      <c r="F30" s="105" t="s">
        <v>37</v>
      </c>
      <c r="G30" s="105" t="str">
        <f t="shared" si="10"/>
        <v>关</v>
      </c>
      <c r="H30" s="105" t="str">
        <f t="shared" si="12"/>
        <v>开</v>
      </c>
      <c r="J30" s="77"/>
      <c r="K30" s="105" t="str">
        <f t="shared" si="9"/>
        <v>关</v>
      </c>
      <c r="L30" s="105" t="str">
        <f t="shared" si="3"/>
        <v>关</v>
      </c>
      <c r="M30" s="599"/>
      <c r="T30" s="75" t="str">
        <f t="shared" si="13"/>
        <v>3.1.3</v>
      </c>
    </row>
    <row r="31" spans="1:21" ht="45" customHeight="1">
      <c r="A31" s="603"/>
      <c r="B31" s="602"/>
      <c r="C31" s="105" t="s">
        <v>3</v>
      </c>
      <c r="D31" s="106" t="s">
        <v>64</v>
      </c>
      <c r="E31" s="101" t="s">
        <v>65</v>
      </c>
      <c r="F31" s="105" t="str">
        <f>IFERROR(IF(FIND("开",F30,1),"开","关"),"关")</f>
        <v>开</v>
      </c>
      <c r="G31" s="105" t="s">
        <v>37</v>
      </c>
      <c r="H31" s="105" t="str">
        <f t="shared" si="12"/>
        <v>开</v>
      </c>
      <c r="J31" s="77"/>
      <c r="K31" s="105" t="str">
        <f t="shared" si="9"/>
        <v>关</v>
      </c>
      <c r="L31" s="105" t="str">
        <f t="shared" si="3"/>
        <v>关</v>
      </c>
      <c r="M31" s="599"/>
      <c r="T31" s="75" t="str">
        <f t="shared" si="13"/>
        <v>3.1.3</v>
      </c>
    </row>
    <row r="32" spans="1:21" ht="45" customHeight="1">
      <c r="A32" s="603"/>
      <c r="B32" s="602"/>
      <c r="C32" s="105" t="s">
        <v>3</v>
      </c>
      <c r="D32" s="106" t="s">
        <v>66</v>
      </c>
      <c r="E32" s="135" t="s">
        <v>67</v>
      </c>
      <c r="F32" s="105" t="str">
        <f>IFERROR(IF(FIND("开",F31,1),"开","关"),"关")</f>
        <v>开</v>
      </c>
      <c r="G32" s="105" t="str">
        <f>IFERROR(IF(FIND("开",G31,1),"开","关"),"关")</f>
        <v>开</v>
      </c>
      <c r="H32" s="105" t="str">
        <f t="shared" si="12"/>
        <v>开</v>
      </c>
      <c r="J32" s="77"/>
      <c r="K32" s="105" t="str">
        <f t="shared" si="9"/>
        <v>关</v>
      </c>
      <c r="L32" s="105" t="str">
        <f t="shared" si="3"/>
        <v>关</v>
      </c>
      <c r="M32" s="599"/>
      <c r="T32" s="75" t="str">
        <f t="shared" si="13"/>
        <v>3.1.3</v>
      </c>
    </row>
    <row r="33" spans="1:21" ht="45" customHeight="1">
      <c r="A33" s="603"/>
      <c r="B33" s="602"/>
      <c r="C33" s="105" t="s">
        <v>3</v>
      </c>
      <c r="D33" s="106" t="s">
        <v>68</v>
      </c>
      <c r="E33" s="136" t="s">
        <v>69</v>
      </c>
      <c r="F33" s="105" t="str">
        <f>IFERROR(IF(FIND("开",F32,1),"开","关"),"关")</f>
        <v>开</v>
      </c>
      <c r="G33" s="105" t="str">
        <f>IFERROR(IF(FIND("开",G32,1),"开","关"),"关")</f>
        <v>开</v>
      </c>
      <c r="H33" s="105" t="str">
        <f t="shared" si="12"/>
        <v>开</v>
      </c>
      <c r="J33" s="77"/>
      <c r="K33" s="105" t="str">
        <f t="shared" si="9"/>
        <v>关</v>
      </c>
      <c r="L33" s="105" t="str">
        <f t="shared" si="3"/>
        <v>关</v>
      </c>
      <c r="M33" s="599"/>
      <c r="N33" s="75"/>
      <c r="O33" s="75"/>
      <c r="T33" s="75" t="str">
        <f t="shared" si="13"/>
        <v>3.1.3</v>
      </c>
    </row>
    <row r="34" spans="1:21" ht="45" customHeight="1">
      <c r="A34" s="603"/>
      <c r="B34" s="602"/>
      <c r="C34" s="105" t="s">
        <v>3</v>
      </c>
      <c r="D34" s="106" t="s">
        <v>70</v>
      </c>
      <c r="E34" s="101" t="s">
        <v>71</v>
      </c>
      <c r="F34" s="105" t="str">
        <f>IFERROR(IF(FIND("开",F33,1),"开","关"),"关")</f>
        <v>开</v>
      </c>
      <c r="G34" s="105" t="s">
        <v>42</v>
      </c>
      <c r="H34" s="105" t="str">
        <f t="shared" si="12"/>
        <v>开</v>
      </c>
      <c r="J34" s="77"/>
      <c r="K34" s="105" t="str">
        <f t="shared" si="9"/>
        <v>关</v>
      </c>
      <c r="L34" s="105" t="str">
        <f t="shared" si="3"/>
        <v>关</v>
      </c>
      <c r="M34" s="599"/>
      <c r="T34" s="75" t="str">
        <f t="shared" si="13"/>
        <v>3.1.3</v>
      </c>
    </row>
    <row r="35" spans="1:21" ht="45" customHeight="1">
      <c r="A35" s="603"/>
      <c r="B35" s="602"/>
      <c r="C35" s="105" t="s">
        <v>3</v>
      </c>
      <c r="D35" s="106" t="s">
        <v>40</v>
      </c>
      <c r="E35" s="101" t="s">
        <v>41</v>
      </c>
      <c r="F35" s="105" t="s">
        <v>42</v>
      </c>
      <c r="G35" s="105" t="str">
        <f>IFERROR(IF(FIND("开",G34,1),"开","关"),"关")</f>
        <v>关</v>
      </c>
      <c r="H35" s="105" t="str">
        <f t="shared" si="12"/>
        <v>开</v>
      </c>
      <c r="J35" s="77"/>
      <c r="K35" s="105" t="str">
        <f t="shared" si="9"/>
        <v>关</v>
      </c>
      <c r="L35" s="105" t="str">
        <f t="shared" si="3"/>
        <v>关</v>
      </c>
      <c r="M35" s="599"/>
      <c r="T35" s="75" t="str">
        <f t="shared" si="13"/>
        <v>3.1.3</v>
      </c>
    </row>
    <row r="36" spans="1:21" ht="45" customHeight="1">
      <c r="A36" s="603"/>
      <c r="B36" s="602"/>
      <c r="C36" s="105" t="s">
        <v>3</v>
      </c>
      <c r="D36" s="106" t="s">
        <v>45</v>
      </c>
      <c r="E36" s="137" t="s">
        <v>46</v>
      </c>
      <c r="F36" s="105" t="str">
        <f>IFERROR(IF(FIND("开",F35,1),"开","关"),"关")</f>
        <v>关</v>
      </c>
      <c r="G36" s="105" t="str">
        <f>IFERROR(IF(FIND("开",G35,1),"开","关"),"关")</f>
        <v>关</v>
      </c>
      <c r="H36" s="105" t="str">
        <f t="shared" si="12"/>
        <v>开</v>
      </c>
      <c r="J36" s="77"/>
      <c r="K36" s="105" t="str">
        <f t="shared" si="9"/>
        <v>关</v>
      </c>
      <c r="L36" s="105" t="str">
        <f t="shared" si="3"/>
        <v>关</v>
      </c>
      <c r="M36" s="599"/>
      <c r="T36" s="75" t="str">
        <f t="shared" si="13"/>
        <v>3.1.3</v>
      </c>
    </row>
    <row r="37" spans="1:21" ht="45" customHeight="1">
      <c r="A37" s="595" t="s">
        <v>72</v>
      </c>
      <c r="B37" s="615" t="s">
        <v>73</v>
      </c>
      <c r="C37" s="105" t="s">
        <v>8</v>
      </c>
      <c r="D37" s="106"/>
      <c r="E37" s="78"/>
      <c r="F37" s="105" t="str">
        <f>IFERROR(IF(FIND("开",F36,1),"开","关"),"关")</f>
        <v>关</v>
      </c>
      <c r="G37" s="105" t="str">
        <f>IFERROR(IF(FIND("开",G36,1),"开","关"),"关")</f>
        <v>关</v>
      </c>
      <c r="H37" s="105" t="str">
        <f t="shared" si="12"/>
        <v>开</v>
      </c>
      <c r="I37" s="106" t="s">
        <v>74</v>
      </c>
      <c r="J37" s="138" t="s">
        <v>75</v>
      </c>
      <c r="K37" s="105" t="str">
        <f t="shared" si="9"/>
        <v>关</v>
      </c>
      <c r="L37" s="105" t="str">
        <f t="shared" si="3"/>
        <v>关</v>
      </c>
      <c r="M37" s="601">
        <v>1</v>
      </c>
      <c r="N37" s="75" t="s">
        <v>24</v>
      </c>
      <c r="O37" s="75" t="e">
        <f>MID(J37,FIND("setting",J37,1)+8,FIND("kg",J37,1)-FIND("setting",J37,1)-8)</f>
        <v>#VALUE!</v>
      </c>
      <c r="Q37" s="75" t="str">
        <f>SUBSTITUTE(T37&amp;N37," ","")</f>
        <v>3.1.6DMF</v>
      </c>
      <c r="R37" s="74">
        <f>VLOOKUP(Q37,MOR投料表!A:L,9,FALSE)</f>
        <v>369.85</v>
      </c>
      <c r="T37" s="75" t="str">
        <f t="shared" si="13"/>
        <v>3.1.6</v>
      </c>
      <c r="U37" s="74" t="e">
        <f>TEXT(O37,"0.00")=TEXT(R37,"0.00")</f>
        <v>#VALUE!</v>
      </c>
    </row>
    <row r="38" spans="1:21" ht="45" customHeight="1">
      <c r="A38" s="595"/>
      <c r="B38" s="616"/>
      <c r="C38" s="105" t="s">
        <v>8</v>
      </c>
      <c r="D38" s="106"/>
      <c r="E38" s="78"/>
      <c r="I38" s="106" t="s">
        <v>77</v>
      </c>
      <c r="J38" s="139" t="s">
        <v>23</v>
      </c>
      <c r="M38" s="601"/>
      <c r="N38" s="75" t="s">
        <v>24</v>
      </c>
      <c r="O38" s="75" t="str">
        <f>MID(J38,FIND("setting",J38,1)+8,FIND("kg",J38,1)-FIND("setting",J38,1)-8)</f>
        <v xml:space="preserve"> 369.85</v>
      </c>
      <c r="Q38" s="75" t="str">
        <f>SUBSTITUTE(T38&amp;N38," ","")</f>
        <v>3DMF</v>
      </c>
      <c r="R38" s="74">
        <f>VLOOKUP(Q38,MOR投料表!A:L,9,FALSE)</f>
        <v>369.85</v>
      </c>
      <c r="T38" s="75">
        <v>3</v>
      </c>
      <c r="U38" s="74" t="b">
        <f>TEXT(O38,"0.00")=TEXT(R38,"0.00")</f>
        <v>1</v>
      </c>
    </row>
    <row r="39" spans="1:21" ht="45" customHeight="1">
      <c r="A39" s="605"/>
      <c r="B39" s="617"/>
      <c r="C39" s="105" t="s">
        <v>8</v>
      </c>
      <c r="E39" s="77"/>
      <c r="F39" s="105" t="str">
        <f>IFERROR(IF(FIND("开",F37,1),"开","关"),"关")</f>
        <v>关</v>
      </c>
      <c r="G39" s="105" t="str">
        <f>IFERROR(IF(FIND("开",G37,1),"开","关"),"关")</f>
        <v>关</v>
      </c>
      <c r="H39" s="105" t="str">
        <f>IFERROR(IF(FIND("开",H37,1),"开","关"),"关")</f>
        <v>开</v>
      </c>
      <c r="I39" s="106" t="s">
        <v>61</v>
      </c>
      <c r="J39" s="101" t="s">
        <v>26</v>
      </c>
      <c r="K39" s="105" t="str">
        <f>IFERROR(IF(FIND("开",K37,1),"开","关"),"关")</f>
        <v>关</v>
      </c>
      <c r="L39" s="105" t="str">
        <f>IFERROR(IF(FIND("开",L37,1),"开","关"),"关")</f>
        <v>关</v>
      </c>
      <c r="M39" s="601"/>
      <c r="T39" s="75" t="str">
        <f>IF(ISBLANK(A39),T37,LEFT(A39,FIND(" ",A39,1)-1))</f>
        <v>3.1.6</v>
      </c>
    </row>
    <row r="40" spans="1:21" ht="45" customHeight="1">
      <c r="A40" s="605"/>
      <c r="B40" s="617"/>
      <c r="C40" s="105" t="s">
        <v>8</v>
      </c>
      <c r="E40" s="77"/>
      <c r="F40" s="105" t="str">
        <f t="shared" ref="F40:H43" si="14">IFERROR(IF(FIND("开",F39,1),"开","关"),"关")</f>
        <v>关</v>
      </c>
      <c r="G40" s="105" t="str">
        <f t="shared" si="14"/>
        <v>关</v>
      </c>
      <c r="H40" s="105" t="str">
        <f t="shared" si="14"/>
        <v>开</v>
      </c>
      <c r="I40" s="106" t="s">
        <v>78</v>
      </c>
      <c r="J40" s="101" t="s">
        <v>79</v>
      </c>
      <c r="K40" s="105" t="s">
        <v>37</v>
      </c>
      <c r="L40" s="105" t="str">
        <f>IFERROR(IF(FIND("开",L39,1),"开","关"),"关")</f>
        <v>关</v>
      </c>
      <c r="M40" s="601"/>
      <c r="T40" s="75" t="str">
        <f>IF(ISBLANK(A40),T39,LEFT(A40,FIND(" ",A40,1)-1))</f>
        <v>3.1.6</v>
      </c>
    </row>
    <row r="41" spans="1:21" ht="56.25" customHeight="1">
      <c r="A41" s="605"/>
      <c r="B41" s="617"/>
      <c r="C41" s="105" t="s">
        <v>8</v>
      </c>
      <c r="E41" s="77"/>
      <c r="F41" s="105" t="str">
        <f t="shared" si="14"/>
        <v>关</v>
      </c>
      <c r="G41" s="105" t="str">
        <f t="shared" si="14"/>
        <v>关</v>
      </c>
      <c r="H41" s="105" t="str">
        <f t="shared" si="14"/>
        <v>开</v>
      </c>
      <c r="I41" s="106" t="s">
        <v>80</v>
      </c>
      <c r="J41" s="101" t="s">
        <v>81</v>
      </c>
      <c r="K41" s="105" t="str">
        <f>IFERROR(IF(FIND("开",K40,1),"开","关"),"关")</f>
        <v>开</v>
      </c>
      <c r="L41" s="105" t="str">
        <f>IFERROR(IF(FIND("开",L40,1),"开","关"),"关")</f>
        <v>关</v>
      </c>
      <c r="M41" s="601"/>
      <c r="N41" s="75" t="str">
        <f>MID(J41,FIND("物料",J41,1)+3,FIND("投料重量",J41,1)-FIND("物料",J41,1)-4)</f>
        <v>Fmoc-Gly-OH</v>
      </c>
      <c r="O41" s="75" t="e">
        <f>MID(J41,FIND("投料重量",J41,1)+5,FIND("kg",J41,1)-FIND("投料重量",J41,1)-5)</f>
        <v>#VALUE!</v>
      </c>
      <c r="P41" s="75" t="str">
        <f>SUBSTITUTE(RIGHT(J41,LEN(J41)-FIND("重量误差",J41,1)-4),"kg","")</f>
        <v>______</v>
      </c>
      <c r="Q41" s="75" t="str">
        <f>SUBSTITUTE(T41&amp;N41," ","")</f>
        <v>3.1.6Fmoc-Gly-OH</v>
      </c>
      <c r="R41" s="74" t="e">
        <f>VLOOKUP(Q41,氨基酸和溶剂信息!A:P,8,FALSE)</f>
        <v>#N/A</v>
      </c>
      <c r="T41" s="75" t="str">
        <f>IF(ISBLANK(A41),T40,LEFT(A41,FIND(" ",A41,1)-1))</f>
        <v>3.1.6</v>
      </c>
      <c r="U41" s="74" t="e">
        <f>TEXT(O41,"0.00")=TEXT(R41,"0.00")</f>
        <v>#VALUE!</v>
      </c>
    </row>
    <row r="42" spans="1:21" ht="45" customHeight="1">
      <c r="A42" s="605"/>
      <c r="B42" s="617"/>
      <c r="C42" s="105" t="s">
        <v>8</v>
      </c>
      <c r="E42" s="77"/>
      <c r="F42" s="105" t="str">
        <f t="shared" si="14"/>
        <v>关</v>
      </c>
      <c r="G42" s="105" t="str">
        <f t="shared" si="14"/>
        <v>关</v>
      </c>
      <c r="H42" s="105" t="str">
        <f t="shared" si="14"/>
        <v>开</v>
      </c>
      <c r="I42" s="106" t="s">
        <v>82</v>
      </c>
      <c r="J42" s="140" t="s">
        <v>83</v>
      </c>
      <c r="K42" s="105" t="str">
        <f>IFERROR(IF(FIND("开",K41,1),"开","关"),"关")</f>
        <v>开</v>
      </c>
      <c r="L42" s="105" t="str">
        <f>IFERROR(IF(FIND("开",L41,1),"开","关"),"关")</f>
        <v>关</v>
      </c>
      <c r="M42" s="601"/>
      <c r="N42" s="75" t="s">
        <v>24</v>
      </c>
      <c r="O42" s="75" t="str">
        <f>MID(J42,FIND("setting",J42,1)+8,FIND("kg",J42,1)-FIND("setting",J42,1)-8)</f>
        <v xml:space="preserve"> 61.75</v>
      </c>
      <c r="Q42" s="75" t="str">
        <f>SUBSTITUTE(T42&amp;N42," ","")</f>
        <v>3.1.8DMF</v>
      </c>
      <c r="R42" s="74">
        <f>LOOKUP(2,1/(Q42=MOR投料表!A:A),MOR投料表!I:I)</f>
        <v>61.75</v>
      </c>
      <c r="T42" s="75" t="s">
        <v>84</v>
      </c>
      <c r="U42" s="74" t="b">
        <f>TEXT(O42,"0.00")=TEXT(R42,"0.00")</f>
        <v>1</v>
      </c>
    </row>
    <row r="43" spans="1:21" ht="45" customHeight="1">
      <c r="A43" s="605"/>
      <c r="B43" s="617"/>
      <c r="C43" s="105" t="s">
        <v>8</v>
      </c>
      <c r="E43" s="77"/>
      <c r="F43" s="105" t="str">
        <f t="shared" si="14"/>
        <v>关</v>
      </c>
      <c r="G43" s="105" t="str">
        <f t="shared" si="14"/>
        <v>关</v>
      </c>
      <c r="H43" s="105" t="str">
        <f t="shared" si="14"/>
        <v>开</v>
      </c>
      <c r="I43" s="106" t="s">
        <v>85</v>
      </c>
      <c r="J43" s="101" t="s">
        <v>86</v>
      </c>
      <c r="K43" s="105" t="str">
        <f>IFERROR(IF(FIND("开",K42,1),"开","关"),"关")</f>
        <v>开</v>
      </c>
      <c r="L43" s="105" t="str">
        <f>IFERROR(IF(FIND("开",L42,1),"开","关"),"关")</f>
        <v>关</v>
      </c>
      <c r="M43" s="601"/>
      <c r="T43" s="75" t="str">
        <f>IF(ISBLANK(A43),T42,LEFT(A43,FIND(" ",A43,1)-1))</f>
        <v>3.1.8</v>
      </c>
    </row>
    <row r="44" spans="1:21" ht="45" customHeight="1">
      <c r="A44" s="605"/>
      <c r="B44" s="617"/>
      <c r="C44" s="105" t="s">
        <v>8</v>
      </c>
      <c r="E44" s="77"/>
      <c r="I44" s="106" t="s">
        <v>87</v>
      </c>
      <c r="J44" s="141" t="s">
        <v>88</v>
      </c>
      <c r="M44" s="601"/>
      <c r="T44" s="75"/>
    </row>
    <row r="45" spans="1:21" ht="45" customHeight="1">
      <c r="A45" s="605"/>
      <c r="B45" s="617"/>
      <c r="C45" s="105" t="s">
        <v>8</v>
      </c>
      <c r="E45" s="77"/>
      <c r="F45" s="105" t="str">
        <f>IFERROR(IF(FIND("开",F43,1),"开","关"),"关")</f>
        <v>关</v>
      </c>
      <c r="G45" s="105" t="str">
        <f>IFERROR(IF(FIND("开",G43,1),"开","关"),"关")</f>
        <v>关</v>
      </c>
      <c r="H45" s="105" t="str">
        <f>IFERROR(IF(FIND("开",H43,1),"开","关"),"关")</f>
        <v>开</v>
      </c>
      <c r="I45" s="106" t="s">
        <v>89</v>
      </c>
      <c r="J45" s="101" t="s">
        <v>90</v>
      </c>
      <c r="K45" s="105" t="str">
        <f>IFERROR(IF(FIND("开",K43,1),"开","关"),"关")</f>
        <v>开</v>
      </c>
      <c r="L45" s="105" t="s">
        <v>37</v>
      </c>
      <c r="M45" s="601"/>
      <c r="T45" s="75" t="str">
        <f>IF(ISBLANK(A45),T43,LEFT(A45,FIND(" ",A45,1)-1))</f>
        <v>3.1.8</v>
      </c>
    </row>
    <row r="46" spans="1:21" ht="45" customHeight="1">
      <c r="A46" s="605"/>
      <c r="B46" s="617"/>
      <c r="C46" s="105" t="s">
        <v>8</v>
      </c>
      <c r="E46" s="77"/>
      <c r="F46" s="105" t="str">
        <f>IFERROR(IF(FIND("开",F45,1),"开","关"),"关")</f>
        <v>关</v>
      </c>
      <c r="G46" s="105" t="str">
        <f>IFERROR(IF(FIND("开",G45,1),"开","关"),"关")</f>
        <v>关</v>
      </c>
      <c r="H46" s="105" t="str">
        <f>IFERROR(IF(FIND("开",H45,1),"开","关"),"关")</f>
        <v>开</v>
      </c>
      <c r="I46" s="106" t="s">
        <v>91</v>
      </c>
      <c r="J46" s="142" t="s">
        <v>92</v>
      </c>
      <c r="K46" s="105" t="str">
        <f>IFERROR(IF(FIND("开",K45,1),"开","关"),"关")</f>
        <v>开</v>
      </c>
      <c r="L46" s="105" t="str">
        <f>IFERROR(IF(FIND("开",L45,1),"开","关"),"关")</f>
        <v>开</v>
      </c>
      <c r="M46" s="601"/>
      <c r="T46" s="75" t="str">
        <f>IF(ISBLANK(A46),T45,LEFT(A46,FIND(" ",A46,1)-1))</f>
        <v>3.1.8</v>
      </c>
    </row>
    <row r="47" spans="1:21" ht="45" customHeight="1">
      <c r="A47" s="605"/>
      <c r="B47" s="617"/>
      <c r="C47" s="105" t="s">
        <v>8</v>
      </c>
      <c r="E47" s="77"/>
      <c r="I47" s="106" t="s">
        <v>93</v>
      </c>
      <c r="J47" s="143" t="s">
        <v>94</v>
      </c>
      <c r="M47" s="601"/>
      <c r="T47" s="75"/>
    </row>
    <row r="48" spans="1:21" ht="45" customHeight="1">
      <c r="A48" s="605"/>
      <c r="B48" s="617"/>
      <c r="C48" s="105" t="s">
        <v>8</v>
      </c>
      <c r="E48" s="77"/>
      <c r="F48" s="105" t="str">
        <f>IFERROR(IF(FIND("开",F46,1),"开","关"),"关")</f>
        <v>关</v>
      </c>
      <c r="G48" s="105" t="str">
        <f>IFERROR(IF(FIND("开",G46,1),"开","关"),"关")</f>
        <v>关</v>
      </c>
      <c r="H48" s="105" t="str">
        <f>IFERROR(IF(FIND("开",H46,1),"开","关"),"关")</f>
        <v>开</v>
      </c>
      <c r="I48" s="106" t="s">
        <v>95</v>
      </c>
      <c r="J48" s="144" t="s">
        <v>96</v>
      </c>
      <c r="K48" s="105" t="str">
        <f>IFERROR(IF(FIND("开",K46,1),"开","关"),"关")</f>
        <v>开</v>
      </c>
      <c r="L48" s="105" t="str">
        <f>IFERROR(IF(FIND("开",L46,1),"开","关"),"关")</f>
        <v>开</v>
      </c>
      <c r="M48" s="601"/>
      <c r="T48" s="75" t="str">
        <f>IF(ISBLANK(A48),T46,LEFT(A48,FIND(" ",A48,1)-1))</f>
        <v>3.1.8</v>
      </c>
    </row>
    <row r="49" spans="1:22" ht="45" customHeight="1">
      <c r="A49" s="603" t="s">
        <v>97</v>
      </c>
      <c r="B49" s="609" t="s">
        <v>98</v>
      </c>
      <c r="C49" s="105" t="s">
        <v>3</v>
      </c>
      <c r="D49" s="106" t="s">
        <v>58</v>
      </c>
      <c r="E49" s="101" t="s">
        <v>99</v>
      </c>
      <c r="F49" s="105" t="str">
        <f t="shared" ref="F49:H50" si="15">IFERROR(IF(FIND("开",F48,1),"开","关"),"关")</f>
        <v>关</v>
      </c>
      <c r="G49" s="105" t="str">
        <f t="shared" si="15"/>
        <v>关</v>
      </c>
      <c r="H49" s="105" t="str">
        <f t="shared" si="15"/>
        <v>开</v>
      </c>
      <c r="I49" s="106"/>
      <c r="J49" s="101"/>
      <c r="K49" s="105" t="str">
        <f t="shared" ref="K49:L54" si="16">IFERROR(IF(FIND("开",K48,1),"开","关"),"关")</f>
        <v>开</v>
      </c>
      <c r="L49" s="105" t="str">
        <f t="shared" si="16"/>
        <v>开</v>
      </c>
      <c r="M49" s="601">
        <v>1</v>
      </c>
      <c r="N49" s="75" t="s">
        <v>24</v>
      </c>
      <c r="O49" s="75" t="str">
        <f>MID(E49,FIND("setting",E49,1)+8,FIND("kg",E49,1)-FIND("setting",E49,1)-8)</f>
        <v xml:space="preserve"> 308.10</v>
      </c>
      <c r="Q49" s="75" t="str">
        <f>SUBSTITUTE(T49&amp;N49," ","")</f>
        <v>3.1.9DMF</v>
      </c>
      <c r="R49" s="74">
        <f>VLOOKUP(Q49,MOR投料表!A:L,9,FALSE)</f>
        <v>308.10000000000002</v>
      </c>
      <c r="T49" s="75" t="str">
        <f t="shared" ref="T49:T54" si="17">IF(ISBLANK(A49),T48,LEFT(A49,FIND(" ",A49,1)-1))</f>
        <v>3.1.9</v>
      </c>
      <c r="U49" s="74" t="b">
        <f>TEXT(O49,"0.00")=TEXT(R49,"0.00")</f>
        <v>1</v>
      </c>
    </row>
    <row r="50" spans="1:22" ht="45" customHeight="1">
      <c r="A50" s="603"/>
      <c r="B50" s="602"/>
      <c r="C50" s="105" t="s">
        <v>3</v>
      </c>
      <c r="D50" s="106" t="s">
        <v>61</v>
      </c>
      <c r="E50" s="101" t="s">
        <v>62</v>
      </c>
      <c r="F50" s="105" t="str">
        <f t="shared" si="15"/>
        <v>关</v>
      </c>
      <c r="G50" s="105" t="str">
        <f t="shared" si="15"/>
        <v>关</v>
      </c>
      <c r="H50" s="105" t="str">
        <f t="shared" si="15"/>
        <v>开</v>
      </c>
      <c r="I50" s="74"/>
      <c r="J50" s="77"/>
      <c r="K50" s="105" t="str">
        <f t="shared" si="16"/>
        <v>开</v>
      </c>
      <c r="L50" s="105" t="str">
        <f t="shared" si="16"/>
        <v>开</v>
      </c>
      <c r="M50" s="601"/>
      <c r="T50" s="75" t="str">
        <f t="shared" si="17"/>
        <v>3.1.9</v>
      </c>
    </row>
    <row r="51" spans="1:22" ht="45" customHeight="1">
      <c r="A51" s="603"/>
      <c r="B51" s="602"/>
      <c r="C51" s="105" t="s">
        <v>3</v>
      </c>
      <c r="D51" s="106" t="s">
        <v>35</v>
      </c>
      <c r="E51" s="101" t="s">
        <v>63</v>
      </c>
      <c r="F51" s="105" t="s">
        <v>37</v>
      </c>
      <c r="G51" s="105" t="str">
        <f>IFERROR(IF(FIND("开",G50,1),"开","关"),"关")</f>
        <v>关</v>
      </c>
      <c r="H51" s="105" t="str">
        <f>IFERROR(IF(FIND("开",H50,1),"开","关"),"关")</f>
        <v>开</v>
      </c>
      <c r="I51" s="74"/>
      <c r="J51" s="77"/>
      <c r="K51" s="105" t="str">
        <f t="shared" si="16"/>
        <v>开</v>
      </c>
      <c r="L51" s="105" t="str">
        <f t="shared" si="16"/>
        <v>开</v>
      </c>
      <c r="M51" s="601"/>
      <c r="T51" s="75" t="str">
        <f t="shared" si="17"/>
        <v>3.1.9</v>
      </c>
    </row>
    <row r="52" spans="1:22" ht="45" customHeight="1">
      <c r="A52" s="603"/>
      <c r="B52" s="602"/>
      <c r="C52" s="105" t="s">
        <v>3</v>
      </c>
      <c r="D52" s="106" t="s">
        <v>38</v>
      </c>
      <c r="E52" s="101" t="s">
        <v>101</v>
      </c>
      <c r="F52" s="105" t="str">
        <f>IFERROR(IF(FIND("开",F51,1),"开","关"),"关")</f>
        <v>开</v>
      </c>
      <c r="G52" s="105" t="s">
        <v>29</v>
      </c>
      <c r="H52" s="105" t="str">
        <f>IFERROR(IF(FIND("开",H51,1),"开","关"),"关")</f>
        <v>开</v>
      </c>
      <c r="I52" s="74"/>
      <c r="J52" s="77"/>
      <c r="K52" s="105" t="str">
        <f t="shared" si="16"/>
        <v>开</v>
      </c>
      <c r="L52" s="105" t="str">
        <f t="shared" si="16"/>
        <v>开</v>
      </c>
      <c r="M52" s="601"/>
      <c r="N52" s="75"/>
      <c r="O52" s="75"/>
      <c r="T52" s="75" t="str">
        <f t="shared" si="17"/>
        <v>3.1.9</v>
      </c>
      <c r="U52" s="74" t="b">
        <f>TEXT(O52,"0.00")=TEXT(R52,"0.00")</f>
        <v>1</v>
      </c>
    </row>
    <row r="53" spans="1:22" ht="45" customHeight="1">
      <c r="A53" s="603"/>
      <c r="B53" s="602"/>
      <c r="C53" s="105" t="s">
        <v>3</v>
      </c>
      <c r="D53" s="106" t="s">
        <v>40</v>
      </c>
      <c r="E53" s="101" t="s">
        <v>41</v>
      </c>
      <c r="F53" s="105" t="s">
        <v>42</v>
      </c>
      <c r="G53" s="105" t="str">
        <f>IFERROR(IF(FIND("开",G52,1),"开","关"),"关")</f>
        <v>关</v>
      </c>
      <c r="H53" s="105" t="str">
        <f>IFERROR(IF(FIND("开",H52,1),"开","关"),"关")</f>
        <v>开</v>
      </c>
      <c r="I53" s="74"/>
      <c r="J53" s="77"/>
      <c r="K53" s="105" t="str">
        <f t="shared" si="16"/>
        <v>开</v>
      </c>
      <c r="L53" s="105" t="str">
        <f t="shared" si="16"/>
        <v>开</v>
      </c>
      <c r="M53" s="601"/>
      <c r="T53" s="75" t="str">
        <f t="shared" si="17"/>
        <v>3.1.9</v>
      </c>
    </row>
    <row r="54" spans="1:22" ht="45" customHeight="1">
      <c r="A54" s="603"/>
      <c r="B54" s="602"/>
      <c r="C54" s="105" t="s">
        <v>3</v>
      </c>
      <c r="D54" s="106" t="s">
        <v>45</v>
      </c>
      <c r="E54" s="145" t="s">
        <v>46</v>
      </c>
      <c r="F54" s="105" t="str">
        <f>IFERROR(IF(FIND("开",F53,1),"开","关"),"关")</f>
        <v>关</v>
      </c>
      <c r="G54" s="105" t="str">
        <f>IFERROR(IF(FIND("开",G53,1),"开","关"),"关")</f>
        <v>关</v>
      </c>
      <c r="H54" s="105" t="str">
        <f>IFERROR(IF(FIND("开",H53,1),"开","关"),"关")</f>
        <v>开</v>
      </c>
      <c r="I54" s="74"/>
      <c r="J54" s="77"/>
      <c r="K54" s="105" t="str">
        <f t="shared" si="16"/>
        <v>开</v>
      </c>
      <c r="L54" s="105" t="str">
        <f t="shared" si="16"/>
        <v>开</v>
      </c>
      <c r="M54" s="601"/>
      <c r="T54" s="75" t="str">
        <f t="shared" si="17"/>
        <v>3.1.9</v>
      </c>
    </row>
    <row r="55" spans="1:22" ht="45" customHeight="1">
      <c r="A55" s="595" t="s">
        <v>102</v>
      </c>
      <c r="B55" s="633" t="s">
        <v>103</v>
      </c>
      <c r="C55" s="105" t="s">
        <v>8</v>
      </c>
      <c r="D55" s="106"/>
      <c r="E55" s="78"/>
      <c r="F55" s="105" t="str">
        <f>IFERROR(IF(FIND("开",#REF!,1),"开","关"),"关")</f>
        <v>关</v>
      </c>
      <c r="G55" s="105" t="str">
        <f>IFERROR(IF(FIND("开",#REF!,1),"开","关"),"关")</f>
        <v>关</v>
      </c>
      <c r="H55" s="105" t="str">
        <f>IFERROR(IF(FIND("开",#REF!,1),"开","关"),"关")</f>
        <v>关</v>
      </c>
      <c r="I55" s="106" t="s">
        <v>104</v>
      </c>
      <c r="J55" s="98" t="s">
        <v>105</v>
      </c>
      <c r="K55" s="105" t="str">
        <f>IFERROR(IF(FIND("开",#REF!,1),"开","关"),"关")</f>
        <v>关</v>
      </c>
      <c r="L55" s="105" t="s">
        <v>37</v>
      </c>
      <c r="M55" s="598">
        <v>1</v>
      </c>
      <c r="N55" s="75"/>
      <c r="O55" s="75"/>
      <c r="T55" s="75"/>
    </row>
    <row r="56" spans="1:22" ht="45" customHeight="1">
      <c r="A56" s="632"/>
      <c r="B56" s="634"/>
      <c r="C56" s="105" t="s">
        <v>8</v>
      </c>
      <c r="E56" s="77"/>
      <c r="F56" s="105" t="str">
        <f>IFERROR(IF(FIND("开",#REF!,1),"开","关"),"关")</f>
        <v>关</v>
      </c>
      <c r="G56" s="105" t="str">
        <f>IFERROR(IF(FIND("开",#REF!,1),"开","关"),"关")</f>
        <v>关</v>
      </c>
      <c r="H56" s="105" t="str">
        <f>IFERROR(IF(FIND("开",#REF!,1),"开","关"),"关")</f>
        <v>关</v>
      </c>
      <c r="I56" s="106" t="s">
        <v>106</v>
      </c>
      <c r="J56" s="101" t="s">
        <v>107</v>
      </c>
      <c r="K56" s="105" t="str">
        <f>IFERROR(IF(FIND("开",#REF!,1),"开","关"),"关")</f>
        <v>关</v>
      </c>
      <c r="L56" s="105" t="str">
        <f>IFERROR(IF(FIND("开",#REF!,1),"开","关"),"关")</f>
        <v>关</v>
      </c>
      <c r="M56" s="634"/>
      <c r="T56" s="75" t="e">
        <f>IF(ISBLANK(A56),#REF!,LEFT(A56,FIND(" ",A56,1)-1))</f>
        <v>#REF!</v>
      </c>
    </row>
    <row r="57" spans="1:22" ht="45" customHeight="1">
      <c r="A57" s="632"/>
      <c r="B57" s="634"/>
      <c r="C57" s="105" t="s">
        <v>8</v>
      </c>
      <c r="D57" s="105"/>
      <c r="E57" s="104"/>
      <c r="F57" s="105" t="str">
        <f t="shared" ref="F57:H58" si="18">IFERROR(IF(FIND("开",F56,1),"开","关"),"关")</f>
        <v>关</v>
      </c>
      <c r="G57" s="105" t="str">
        <f t="shared" si="18"/>
        <v>关</v>
      </c>
      <c r="H57" s="105" t="str">
        <f t="shared" si="18"/>
        <v>关</v>
      </c>
      <c r="I57" s="106" t="s">
        <v>108</v>
      </c>
      <c r="J57" s="146" t="s">
        <v>109</v>
      </c>
      <c r="K57" s="105" t="str">
        <f>IFERROR(IF(FIND("开",K56,1),"开","关"),"关")</f>
        <v>关</v>
      </c>
      <c r="L57" s="105" t="str">
        <f>IFERROR(IF(FIND("开",L56,1),"开","关"),"关")</f>
        <v>关</v>
      </c>
      <c r="M57" s="634"/>
      <c r="T57" s="75" t="e">
        <f>IF(ISBLANK(A57),T56,LEFT(A57,FIND(" ",A57,1)-1))</f>
        <v>#REF!</v>
      </c>
    </row>
    <row r="58" spans="1:22" ht="45" customHeight="1">
      <c r="A58" s="632"/>
      <c r="B58" s="634"/>
      <c r="C58" s="105" t="s">
        <v>8</v>
      </c>
      <c r="D58" s="80"/>
      <c r="E58" s="81"/>
      <c r="F58" s="103" t="str">
        <f t="shared" si="18"/>
        <v>关</v>
      </c>
      <c r="G58" s="103" t="str">
        <f t="shared" si="18"/>
        <v>关</v>
      </c>
      <c r="H58" s="103" t="str">
        <f t="shared" si="18"/>
        <v>关</v>
      </c>
      <c r="I58" s="82" t="s">
        <v>110</v>
      </c>
      <c r="J58" s="83" t="s">
        <v>111</v>
      </c>
      <c r="K58" s="105" t="s">
        <v>42</v>
      </c>
      <c r="L58" s="105" t="str">
        <f>IFERROR(IF(FIND("开",L57,1),"开","关"),"关")</f>
        <v>关</v>
      </c>
      <c r="M58" s="634"/>
      <c r="N58" s="75"/>
      <c r="O58" s="75"/>
      <c r="P58" s="75"/>
      <c r="S58" s="74">
        <f>ROUND(R58*0.03,2)</f>
        <v>0</v>
      </c>
      <c r="T58" s="75" t="e">
        <f>IF(ISBLANK(A58),T57,LEFT(A58,FIND(" ",A58,1)-1))</f>
        <v>#REF!</v>
      </c>
      <c r="U58" s="74" t="b">
        <f>TEXT(O58,"0.00")=TEXT(R58,"0.00")</f>
        <v>1</v>
      </c>
      <c r="V58" s="74">
        <f>S58-P58</f>
        <v>0</v>
      </c>
    </row>
    <row r="59" spans="1:22" ht="45" customHeight="1">
      <c r="A59" s="632"/>
      <c r="B59" s="634"/>
      <c r="C59" s="105" t="s">
        <v>8</v>
      </c>
      <c r="D59" s="80"/>
      <c r="E59" s="81"/>
      <c r="F59" s="103"/>
      <c r="G59" s="103"/>
      <c r="H59" s="103"/>
      <c r="I59" s="82" t="s">
        <v>112</v>
      </c>
      <c r="J59" s="147" t="s">
        <v>113</v>
      </c>
      <c r="M59" s="635"/>
      <c r="N59" s="75"/>
      <c r="O59" s="75"/>
      <c r="P59" s="75"/>
      <c r="T59" s="75"/>
    </row>
    <row r="60" spans="1:22" ht="45" customHeight="1">
      <c r="A60" s="595" t="s">
        <v>114</v>
      </c>
      <c r="B60" s="621" t="s">
        <v>115</v>
      </c>
      <c r="C60" s="105" t="s">
        <v>30</v>
      </c>
      <c r="D60" s="106" t="s">
        <v>31</v>
      </c>
      <c r="E60" s="148" t="s">
        <v>32</v>
      </c>
      <c r="F60" s="105" t="str">
        <f>IFERROR(IF(FIND("开",F58,1),"开","关"),"关")</f>
        <v>关</v>
      </c>
      <c r="G60" s="105" t="str">
        <f>IFERROR(IF(FIND("开",G58,1),"开","关"),"关")</f>
        <v>关</v>
      </c>
      <c r="H60" s="105" t="str">
        <f>IFERROR(IF(FIND("开",H58,1),"开","关"),"关")</f>
        <v>关</v>
      </c>
      <c r="I60" s="106"/>
      <c r="J60" s="106"/>
      <c r="K60" s="113" t="str">
        <f>IFERROR(IF(FIND("开",K58,1),"开","关"),"关")</f>
        <v>关</v>
      </c>
      <c r="L60" s="105" t="str">
        <f>IFERROR(IF(FIND("开",L58,1),"开","关"),"关")</f>
        <v>关</v>
      </c>
      <c r="M60" s="598">
        <v>1</v>
      </c>
      <c r="N60" s="75"/>
      <c r="O60" s="75"/>
      <c r="P60" s="75"/>
      <c r="S60" s="74">
        <f>ROUND(R60*0.03,2)</f>
        <v>0</v>
      </c>
      <c r="T60" s="75" t="str">
        <f>IF(ISBLANK(A60),T58,LEFT(A60,FIND(" ",A60,1)-1))</f>
        <v>3.3.1</v>
      </c>
      <c r="U60" s="74" t="b">
        <f>TEXT(O60,"0.00")=TEXT(R60,"0.00")</f>
        <v>1</v>
      </c>
      <c r="V60" s="74">
        <f>S60-P60</f>
        <v>0</v>
      </c>
    </row>
    <row r="61" spans="1:22" ht="45" customHeight="1">
      <c r="A61" s="596"/>
      <c r="B61" s="622"/>
      <c r="C61" s="105" t="s">
        <v>8</v>
      </c>
      <c r="D61" s="106"/>
      <c r="E61" s="106"/>
      <c r="I61" s="106" t="s">
        <v>116</v>
      </c>
      <c r="J61" s="149" t="s">
        <v>117</v>
      </c>
      <c r="K61" s="113"/>
      <c r="M61" s="599"/>
      <c r="N61" s="75"/>
      <c r="O61" s="75"/>
      <c r="T61" s="75"/>
    </row>
    <row r="62" spans="1:22" ht="45" customHeight="1">
      <c r="A62" s="596"/>
      <c r="B62" s="622"/>
      <c r="C62" s="105" t="s">
        <v>30</v>
      </c>
      <c r="D62" s="106" t="s">
        <v>33</v>
      </c>
      <c r="E62" s="106" t="s">
        <v>34</v>
      </c>
      <c r="F62" s="105" t="str">
        <f>IFERROR(IF(FIND("开",F60,1),"开","关"),"关")</f>
        <v>关</v>
      </c>
      <c r="G62" s="105" t="str">
        <f>IFERROR(IF(FIND("开",G60,1),"开","关"),"关")</f>
        <v>关</v>
      </c>
      <c r="H62" s="105" t="str">
        <f>IFERROR(IF(FIND("开",H60,1),"开","关"),"关")</f>
        <v>关</v>
      </c>
      <c r="I62" s="106"/>
      <c r="J62" s="106"/>
      <c r="K62" s="113" t="str">
        <f>IFERROR(IF(FIND("开",K60,1),"开","关"),"关")</f>
        <v>关</v>
      </c>
      <c r="L62" s="105" t="str">
        <f>IFERROR(IF(FIND("开",L60,1),"开","关"),"关")</f>
        <v>关</v>
      </c>
      <c r="M62" s="599"/>
      <c r="N62" s="75"/>
      <c r="O62" s="75"/>
      <c r="T62" s="75" t="str">
        <f>IF(ISBLANK(A62),T60,LEFT(A62,FIND(" ",A62,1)-1))</f>
        <v>3.3.1</v>
      </c>
      <c r="U62" s="74" t="b">
        <f>TEXT(O62,"0.00")=TEXT(R62,"0.00")</f>
        <v>1</v>
      </c>
    </row>
    <row r="63" spans="1:22" ht="45" customHeight="1">
      <c r="A63" s="596"/>
      <c r="B63" s="622"/>
      <c r="C63" s="105" t="s">
        <v>8</v>
      </c>
      <c r="D63" s="105"/>
      <c r="E63" s="105"/>
      <c r="F63" s="105" t="str">
        <f>IFERROR(IF(FIND("开",F62,1),"开","关"),"关")</f>
        <v>关</v>
      </c>
      <c r="G63" s="105" t="str">
        <f>IFERROR(IF(FIND("开",G62,1),"开","关"),"关")</f>
        <v>关</v>
      </c>
      <c r="H63" s="105" t="str">
        <f>IFERROR(IF(FIND("开",H62,1),"开","关"),"关")</f>
        <v>关</v>
      </c>
      <c r="I63" s="106" t="s">
        <v>22</v>
      </c>
      <c r="J63" s="150" t="s">
        <v>118</v>
      </c>
      <c r="K63" s="113" t="str">
        <f t="shared" ref="K63:L68" si="19">IFERROR(IF(FIND("开",K62,1),"开","关"),"关")</f>
        <v>关</v>
      </c>
      <c r="L63" s="105" t="str">
        <f t="shared" si="19"/>
        <v>关</v>
      </c>
      <c r="M63" s="600"/>
      <c r="N63" s="75" t="s">
        <v>24</v>
      </c>
      <c r="O63" s="75" t="str">
        <f>MID(J63,FIND("setting",J63,1)+8,FIND("kg",J63,1)-FIND("setting",J63,1)-8)</f>
        <v xml:space="preserve"> 61.75</v>
      </c>
      <c r="Q63" s="75" t="str">
        <f>SUBSTITUTE(T63&amp;N63," ","")</f>
        <v>3.3.2DMF</v>
      </c>
      <c r="R63" s="74">
        <f>VLOOKUP(Q63,MOR投料表!A:L,9,FALSE)</f>
        <v>61.75</v>
      </c>
      <c r="T63" s="75" t="s">
        <v>119</v>
      </c>
      <c r="U63" s="74" t="b">
        <f>TEXT(O63,"0.00")=TEXT(R63,"0.00")</f>
        <v>1</v>
      </c>
    </row>
    <row r="64" spans="1:22" ht="45" customHeight="1">
      <c r="A64" s="595" t="s">
        <v>120</v>
      </c>
      <c r="B64" s="631" t="s">
        <v>121</v>
      </c>
      <c r="C64" s="104" t="s">
        <v>3</v>
      </c>
      <c r="D64" s="101" t="s">
        <v>35</v>
      </c>
      <c r="E64" s="101" t="s">
        <v>63</v>
      </c>
      <c r="F64" s="104" t="s">
        <v>37</v>
      </c>
      <c r="G64" s="104" t="str">
        <f>IFERROR(IF(FIND("开",G63,1),"开","关"),"关")</f>
        <v>关</v>
      </c>
      <c r="H64" s="104" t="str">
        <f>IFERROR(IF(FIND("开",H63,1),"开","关"),"关")</f>
        <v>关</v>
      </c>
      <c r="I64" s="101"/>
      <c r="J64" s="101"/>
      <c r="K64" s="105" t="str">
        <f t="shared" si="19"/>
        <v>关</v>
      </c>
      <c r="L64" s="105" t="str">
        <f t="shared" si="19"/>
        <v>关</v>
      </c>
      <c r="M64" s="598">
        <v>1</v>
      </c>
      <c r="N64" s="75"/>
      <c r="O64" s="75"/>
      <c r="Q64" s="75"/>
      <c r="T64" s="75" t="str">
        <f t="shared" ref="T64:T95" si="20">IF(ISBLANK(A64),T63,LEFT(A64,FIND(" ",A64,1)-1))</f>
        <v>3.3.3</v>
      </c>
    </row>
    <row r="65" spans="1:21" ht="45" customHeight="1">
      <c r="A65" s="596"/>
      <c r="B65" s="599"/>
      <c r="C65" s="105" t="s">
        <v>3</v>
      </c>
      <c r="D65" s="106" t="s">
        <v>64</v>
      </c>
      <c r="E65" s="151" t="s">
        <v>122</v>
      </c>
      <c r="F65" s="105" t="str">
        <f>IFERROR(IF(FIND("开",F64,1),"开","关"),"关")</f>
        <v>开</v>
      </c>
      <c r="G65" s="105" t="s">
        <v>37</v>
      </c>
      <c r="H65" s="105" t="str">
        <f>IFERROR(IF(FIND("开",H64,1),"开","关"),"关")</f>
        <v>关</v>
      </c>
      <c r="I65" s="106"/>
      <c r="J65" s="101"/>
      <c r="K65" s="105" t="str">
        <f t="shared" si="19"/>
        <v>关</v>
      </c>
      <c r="L65" s="105" t="str">
        <f t="shared" si="19"/>
        <v>关</v>
      </c>
      <c r="M65" s="599"/>
      <c r="N65" s="75"/>
      <c r="O65" s="75"/>
      <c r="Q65" s="75"/>
      <c r="T65" s="75" t="str">
        <f t="shared" si="20"/>
        <v>3.3.3</v>
      </c>
    </row>
    <row r="66" spans="1:21" ht="45" customHeight="1">
      <c r="A66" s="596"/>
      <c r="B66" s="599"/>
      <c r="C66" s="105" t="s">
        <v>8</v>
      </c>
      <c r="D66" s="105"/>
      <c r="E66" s="104"/>
      <c r="F66" s="105" t="str">
        <f>IFERROR(IF(FIND("开",F65,1),"开","关"),"关")</f>
        <v>开</v>
      </c>
      <c r="G66" s="105" t="str">
        <f>IFERROR(IF(FIND("开",G65,1),"开","关"),"关")</f>
        <v>开</v>
      </c>
      <c r="H66" s="105" t="str">
        <f>IFERROR(IF(FIND("开",H65,1),"开","关"),"关")</f>
        <v>关</v>
      </c>
      <c r="I66" s="106" t="s">
        <v>61</v>
      </c>
      <c r="J66" s="101" t="s">
        <v>26</v>
      </c>
      <c r="K66" s="105" t="str">
        <f t="shared" si="19"/>
        <v>关</v>
      </c>
      <c r="L66" s="105" t="str">
        <f t="shared" si="19"/>
        <v>关</v>
      </c>
      <c r="M66" s="599"/>
      <c r="T66" s="75" t="str">
        <f t="shared" si="20"/>
        <v>3.3.3</v>
      </c>
    </row>
    <row r="67" spans="1:21" ht="45" customHeight="1">
      <c r="A67" s="596"/>
      <c r="B67" s="599"/>
      <c r="C67" s="105" t="s">
        <v>30</v>
      </c>
      <c r="D67" s="106" t="s">
        <v>31</v>
      </c>
      <c r="E67" s="152" t="s">
        <v>32</v>
      </c>
      <c r="F67" s="105" t="str">
        <f>IFERROR(IF(FIND("开",F66,1),"开","关"),"关")</f>
        <v>开</v>
      </c>
      <c r="G67" s="105" t="str">
        <f>IFERROR(IF(FIND("开",G66,1),"开","关"),"关")</f>
        <v>开</v>
      </c>
      <c r="H67" s="105" t="str">
        <f>IFERROR(IF(FIND("开",H66,1),"开","关"),"关")</f>
        <v>关</v>
      </c>
      <c r="I67" s="106"/>
      <c r="J67" s="101"/>
      <c r="K67" s="105" t="str">
        <f t="shared" si="19"/>
        <v>关</v>
      </c>
      <c r="L67" s="105" t="str">
        <f t="shared" si="19"/>
        <v>关</v>
      </c>
      <c r="M67" s="599"/>
      <c r="T67" s="75" t="str">
        <f t="shared" si="20"/>
        <v>3.3.3</v>
      </c>
    </row>
    <row r="68" spans="1:21" ht="45" customHeight="1">
      <c r="A68" s="596"/>
      <c r="B68" s="599"/>
      <c r="C68" s="105" t="s">
        <v>30</v>
      </c>
      <c r="D68" s="106" t="s">
        <v>33</v>
      </c>
      <c r="E68" s="101" t="s">
        <v>34</v>
      </c>
      <c r="F68" s="105" t="str">
        <f>IFERROR(IF(FIND("开",F67,1),"开","关"),"关")</f>
        <v>开</v>
      </c>
      <c r="G68" s="105" t="str">
        <f>IFERROR(IF(FIND("开",G67,1),"开","关"),"关")</f>
        <v>开</v>
      </c>
      <c r="H68" s="105" t="str">
        <f>IFERROR(IF(FIND("开",H67,1),"开","关"),"关")</f>
        <v>关</v>
      </c>
      <c r="I68" s="106"/>
      <c r="J68" s="101"/>
      <c r="K68" s="105" t="str">
        <f t="shared" si="19"/>
        <v>关</v>
      </c>
      <c r="L68" s="105" t="str">
        <f t="shared" si="19"/>
        <v>关</v>
      </c>
      <c r="M68" s="599"/>
      <c r="T68" s="75" t="str">
        <f t="shared" si="20"/>
        <v>3.3.3</v>
      </c>
    </row>
    <row r="69" spans="1:21" ht="45" customHeight="1">
      <c r="A69" s="596"/>
      <c r="B69" s="599"/>
      <c r="C69" s="105" t="s">
        <v>8</v>
      </c>
      <c r="E69" s="77"/>
      <c r="F69" s="105" t="str">
        <f>IFERROR(IF(FIND("开",F66,1),"开","关"),"关")</f>
        <v>开</v>
      </c>
      <c r="G69" s="105" t="str">
        <f>IFERROR(IF(FIND("开",G66,1),"开","关"),"关")</f>
        <v>开</v>
      </c>
      <c r="H69" s="105" t="str">
        <f>IFERROR(IF(FIND("开",H66,1),"开","关"),"关")</f>
        <v>关</v>
      </c>
      <c r="I69" s="106" t="s">
        <v>123</v>
      </c>
      <c r="J69" s="101" t="s">
        <v>124</v>
      </c>
      <c r="K69" s="105" t="str">
        <f>IFERROR(IF(FIND("开",#REF!,1),"开","关"),"关")</f>
        <v>关</v>
      </c>
      <c r="L69" s="105" t="s">
        <v>42</v>
      </c>
      <c r="M69" s="599"/>
      <c r="N69" s="75"/>
      <c r="O69" s="75"/>
      <c r="T69" s="75" t="str">
        <f t="shared" si="20"/>
        <v>3.3.3</v>
      </c>
      <c r="U69" s="74" t="b">
        <f>TEXT(O69,"0.00")=TEXT(R69,"0.00")</f>
        <v>1</v>
      </c>
    </row>
    <row r="70" spans="1:21" ht="45" customHeight="1">
      <c r="A70" s="596"/>
      <c r="B70" s="599"/>
      <c r="C70" s="105" t="s">
        <v>8</v>
      </c>
      <c r="E70" s="77"/>
      <c r="F70" s="105" t="str">
        <f t="shared" ref="F70:H72" si="21">IFERROR(IF(FIND("开",F69,1),"开","关"),"关")</f>
        <v>开</v>
      </c>
      <c r="G70" s="105" t="str">
        <f t="shared" si="21"/>
        <v>开</v>
      </c>
      <c r="H70" s="105" t="str">
        <f t="shared" si="21"/>
        <v>关</v>
      </c>
      <c r="I70" s="106" t="s">
        <v>125</v>
      </c>
      <c r="J70" s="101" t="s">
        <v>126</v>
      </c>
      <c r="K70" s="105" t="str">
        <f t="shared" ref="K70:K116" si="22">IFERROR(IF(FIND("开",K69,1),"开","关"),"关")</f>
        <v>关</v>
      </c>
      <c r="L70" s="105" t="str">
        <f t="shared" ref="L70:L116" si="23">IFERROR(IF(FIND("开",L69,1),"开","关"),"关")</f>
        <v>关</v>
      </c>
      <c r="M70" s="599"/>
      <c r="T70" s="75" t="str">
        <f t="shared" si="20"/>
        <v>3.3.3</v>
      </c>
    </row>
    <row r="71" spans="1:21" ht="45" customHeight="1">
      <c r="A71" s="596"/>
      <c r="B71" s="599"/>
      <c r="C71" s="105" t="s">
        <v>3</v>
      </c>
      <c r="D71" s="106" t="s">
        <v>66</v>
      </c>
      <c r="E71" s="153" t="s">
        <v>127</v>
      </c>
      <c r="F71" s="105" t="str">
        <f t="shared" si="21"/>
        <v>开</v>
      </c>
      <c r="G71" s="105" t="str">
        <f t="shared" si="21"/>
        <v>开</v>
      </c>
      <c r="H71" s="105" t="str">
        <f t="shared" si="21"/>
        <v>关</v>
      </c>
      <c r="I71" s="106"/>
      <c r="J71" s="101"/>
      <c r="K71" s="105" t="str">
        <f t="shared" si="22"/>
        <v>关</v>
      </c>
      <c r="L71" s="105" t="str">
        <f t="shared" si="23"/>
        <v>关</v>
      </c>
      <c r="M71" s="599"/>
      <c r="T71" s="75" t="str">
        <f t="shared" si="20"/>
        <v>3.3.3</v>
      </c>
    </row>
    <row r="72" spans="1:21" ht="45" customHeight="1">
      <c r="A72" s="596"/>
      <c r="B72" s="599"/>
      <c r="C72" s="105" t="s">
        <v>3</v>
      </c>
      <c r="D72" s="106" t="s">
        <v>128</v>
      </c>
      <c r="E72" s="154" t="s">
        <v>129</v>
      </c>
      <c r="F72" s="105" t="str">
        <f t="shared" si="21"/>
        <v>开</v>
      </c>
      <c r="G72" s="105" t="str">
        <f t="shared" si="21"/>
        <v>开</v>
      </c>
      <c r="H72" s="105" t="str">
        <f t="shared" si="21"/>
        <v>关</v>
      </c>
      <c r="I72" s="106"/>
      <c r="J72" s="101"/>
      <c r="K72" s="105" t="str">
        <f t="shared" si="22"/>
        <v>关</v>
      </c>
      <c r="L72" s="105" t="str">
        <f t="shared" si="23"/>
        <v>关</v>
      </c>
      <c r="M72" s="599"/>
      <c r="T72" s="75" t="str">
        <f t="shared" si="20"/>
        <v>3.3.3</v>
      </c>
    </row>
    <row r="73" spans="1:21" ht="45" customHeight="1">
      <c r="A73" s="596"/>
      <c r="B73" s="599"/>
      <c r="C73" s="105" t="s">
        <v>3</v>
      </c>
      <c r="D73" s="106" t="s">
        <v>70</v>
      </c>
      <c r="E73" s="101" t="s">
        <v>71</v>
      </c>
      <c r="F73" s="105" t="str">
        <f>IFERROR(IF(FIND("开",F72,1),"开","关"),"关")</f>
        <v>开</v>
      </c>
      <c r="G73" s="105" t="s">
        <v>42</v>
      </c>
      <c r="H73" s="105" t="str">
        <f>IFERROR(IF(FIND("开",H72,1),"开","关"),"关")</f>
        <v>关</v>
      </c>
      <c r="J73" s="101"/>
      <c r="K73" s="105" t="str">
        <f t="shared" si="22"/>
        <v>关</v>
      </c>
      <c r="L73" s="105" t="str">
        <f t="shared" si="23"/>
        <v>关</v>
      </c>
      <c r="M73" s="599"/>
      <c r="T73" s="75" t="str">
        <f t="shared" si="20"/>
        <v>3.3.3</v>
      </c>
    </row>
    <row r="74" spans="1:21" ht="45" customHeight="1">
      <c r="A74" s="596"/>
      <c r="B74" s="599"/>
      <c r="C74" s="105" t="s">
        <v>3</v>
      </c>
      <c r="D74" s="106" t="s">
        <v>40</v>
      </c>
      <c r="E74" s="101" t="s">
        <v>41</v>
      </c>
      <c r="F74" s="105" t="s">
        <v>42</v>
      </c>
      <c r="G74" s="105" t="str">
        <f t="shared" ref="G74:G89" si="24">IFERROR(IF(FIND("开",G73,1),"开","关"),"关")</f>
        <v>关</v>
      </c>
      <c r="H74" s="105" t="str">
        <f>IFERROR(IF(FIND("开",H73,1),"开","关"),"关")</f>
        <v>关</v>
      </c>
      <c r="J74" s="101"/>
      <c r="K74" s="105" t="str">
        <f t="shared" si="22"/>
        <v>关</v>
      </c>
      <c r="L74" s="105" t="str">
        <f t="shared" si="23"/>
        <v>关</v>
      </c>
      <c r="M74" s="599"/>
      <c r="T74" s="75" t="str">
        <f t="shared" si="20"/>
        <v>3.3.3</v>
      </c>
    </row>
    <row r="75" spans="1:21" ht="45" customHeight="1">
      <c r="A75" s="596"/>
      <c r="B75" s="599"/>
      <c r="C75" s="105" t="s">
        <v>3</v>
      </c>
      <c r="D75" s="106" t="s">
        <v>45</v>
      </c>
      <c r="E75" s="155" t="s">
        <v>46</v>
      </c>
      <c r="F75" s="105" t="str">
        <f t="shared" ref="F75:F88" si="25">IFERROR(IF(FIND("开",F74,1),"开","关"),"关")</f>
        <v>关</v>
      </c>
      <c r="G75" s="105" t="str">
        <f t="shared" si="24"/>
        <v>关</v>
      </c>
      <c r="H75" s="105" t="str">
        <f>IFERROR(IF(FIND("开",H74,1),"开","关"),"关")</f>
        <v>关</v>
      </c>
      <c r="J75" s="101"/>
      <c r="K75" s="105" t="str">
        <f t="shared" si="22"/>
        <v>关</v>
      </c>
      <c r="L75" s="105" t="str">
        <f t="shared" si="23"/>
        <v>关</v>
      </c>
      <c r="M75" s="599"/>
      <c r="T75" s="75" t="str">
        <f t="shared" si="20"/>
        <v>3.3.3</v>
      </c>
    </row>
    <row r="76" spans="1:21" ht="45" customHeight="1">
      <c r="A76" s="596"/>
      <c r="B76" s="599"/>
      <c r="C76" s="105" t="s">
        <v>3</v>
      </c>
      <c r="D76" s="106" t="s">
        <v>130</v>
      </c>
      <c r="E76" s="156" t="s">
        <v>131</v>
      </c>
      <c r="F76" s="105" t="str">
        <f t="shared" si="25"/>
        <v>关</v>
      </c>
      <c r="G76" s="105" t="str">
        <f t="shared" si="24"/>
        <v>关</v>
      </c>
      <c r="H76" s="105" t="s">
        <v>42</v>
      </c>
      <c r="J76" s="101"/>
      <c r="K76" s="105" t="str">
        <f t="shared" si="22"/>
        <v>关</v>
      </c>
      <c r="L76" s="105" t="str">
        <f t="shared" si="23"/>
        <v>关</v>
      </c>
      <c r="M76" s="599"/>
      <c r="T76" s="75" t="str">
        <f t="shared" si="20"/>
        <v>3.3.3</v>
      </c>
    </row>
    <row r="77" spans="1:21" ht="45" customHeight="1">
      <c r="A77" s="597"/>
      <c r="B77" s="600"/>
      <c r="C77" s="105" t="s">
        <v>3</v>
      </c>
      <c r="D77" s="106" t="s">
        <v>52</v>
      </c>
      <c r="E77" s="157" t="s">
        <v>132</v>
      </c>
      <c r="F77" s="105" t="str">
        <f t="shared" si="25"/>
        <v>关</v>
      </c>
      <c r="G77" s="105" t="str">
        <f t="shared" si="24"/>
        <v>关</v>
      </c>
      <c r="H77" s="105" t="s">
        <v>37</v>
      </c>
      <c r="J77" s="101"/>
      <c r="K77" s="105" t="str">
        <f t="shared" si="22"/>
        <v>关</v>
      </c>
      <c r="L77" s="105" t="str">
        <f t="shared" si="23"/>
        <v>关</v>
      </c>
      <c r="M77" s="600"/>
      <c r="T77" s="75" t="str">
        <f t="shared" si="20"/>
        <v>3.3.3</v>
      </c>
    </row>
    <row r="78" spans="1:21" ht="45" customHeight="1">
      <c r="A78" s="603" t="s">
        <v>133</v>
      </c>
      <c r="B78" s="612" t="s">
        <v>134</v>
      </c>
      <c r="C78" s="105" t="s">
        <v>8</v>
      </c>
      <c r="E78" s="102"/>
      <c r="F78" s="105" t="str">
        <f t="shared" si="25"/>
        <v>关</v>
      </c>
      <c r="G78" s="105" t="str">
        <f t="shared" si="24"/>
        <v>关</v>
      </c>
      <c r="H78" s="105" t="str">
        <f t="shared" ref="H78:H99" si="26">IFERROR(IF(FIND("开",H77,1),"开","关"),"关")</f>
        <v>开</v>
      </c>
      <c r="I78" s="84" t="s">
        <v>77</v>
      </c>
      <c r="J78" s="158" t="s">
        <v>135</v>
      </c>
      <c r="K78" s="105" t="str">
        <f t="shared" si="22"/>
        <v>关</v>
      </c>
      <c r="L78" s="105" t="str">
        <f t="shared" si="23"/>
        <v>关</v>
      </c>
      <c r="M78" s="601">
        <v>3</v>
      </c>
      <c r="N78" s="75" t="s">
        <v>24</v>
      </c>
      <c r="O78" s="75" t="str">
        <f>MID(J78,FIND("setting",J78,1)+8,FIND("kg",J78,1)-FIND("setting",J78,1)-8)</f>
        <v xml:space="preserve"> 492.70</v>
      </c>
      <c r="Q78" s="75" t="str">
        <f>SUBSTITUTE(T78&amp;N78," ","")</f>
        <v>3.3.6DMF</v>
      </c>
      <c r="R78" s="74">
        <f>VLOOKUP(Q78,MOR投料表!A:L,9,FALSE)</f>
        <v>492.7</v>
      </c>
      <c r="T78" s="75" t="str">
        <f t="shared" si="20"/>
        <v>3.3.6</v>
      </c>
      <c r="U78" s="74" t="b">
        <f>TEXT(O78,"0.00")=TEXT(R78,"0.00")</f>
        <v>1</v>
      </c>
    </row>
    <row r="79" spans="1:21" ht="45" customHeight="1">
      <c r="A79" s="603"/>
      <c r="B79" s="602"/>
      <c r="C79" s="105" t="s">
        <v>8</v>
      </c>
      <c r="E79" s="102"/>
      <c r="F79" s="105" t="str">
        <f t="shared" si="25"/>
        <v>关</v>
      </c>
      <c r="G79" s="105" t="str">
        <f t="shared" si="24"/>
        <v>关</v>
      </c>
      <c r="H79" s="105" t="str">
        <f t="shared" si="26"/>
        <v>开</v>
      </c>
      <c r="I79" s="84" t="s">
        <v>61</v>
      </c>
      <c r="J79" s="101" t="s">
        <v>26</v>
      </c>
      <c r="K79" s="105" t="str">
        <f t="shared" si="22"/>
        <v>关</v>
      </c>
      <c r="L79" s="105" t="str">
        <f t="shared" si="23"/>
        <v>关</v>
      </c>
      <c r="M79" s="601"/>
      <c r="T79" s="75" t="str">
        <f t="shared" si="20"/>
        <v>3.3.6</v>
      </c>
    </row>
    <row r="80" spans="1:21" ht="45" customHeight="1">
      <c r="A80" s="603"/>
      <c r="B80" s="602"/>
      <c r="C80" s="105" t="s">
        <v>8</v>
      </c>
      <c r="E80" s="102"/>
      <c r="F80" s="105" t="str">
        <f t="shared" si="25"/>
        <v>关</v>
      </c>
      <c r="G80" s="105" t="str">
        <f t="shared" si="24"/>
        <v>关</v>
      </c>
      <c r="H80" s="105" t="str">
        <f t="shared" si="26"/>
        <v>开</v>
      </c>
      <c r="I80" s="84" t="s">
        <v>137</v>
      </c>
      <c r="J80" s="101" t="s">
        <v>138</v>
      </c>
      <c r="K80" s="105" t="str">
        <f t="shared" si="22"/>
        <v>关</v>
      </c>
      <c r="L80" s="105" t="str">
        <f t="shared" si="23"/>
        <v>关</v>
      </c>
      <c r="M80" s="601"/>
      <c r="N80" s="75"/>
      <c r="O80" s="75"/>
      <c r="T80" s="75" t="str">
        <f t="shared" si="20"/>
        <v>3.3.6</v>
      </c>
      <c r="U80" s="74" t="b">
        <f>TEXT(O80,"0.00")=TEXT(R80,"0.00")</f>
        <v>1</v>
      </c>
    </row>
    <row r="81" spans="1:21" ht="45" customHeight="1">
      <c r="A81" s="603"/>
      <c r="B81" s="602"/>
      <c r="C81" s="105" t="s">
        <v>8</v>
      </c>
      <c r="E81" s="102"/>
      <c r="F81" s="105" t="str">
        <f t="shared" si="25"/>
        <v>关</v>
      </c>
      <c r="G81" s="105" t="str">
        <f t="shared" si="24"/>
        <v>关</v>
      </c>
      <c r="H81" s="105" t="str">
        <f t="shared" si="26"/>
        <v>开</v>
      </c>
      <c r="I81" s="84" t="s">
        <v>139</v>
      </c>
      <c r="J81" s="101" t="s">
        <v>140</v>
      </c>
      <c r="K81" s="105" t="str">
        <f t="shared" si="22"/>
        <v>关</v>
      </c>
      <c r="L81" s="105" t="str">
        <f t="shared" si="23"/>
        <v>关</v>
      </c>
      <c r="M81" s="601"/>
      <c r="T81" s="75" t="str">
        <f t="shared" si="20"/>
        <v>3.3.6</v>
      </c>
    </row>
    <row r="82" spans="1:21" ht="45" customHeight="1">
      <c r="A82" s="603"/>
      <c r="B82" s="602"/>
      <c r="C82" s="105" t="s">
        <v>8</v>
      </c>
      <c r="E82" s="102"/>
      <c r="F82" s="105" t="str">
        <f t="shared" si="25"/>
        <v>关</v>
      </c>
      <c r="G82" s="105" t="str">
        <f t="shared" si="24"/>
        <v>关</v>
      </c>
      <c r="H82" s="105" t="str">
        <f t="shared" si="26"/>
        <v>开</v>
      </c>
      <c r="I82" s="84" t="s">
        <v>141</v>
      </c>
      <c r="J82" s="101" t="s">
        <v>142</v>
      </c>
      <c r="K82" s="105" t="str">
        <f t="shared" si="22"/>
        <v>关</v>
      </c>
      <c r="L82" s="105" t="str">
        <f t="shared" si="23"/>
        <v>关</v>
      </c>
      <c r="M82" s="601"/>
      <c r="T82" s="75" t="str">
        <f t="shared" si="20"/>
        <v>3.3.6</v>
      </c>
    </row>
    <row r="83" spans="1:21" ht="45" customHeight="1">
      <c r="A83" s="603"/>
      <c r="B83" s="602"/>
      <c r="C83" s="105" t="s">
        <v>8</v>
      </c>
      <c r="E83" s="102"/>
      <c r="F83" s="105" t="str">
        <f t="shared" si="25"/>
        <v>关</v>
      </c>
      <c r="G83" s="105" t="str">
        <f t="shared" si="24"/>
        <v>关</v>
      </c>
      <c r="H83" s="105" t="str">
        <f t="shared" si="26"/>
        <v>开</v>
      </c>
      <c r="I83" s="84" t="s">
        <v>143</v>
      </c>
      <c r="J83" s="101" t="s">
        <v>144</v>
      </c>
      <c r="K83" s="105" t="str">
        <f t="shared" si="22"/>
        <v>关</v>
      </c>
      <c r="L83" s="105" t="str">
        <f t="shared" si="23"/>
        <v>关</v>
      </c>
      <c r="M83" s="601"/>
      <c r="T83" s="75" t="str">
        <f t="shared" si="20"/>
        <v>3.3.6</v>
      </c>
    </row>
    <row r="84" spans="1:21" ht="45" customHeight="1">
      <c r="A84" s="603"/>
      <c r="B84" s="602"/>
      <c r="C84" s="105" t="s">
        <v>8</v>
      </c>
      <c r="E84" s="102"/>
      <c r="F84" s="105" t="str">
        <f t="shared" si="25"/>
        <v>关</v>
      </c>
      <c r="G84" s="105" t="str">
        <f t="shared" si="24"/>
        <v>关</v>
      </c>
      <c r="H84" s="105" t="str">
        <f t="shared" si="26"/>
        <v>开</v>
      </c>
      <c r="I84" s="84" t="s">
        <v>145</v>
      </c>
      <c r="J84" s="101" t="s">
        <v>146</v>
      </c>
      <c r="K84" s="105" t="str">
        <f t="shared" si="22"/>
        <v>关</v>
      </c>
      <c r="L84" s="105" t="str">
        <f t="shared" si="23"/>
        <v>关</v>
      </c>
      <c r="M84" s="601"/>
      <c r="N84" s="75"/>
      <c r="O84" s="75"/>
      <c r="T84" s="75" t="str">
        <f t="shared" si="20"/>
        <v>3.3.6</v>
      </c>
      <c r="U84" s="74" t="b">
        <f>TEXT(O84,"0.00")=TEXT(R84,"0.00")</f>
        <v>1</v>
      </c>
    </row>
    <row r="85" spans="1:21" ht="45" customHeight="1">
      <c r="A85" s="603"/>
      <c r="B85" s="602"/>
      <c r="C85" s="105" t="s">
        <v>8</v>
      </c>
      <c r="E85" s="102"/>
      <c r="F85" s="105" t="str">
        <f t="shared" si="25"/>
        <v>关</v>
      </c>
      <c r="G85" s="105" t="str">
        <f t="shared" si="24"/>
        <v>关</v>
      </c>
      <c r="H85" s="105" t="str">
        <f t="shared" si="26"/>
        <v>开</v>
      </c>
      <c r="I85" s="84" t="s">
        <v>147</v>
      </c>
      <c r="J85" s="101" t="s">
        <v>148</v>
      </c>
      <c r="K85" s="105" t="str">
        <f t="shared" si="22"/>
        <v>关</v>
      </c>
      <c r="L85" s="105" t="str">
        <f t="shared" si="23"/>
        <v>关</v>
      </c>
      <c r="M85" s="601"/>
      <c r="T85" s="75" t="str">
        <f t="shared" si="20"/>
        <v>3.3.6</v>
      </c>
    </row>
    <row r="86" spans="1:21" ht="45" customHeight="1">
      <c r="A86" s="603"/>
      <c r="B86" s="602"/>
      <c r="C86" s="105" t="s">
        <v>30</v>
      </c>
      <c r="D86" s="106" t="s">
        <v>31</v>
      </c>
      <c r="E86" s="159" t="s">
        <v>32</v>
      </c>
      <c r="F86" s="105" t="str">
        <f t="shared" si="25"/>
        <v>关</v>
      </c>
      <c r="G86" s="105" t="str">
        <f t="shared" si="24"/>
        <v>关</v>
      </c>
      <c r="H86" s="105" t="str">
        <f t="shared" si="26"/>
        <v>开</v>
      </c>
      <c r="J86" s="101"/>
      <c r="K86" s="105" t="str">
        <f t="shared" si="22"/>
        <v>关</v>
      </c>
      <c r="L86" s="105" t="str">
        <f t="shared" si="23"/>
        <v>关</v>
      </c>
      <c r="M86" s="601"/>
      <c r="T86" s="75" t="str">
        <f t="shared" si="20"/>
        <v>3.3.6</v>
      </c>
    </row>
    <row r="87" spans="1:21" ht="45" customHeight="1">
      <c r="A87" s="603"/>
      <c r="B87" s="602"/>
      <c r="C87" s="105" t="s">
        <v>30</v>
      </c>
      <c r="D87" s="106" t="s">
        <v>33</v>
      </c>
      <c r="E87" s="101" t="s">
        <v>34</v>
      </c>
      <c r="F87" s="105" t="str">
        <f t="shared" si="25"/>
        <v>关</v>
      </c>
      <c r="G87" s="105" t="str">
        <f t="shared" si="24"/>
        <v>关</v>
      </c>
      <c r="H87" s="105" t="str">
        <f t="shared" si="26"/>
        <v>开</v>
      </c>
      <c r="J87" s="101"/>
      <c r="K87" s="105" t="str">
        <f t="shared" si="22"/>
        <v>关</v>
      </c>
      <c r="L87" s="105" t="str">
        <f t="shared" si="23"/>
        <v>关</v>
      </c>
      <c r="M87" s="601"/>
      <c r="T87" s="75" t="str">
        <f t="shared" si="20"/>
        <v>3.3.6</v>
      </c>
    </row>
    <row r="88" spans="1:21" ht="45" customHeight="1">
      <c r="A88" s="603"/>
      <c r="B88" s="602"/>
      <c r="C88" s="105" t="s">
        <v>8</v>
      </c>
      <c r="D88" s="106"/>
      <c r="E88" s="78"/>
      <c r="F88" s="105" t="str">
        <f t="shared" si="25"/>
        <v>关</v>
      </c>
      <c r="G88" s="105" t="str">
        <f t="shared" si="24"/>
        <v>关</v>
      </c>
      <c r="H88" s="105" t="str">
        <f t="shared" si="26"/>
        <v>开</v>
      </c>
      <c r="I88" s="106" t="s">
        <v>54</v>
      </c>
      <c r="J88" s="160" t="s">
        <v>149</v>
      </c>
      <c r="K88" s="105" t="str">
        <f t="shared" si="22"/>
        <v>关</v>
      </c>
      <c r="L88" s="105" t="str">
        <f t="shared" si="23"/>
        <v>关</v>
      </c>
      <c r="M88" s="601"/>
      <c r="T88" s="75" t="str">
        <f t="shared" si="20"/>
        <v>3.3.6</v>
      </c>
    </row>
    <row r="89" spans="1:21" ht="45" customHeight="1">
      <c r="A89" s="603"/>
      <c r="B89" s="602"/>
      <c r="C89" s="105" t="s">
        <v>3</v>
      </c>
      <c r="D89" s="106" t="s">
        <v>35</v>
      </c>
      <c r="E89" s="101" t="s">
        <v>63</v>
      </c>
      <c r="F89" s="105" t="s">
        <v>37</v>
      </c>
      <c r="G89" s="105" t="str">
        <f t="shared" si="24"/>
        <v>关</v>
      </c>
      <c r="H89" s="105" t="str">
        <f t="shared" si="26"/>
        <v>开</v>
      </c>
      <c r="J89" s="101"/>
      <c r="K89" s="105" t="str">
        <f t="shared" si="22"/>
        <v>关</v>
      </c>
      <c r="L89" s="105" t="str">
        <f t="shared" si="23"/>
        <v>关</v>
      </c>
      <c r="M89" s="601"/>
      <c r="T89" s="75" t="str">
        <f t="shared" si="20"/>
        <v>3.3.6</v>
      </c>
    </row>
    <row r="90" spans="1:21" ht="45" customHeight="1">
      <c r="A90" s="603"/>
      <c r="B90" s="602"/>
      <c r="C90" s="105" t="s">
        <v>3</v>
      </c>
      <c r="D90" s="106" t="s">
        <v>38</v>
      </c>
      <c r="E90" s="101" t="s">
        <v>101</v>
      </c>
      <c r="F90" s="105" t="str">
        <f>IFERROR(IF(FIND("开",F89,1),"开","关"),"关")</f>
        <v>开</v>
      </c>
      <c r="G90" s="105" t="s">
        <v>29</v>
      </c>
      <c r="H90" s="105" t="str">
        <f t="shared" si="26"/>
        <v>开</v>
      </c>
      <c r="J90" s="101"/>
      <c r="K90" s="105" t="str">
        <f t="shared" si="22"/>
        <v>关</v>
      </c>
      <c r="L90" s="105" t="str">
        <f t="shared" si="23"/>
        <v>关</v>
      </c>
      <c r="M90" s="601"/>
      <c r="T90" s="75" t="str">
        <f t="shared" si="20"/>
        <v>3.3.6</v>
      </c>
    </row>
    <row r="91" spans="1:21" ht="45" customHeight="1">
      <c r="A91" s="603"/>
      <c r="B91" s="602"/>
      <c r="C91" s="105" t="s">
        <v>3</v>
      </c>
      <c r="D91" s="106" t="s">
        <v>40</v>
      </c>
      <c r="E91" s="101" t="s">
        <v>41</v>
      </c>
      <c r="F91" s="105" t="s">
        <v>42</v>
      </c>
      <c r="G91" s="105" t="str">
        <f>IFERROR(IF(FIND("开",G90,1),"开","关"),"关")</f>
        <v>关</v>
      </c>
      <c r="H91" s="105" t="str">
        <f t="shared" si="26"/>
        <v>开</v>
      </c>
      <c r="J91" s="101"/>
      <c r="K91" s="105" t="str">
        <f t="shared" si="22"/>
        <v>关</v>
      </c>
      <c r="L91" s="105" t="str">
        <f t="shared" si="23"/>
        <v>关</v>
      </c>
      <c r="M91" s="601"/>
      <c r="T91" s="75" t="str">
        <f t="shared" si="20"/>
        <v>3.3.6</v>
      </c>
    </row>
    <row r="92" spans="1:21" ht="45" customHeight="1">
      <c r="A92" s="603"/>
      <c r="B92" s="602"/>
      <c r="C92" s="105" t="s">
        <v>3</v>
      </c>
      <c r="D92" s="106" t="s">
        <v>45</v>
      </c>
      <c r="E92" s="161" t="s">
        <v>46</v>
      </c>
      <c r="F92" s="105" t="str">
        <f>IFERROR(IF(FIND("开",F91,1),"开","关"),"关")</f>
        <v>关</v>
      </c>
      <c r="G92" s="105" t="str">
        <f>IFERROR(IF(FIND("开",G91,1),"开","关"),"关")</f>
        <v>关</v>
      </c>
      <c r="H92" s="105" t="str">
        <f t="shared" si="26"/>
        <v>开</v>
      </c>
      <c r="J92" s="101"/>
      <c r="K92" s="105" t="str">
        <f t="shared" si="22"/>
        <v>关</v>
      </c>
      <c r="L92" s="105" t="str">
        <f t="shared" si="23"/>
        <v>关</v>
      </c>
      <c r="M92" s="601"/>
      <c r="N92" s="75"/>
      <c r="O92" s="75"/>
      <c r="T92" s="75" t="str">
        <f t="shared" si="20"/>
        <v>3.3.6</v>
      </c>
      <c r="U92" s="74" t="b">
        <f>TEXT(O92,"0.00")=TEXT(R92,"0.00")</f>
        <v>1</v>
      </c>
    </row>
    <row r="93" spans="1:21" ht="45" customHeight="1">
      <c r="A93" s="603" t="s">
        <v>150</v>
      </c>
      <c r="B93" s="624" t="s">
        <v>151</v>
      </c>
      <c r="C93" s="105" t="s">
        <v>3</v>
      </c>
      <c r="D93" s="106" t="s">
        <v>58</v>
      </c>
      <c r="E93" s="162" t="s">
        <v>152</v>
      </c>
      <c r="F93" s="105" t="str">
        <f>IFERROR(IF(FIND("开",F92,1),"开","关"),"关")</f>
        <v>关</v>
      </c>
      <c r="G93" s="105" t="str">
        <f>IFERROR(IF(FIND("开",G92,1),"开","关"),"关")</f>
        <v>关</v>
      </c>
      <c r="H93" s="105" t="str">
        <f t="shared" si="26"/>
        <v>开</v>
      </c>
      <c r="J93" s="101"/>
      <c r="K93" s="105" t="str">
        <f t="shared" si="22"/>
        <v>关</v>
      </c>
      <c r="L93" s="105" t="str">
        <f t="shared" si="23"/>
        <v>关</v>
      </c>
      <c r="M93" s="598">
        <v>1</v>
      </c>
      <c r="N93" s="75" t="s">
        <v>24</v>
      </c>
      <c r="O93" s="75" t="str">
        <f>MID(E93,FIND("setting",E93,1)+8,FIND("kg",E93,1)-FIND("setting",E93,1)-8)</f>
        <v xml:space="preserve"> 554.45</v>
      </c>
      <c r="Q93" s="75" t="str">
        <f>SUBSTITUTE(T93&amp;N93," ","")</f>
        <v>3.4.1DMF</v>
      </c>
      <c r="R93" s="74">
        <f>VLOOKUP(Q93,MOR投料表!A:L,9,FALSE)</f>
        <v>554.45000000000005</v>
      </c>
      <c r="T93" s="75" t="str">
        <f t="shared" si="20"/>
        <v>3.4.1</v>
      </c>
      <c r="U93" s="74" t="b">
        <f>TEXT(O93,"0.00")=TEXT(R93,"0.00")</f>
        <v>1</v>
      </c>
    </row>
    <row r="94" spans="1:21" ht="45" customHeight="1">
      <c r="A94" s="603"/>
      <c r="B94" s="602"/>
      <c r="C94" s="105" t="s">
        <v>3</v>
      </c>
      <c r="D94" s="106" t="s">
        <v>61</v>
      </c>
      <c r="E94" s="163" t="s">
        <v>154</v>
      </c>
      <c r="F94" s="105" t="str">
        <f>IFERROR(IF(FIND("开",F93,1),"开","关"),"关")</f>
        <v>关</v>
      </c>
      <c r="G94" s="105" t="str">
        <f>IFERROR(IF(FIND("开",G93,1),"开","关"),"关")</f>
        <v>关</v>
      </c>
      <c r="H94" s="105" t="str">
        <f t="shared" si="26"/>
        <v>开</v>
      </c>
      <c r="J94" s="101"/>
      <c r="K94" s="105" t="str">
        <f t="shared" si="22"/>
        <v>关</v>
      </c>
      <c r="L94" s="105" t="str">
        <f t="shared" si="23"/>
        <v>关</v>
      </c>
      <c r="M94" s="599"/>
      <c r="N94" s="75"/>
      <c r="O94" s="75"/>
      <c r="T94" s="75" t="str">
        <f t="shared" si="20"/>
        <v>3.4.1</v>
      </c>
      <c r="U94" s="74" t="b">
        <f>TEXT(O94,"0.00")=TEXT(R94,"0.00")</f>
        <v>1</v>
      </c>
    </row>
    <row r="95" spans="1:21" ht="45" customHeight="1">
      <c r="A95" s="603"/>
      <c r="B95" s="602"/>
      <c r="C95" s="105" t="s">
        <v>3</v>
      </c>
      <c r="D95" s="106" t="s">
        <v>35</v>
      </c>
      <c r="E95" s="101" t="s">
        <v>63</v>
      </c>
      <c r="F95" s="105" t="s">
        <v>37</v>
      </c>
      <c r="G95" s="105" t="str">
        <f>IFERROR(IF(FIND("开",G94,1),"开","关"),"关")</f>
        <v>关</v>
      </c>
      <c r="H95" s="105" t="str">
        <f t="shared" si="26"/>
        <v>开</v>
      </c>
      <c r="J95" s="101"/>
      <c r="K95" s="105" t="str">
        <f t="shared" si="22"/>
        <v>关</v>
      </c>
      <c r="L95" s="105" t="str">
        <f t="shared" si="23"/>
        <v>关</v>
      </c>
      <c r="M95" s="599"/>
      <c r="T95" s="75" t="str">
        <f t="shared" si="20"/>
        <v>3.4.1</v>
      </c>
    </row>
    <row r="96" spans="1:21" ht="45" customHeight="1">
      <c r="A96" s="603"/>
      <c r="B96" s="602"/>
      <c r="C96" s="105" t="s">
        <v>3</v>
      </c>
      <c r="D96" s="106" t="s">
        <v>64</v>
      </c>
      <c r="E96" s="101" t="s">
        <v>65</v>
      </c>
      <c r="F96" s="105" t="str">
        <f t="shared" ref="F96:F104" si="27">IFERROR(IF(FIND("开",F95,1),"开","关"),"关")</f>
        <v>开</v>
      </c>
      <c r="G96" s="105" t="s">
        <v>37</v>
      </c>
      <c r="H96" s="105" t="str">
        <f t="shared" si="26"/>
        <v>开</v>
      </c>
      <c r="J96" s="101"/>
      <c r="K96" s="105" t="str">
        <f t="shared" si="22"/>
        <v>关</v>
      </c>
      <c r="L96" s="105" t="str">
        <f t="shared" si="23"/>
        <v>关</v>
      </c>
      <c r="M96" s="599"/>
      <c r="T96" s="75" t="str">
        <f t="shared" ref="T96:T116" si="28">IF(ISBLANK(A96),T95,LEFT(A96,FIND(" ",A96,1)-1))</f>
        <v>3.4.1</v>
      </c>
    </row>
    <row r="97" spans="1:21" ht="45" customHeight="1">
      <c r="A97" s="603"/>
      <c r="B97" s="602"/>
      <c r="C97" s="105" t="s">
        <v>3</v>
      </c>
      <c r="D97" s="106" t="s">
        <v>155</v>
      </c>
      <c r="E97" s="164" t="s">
        <v>156</v>
      </c>
      <c r="F97" s="105" t="str">
        <f t="shared" si="27"/>
        <v>开</v>
      </c>
      <c r="G97" s="105" t="str">
        <f t="shared" ref="G97:G103" si="29">IFERROR(IF(FIND("开",G96,1),"开","关"),"关")</f>
        <v>开</v>
      </c>
      <c r="H97" s="105" t="str">
        <f t="shared" si="26"/>
        <v>开</v>
      </c>
      <c r="J97" s="101"/>
      <c r="K97" s="105" t="str">
        <f t="shared" si="22"/>
        <v>关</v>
      </c>
      <c r="L97" s="105" t="str">
        <f t="shared" si="23"/>
        <v>关</v>
      </c>
      <c r="M97" s="599"/>
      <c r="T97" s="75" t="str">
        <f t="shared" si="28"/>
        <v>3.4.1</v>
      </c>
    </row>
    <row r="98" spans="1:21" ht="45" customHeight="1">
      <c r="A98" s="603"/>
      <c r="B98" s="602"/>
      <c r="C98" s="105" t="s">
        <v>3</v>
      </c>
      <c r="D98" s="94" t="s">
        <v>66</v>
      </c>
      <c r="E98" s="165" t="s">
        <v>157</v>
      </c>
      <c r="F98" s="105" t="str">
        <f t="shared" si="27"/>
        <v>开</v>
      </c>
      <c r="G98" s="105" t="str">
        <f t="shared" si="29"/>
        <v>开</v>
      </c>
      <c r="H98" s="105" t="str">
        <f t="shared" si="26"/>
        <v>开</v>
      </c>
      <c r="J98" s="101"/>
      <c r="K98" s="105" t="str">
        <f t="shared" si="22"/>
        <v>关</v>
      </c>
      <c r="L98" s="105" t="str">
        <f t="shared" si="23"/>
        <v>关</v>
      </c>
      <c r="M98" s="599"/>
      <c r="T98" s="75" t="str">
        <f t="shared" si="28"/>
        <v>3.4.1</v>
      </c>
    </row>
    <row r="99" spans="1:21" ht="45" customHeight="1">
      <c r="A99" s="603"/>
      <c r="B99" s="602"/>
      <c r="C99" s="105" t="s">
        <v>3</v>
      </c>
      <c r="D99" s="94" t="s">
        <v>158</v>
      </c>
      <c r="E99" s="166" t="s">
        <v>159</v>
      </c>
      <c r="F99" s="105" t="str">
        <f t="shared" si="27"/>
        <v>开</v>
      </c>
      <c r="G99" s="105" t="str">
        <f t="shared" si="29"/>
        <v>开</v>
      </c>
      <c r="H99" s="105" t="str">
        <f t="shared" si="26"/>
        <v>开</v>
      </c>
      <c r="J99" s="77"/>
      <c r="K99" s="105" t="str">
        <f t="shared" si="22"/>
        <v>关</v>
      </c>
      <c r="L99" s="105" t="str">
        <f t="shared" si="23"/>
        <v>关</v>
      </c>
      <c r="M99" s="599"/>
      <c r="N99" s="75"/>
      <c r="O99" s="75"/>
      <c r="P99" s="75"/>
      <c r="Q99" s="75"/>
      <c r="T99" s="75" t="str">
        <f t="shared" si="28"/>
        <v>3.4.1</v>
      </c>
    </row>
    <row r="100" spans="1:21" ht="45" customHeight="1">
      <c r="A100" s="603"/>
      <c r="B100" s="602"/>
      <c r="C100" s="105" t="s">
        <v>3</v>
      </c>
      <c r="D100" s="106" t="s">
        <v>130</v>
      </c>
      <c r="E100" s="167" t="s">
        <v>160</v>
      </c>
      <c r="F100" s="105" t="str">
        <f t="shared" si="27"/>
        <v>开</v>
      </c>
      <c r="G100" s="105" t="str">
        <f t="shared" si="29"/>
        <v>开</v>
      </c>
      <c r="H100" s="105" t="s">
        <v>42</v>
      </c>
      <c r="J100" s="101"/>
      <c r="K100" s="105" t="str">
        <f t="shared" si="22"/>
        <v>关</v>
      </c>
      <c r="L100" s="105" t="str">
        <f t="shared" si="23"/>
        <v>关</v>
      </c>
      <c r="M100" s="599"/>
      <c r="T100" s="75" t="str">
        <f t="shared" si="28"/>
        <v>3.4.1</v>
      </c>
    </row>
    <row r="101" spans="1:21" ht="45" customHeight="1">
      <c r="A101" s="603"/>
      <c r="B101" s="602"/>
      <c r="C101" s="105" t="s">
        <v>3</v>
      </c>
      <c r="D101" s="106" t="s">
        <v>52</v>
      </c>
      <c r="E101" s="101" t="s">
        <v>161</v>
      </c>
      <c r="F101" s="105" t="str">
        <f t="shared" si="27"/>
        <v>开</v>
      </c>
      <c r="G101" s="105" t="str">
        <f t="shared" si="29"/>
        <v>开</v>
      </c>
      <c r="H101" s="105" t="s">
        <v>37</v>
      </c>
      <c r="J101" s="101"/>
      <c r="K101" s="105" t="str">
        <f t="shared" si="22"/>
        <v>关</v>
      </c>
      <c r="L101" s="105" t="str">
        <f t="shared" si="23"/>
        <v>关</v>
      </c>
      <c r="M101" s="599"/>
      <c r="N101" s="75"/>
      <c r="O101" s="75"/>
      <c r="T101" s="75" t="str">
        <f t="shared" si="28"/>
        <v>3.4.1</v>
      </c>
      <c r="U101" s="74" t="b">
        <f>TEXT(O101,"0.00")=TEXT(R101,"0.00")</f>
        <v>1</v>
      </c>
    </row>
    <row r="102" spans="1:21" ht="45" customHeight="1">
      <c r="A102" s="603"/>
      <c r="B102" s="602"/>
      <c r="C102" s="105" t="s">
        <v>3</v>
      </c>
      <c r="D102" s="106" t="s">
        <v>66</v>
      </c>
      <c r="E102" s="168" t="s">
        <v>127</v>
      </c>
      <c r="F102" s="105" t="str">
        <f t="shared" si="27"/>
        <v>开</v>
      </c>
      <c r="G102" s="105" t="str">
        <f t="shared" si="29"/>
        <v>开</v>
      </c>
      <c r="H102" s="105" t="str">
        <f t="shared" ref="H102:H112" si="30">IFERROR(IF(FIND("开",H101,1),"开","关"),"关")</f>
        <v>开</v>
      </c>
      <c r="J102" s="101"/>
      <c r="K102" s="105" t="str">
        <f t="shared" si="22"/>
        <v>关</v>
      </c>
      <c r="L102" s="105" t="str">
        <f t="shared" si="23"/>
        <v>关</v>
      </c>
      <c r="M102" s="599"/>
      <c r="T102" s="75" t="str">
        <f t="shared" si="28"/>
        <v>3.4.1</v>
      </c>
    </row>
    <row r="103" spans="1:21" ht="45" customHeight="1">
      <c r="A103" s="603"/>
      <c r="B103" s="602"/>
      <c r="C103" s="105" t="s">
        <v>3</v>
      </c>
      <c r="D103" s="106" t="s">
        <v>128</v>
      </c>
      <c r="E103" s="169" t="s">
        <v>162</v>
      </c>
      <c r="F103" s="105" t="str">
        <f t="shared" si="27"/>
        <v>开</v>
      </c>
      <c r="G103" s="105" t="str">
        <f t="shared" si="29"/>
        <v>开</v>
      </c>
      <c r="H103" s="105" t="str">
        <f t="shared" si="30"/>
        <v>开</v>
      </c>
      <c r="J103" s="101"/>
      <c r="K103" s="105" t="str">
        <f t="shared" si="22"/>
        <v>关</v>
      </c>
      <c r="L103" s="105" t="str">
        <f t="shared" si="23"/>
        <v>关</v>
      </c>
      <c r="M103" s="599"/>
      <c r="T103" s="75" t="str">
        <f t="shared" si="28"/>
        <v>3.4.1</v>
      </c>
    </row>
    <row r="104" spans="1:21" ht="45" customHeight="1">
      <c r="A104" s="603"/>
      <c r="B104" s="602"/>
      <c r="C104" s="105" t="s">
        <v>3</v>
      </c>
      <c r="D104" s="106" t="s">
        <v>70</v>
      </c>
      <c r="E104" s="101" t="s">
        <v>71</v>
      </c>
      <c r="F104" s="105" t="str">
        <f t="shared" si="27"/>
        <v>开</v>
      </c>
      <c r="G104" s="105" t="s">
        <v>42</v>
      </c>
      <c r="H104" s="105" t="str">
        <f t="shared" si="30"/>
        <v>开</v>
      </c>
      <c r="J104" s="101"/>
      <c r="K104" s="105" t="str">
        <f t="shared" si="22"/>
        <v>关</v>
      </c>
      <c r="L104" s="105" t="str">
        <f t="shared" si="23"/>
        <v>关</v>
      </c>
      <c r="M104" s="599"/>
      <c r="T104" s="75" t="str">
        <f t="shared" si="28"/>
        <v>3.4.1</v>
      </c>
    </row>
    <row r="105" spans="1:21" ht="45" customHeight="1">
      <c r="A105" s="603"/>
      <c r="B105" s="602"/>
      <c r="C105" s="105" t="s">
        <v>3</v>
      </c>
      <c r="D105" s="106" t="s">
        <v>40</v>
      </c>
      <c r="E105" s="170" t="s">
        <v>163</v>
      </c>
      <c r="F105" s="105" t="s">
        <v>42</v>
      </c>
      <c r="G105" s="105" t="str">
        <f>IFERROR(IF(FIND("开",G104,1),"开","关"),"关")</f>
        <v>关</v>
      </c>
      <c r="H105" s="105" t="str">
        <f t="shared" si="30"/>
        <v>开</v>
      </c>
      <c r="J105" s="101"/>
      <c r="K105" s="105" t="str">
        <f t="shared" si="22"/>
        <v>关</v>
      </c>
      <c r="L105" s="105" t="str">
        <f t="shared" si="23"/>
        <v>关</v>
      </c>
      <c r="M105" s="599"/>
      <c r="T105" s="75" t="str">
        <f t="shared" si="28"/>
        <v>3.4.1</v>
      </c>
    </row>
    <row r="106" spans="1:21" ht="45" customHeight="1">
      <c r="A106" s="603"/>
      <c r="B106" s="602"/>
      <c r="C106" s="105" t="s">
        <v>3</v>
      </c>
      <c r="D106" s="106" t="s">
        <v>45</v>
      </c>
      <c r="E106" s="171" t="s">
        <v>46</v>
      </c>
      <c r="F106" s="105" t="str">
        <f>IFERROR(IF(FIND("开",F105,1),"开","关"),"关")</f>
        <v>关</v>
      </c>
      <c r="G106" s="105" t="str">
        <f>IFERROR(IF(FIND("开",G105,1),"开","关"),"关")</f>
        <v>关</v>
      </c>
      <c r="H106" s="105" t="str">
        <f t="shared" si="30"/>
        <v>开</v>
      </c>
      <c r="J106" s="101"/>
      <c r="K106" s="105" t="str">
        <f t="shared" si="22"/>
        <v>关</v>
      </c>
      <c r="L106" s="105" t="str">
        <f t="shared" si="23"/>
        <v>关</v>
      </c>
      <c r="M106" s="600"/>
      <c r="T106" s="75" t="str">
        <f t="shared" si="28"/>
        <v>3.4.1</v>
      </c>
    </row>
    <row r="107" spans="1:21" ht="45" customHeight="1">
      <c r="A107" s="603" t="s">
        <v>164</v>
      </c>
      <c r="B107" s="626" t="s">
        <v>165</v>
      </c>
      <c r="C107" s="105" t="s">
        <v>3</v>
      </c>
      <c r="D107" s="106" t="s">
        <v>58</v>
      </c>
      <c r="E107" s="172" t="s">
        <v>59</v>
      </c>
      <c r="F107" s="105" t="str">
        <f>IFERROR(IF(FIND("开",F106,1),"开","关"),"关")</f>
        <v>关</v>
      </c>
      <c r="G107" s="105" t="str">
        <f>IFERROR(IF(FIND("开",G106,1),"开","关"),"关")</f>
        <v>关</v>
      </c>
      <c r="H107" s="105" t="str">
        <f t="shared" si="30"/>
        <v>开</v>
      </c>
      <c r="J107" s="101"/>
      <c r="K107" s="105" t="str">
        <f t="shared" si="22"/>
        <v>关</v>
      </c>
      <c r="L107" s="105" t="str">
        <f t="shared" si="23"/>
        <v>关</v>
      </c>
      <c r="M107" s="601">
        <v>3</v>
      </c>
      <c r="N107" s="75" t="s">
        <v>24</v>
      </c>
      <c r="O107" s="75" t="str">
        <f>MID(E107,FIND("setting",E107,1)+8,FIND("kg",E107,1)-FIND("setting",E107,1)-8)</f>
        <v xml:space="preserve"> 492.70</v>
      </c>
      <c r="Q107" s="75" t="str">
        <f>SUBSTITUTE(T107&amp;N107," ","")</f>
        <v>3.4.6DMF</v>
      </c>
      <c r="R107" s="74">
        <f>VLOOKUP(Q107,MOR投料表!A:L,9,FALSE)</f>
        <v>492.7</v>
      </c>
      <c r="T107" s="75" t="str">
        <f t="shared" si="28"/>
        <v>3.4.6</v>
      </c>
      <c r="U107" s="74" t="b">
        <f>TEXT(O107,"0.00")=TEXT(R107,"0.00")</f>
        <v>1</v>
      </c>
    </row>
    <row r="108" spans="1:21" ht="45" customHeight="1">
      <c r="A108" s="603"/>
      <c r="B108" s="602"/>
      <c r="C108" s="105" t="s">
        <v>3</v>
      </c>
      <c r="D108" s="106" t="s">
        <v>61</v>
      </c>
      <c r="E108" s="101" t="s">
        <v>62</v>
      </c>
      <c r="F108" s="105" t="str">
        <f>IFERROR(IF(FIND("开",F107,1),"开","关"),"关")</f>
        <v>关</v>
      </c>
      <c r="G108" s="105" t="str">
        <f>IFERROR(IF(FIND("开",G107,1),"开","关"),"关")</f>
        <v>关</v>
      </c>
      <c r="H108" s="105" t="str">
        <f t="shared" si="30"/>
        <v>开</v>
      </c>
      <c r="J108" s="101"/>
      <c r="K108" s="105" t="str">
        <f t="shared" si="22"/>
        <v>关</v>
      </c>
      <c r="L108" s="105" t="str">
        <f t="shared" si="23"/>
        <v>关</v>
      </c>
      <c r="M108" s="601"/>
      <c r="T108" s="75" t="str">
        <f t="shared" si="28"/>
        <v>3.4.6</v>
      </c>
    </row>
    <row r="109" spans="1:21" ht="45" customHeight="1">
      <c r="A109" s="603"/>
      <c r="B109" s="602"/>
      <c r="C109" s="105" t="s">
        <v>3</v>
      </c>
      <c r="D109" s="106" t="s">
        <v>35</v>
      </c>
      <c r="E109" s="101" t="s">
        <v>63</v>
      </c>
      <c r="F109" s="105" t="s">
        <v>37</v>
      </c>
      <c r="G109" s="105" t="str">
        <f>IFERROR(IF(FIND("开",G108,1),"开","关"),"关")</f>
        <v>关</v>
      </c>
      <c r="H109" s="105" t="str">
        <f t="shared" si="30"/>
        <v>开</v>
      </c>
      <c r="J109" s="101"/>
      <c r="K109" s="105" t="str">
        <f t="shared" si="22"/>
        <v>关</v>
      </c>
      <c r="L109" s="105" t="str">
        <f t="shared" si="23"/>
        <v>关</v>
      </c>
      <c r="M109" s="601"/>
      <c r="T109" s="75" t="str">
        <f t="shared" si="28"/>
        <v>3.4.6</v>
      </c>
    </row>
    <row r="110" spans="1:21" ht="45" customHeight="1">
      <c r="A110" s="603"/>
      <c r="B110" s="602"/>
      <c r="C110" s="105" t="s">
        <v>3</v>
      </c>
      <c r="D110" s="106" t="s">
        <v>38</v>
      </c>
      <c r="E110" s="101" t="s">
        <v>167</v>
      </c>
      <c r="F110" s="105" t="str">
        <f>IFERROR(IF(FIND("开",F109,1),"开","关"),"关")</f>
        <v>开</v>
      </c>
      <c r="G110" s="105" t="s">
        <v>29</v>
      </c>
      <c r="H110" s="105" t="str">
        <f t="shared" si="30"/>
        <v>开</v>
      </c>
      <c r="J110" s="101"/>
      <c r="K110" s="105" t="str">
        <f t="shared" si="22"/>
        <v>关</v>
      </c>
      <c r="L110" s="105" t="str">
        <f t="shared" si="23"/>
        <v>关</v>
      </c>
      <c r="M110" s="601"/>
      <c r="T110" s="75" t="str">
        <f t="shared" si="28"/>
        <v>3.4.6</v>
      </c>
    </row>
    <row r="111" spans="1:21" ht="45" customHeight="1">
      <c r="A111" s="603"/>
      <c r="B111" s="602"/>
      <c r="C111" s="105" t="s">
        <v>3</v>
      </c>
      <c r="D111" s="106" t="s">
        <v>40</v>
      </c>
      <c r="E111" s="101" t="s">
        <v>41</v>
      </c>
      <c r="F111" s="105" t="s">
        <v>42</v>
      </c>
      <c r="G111" s="105" t="str">
        <f t="shared" ref="G111:G116" si="31">IFERROR(IF(FIND("开",G110,1),"开","关"),"关")</f>
        <v>关</v>
      </c>
      <c r="H111" s="105" t="str">
        <f t="shared" si="30"/>
        <v>开</v>
      </c>
      <c r="J111" s="101"/>
      <c r="K111" s="105" t="str">
        <f t="shared" si="22"/>
        <v>关</v>
      </c>
      <c r="L111" s="105" t="str">
        <f t="shared" si="23"/>
        <v>关</v>
      </c>
      <c r="M111" s="601"/>
      <c r="T111" s="75" t="str">
        <f t="shared" si="28"/>
        <v>3.4.6</v>
      </c>
    </row>
    <row r="112" spans="1:21" ht="45" customHeight="1">
      <c r="A112" s="603"/>
      <c r="B112" s="602"/>
      <c r="C112" s="105" t="s">
        <v>3</v>
      </c>
      <c r="D112" s="106" t="s">
        <v>45</v>
      </c>
      <c r="E112" s="173" t="s">
        <v>46</v>
      </c>
      <c r="F112" s="105" t="str">
        <f>IFERROR(IF(FIND("开",F111,1),"开","关"),"关")</f>
        <v>关</v>
      </c>
      <c r="G112" s="105" t="str">
        <f t="shared" si="31"/>
        <v>关</v>
      </c>
      <c r="H112" s="105" t="str">
        <f t="shared" si="30"/>
        <v>开</v>
      </c>
      <c r="J112" s="101"/>
      <c r="K112" s="105" t="str">
        <f t="shared" si="22"/>
        <v>关</v>
      </c>
      <c r="L112" s="105" t="str">
        <f t="shared" si="23"/>
        <v>关</v>
      </c>
      <c r="M112" s="601"/>
      <c r="T112" s="75" t="str">
        <f t="shared" si="28"/>
        <v>3.4.6</v>
      </c>
    </row>
    <row r="113" spans="1:22" ht="45" customHeight="1">
      <c r="A113" s="603" t="s">
        <v>168</v>
      </c>
      <c r="B113" s="602" t="s">
        <v>169</v>
      </c>
      <c r="C113" s="105" t="s">
        <v>3</v>
      </c>
      <c r="D113" s="106" t="s">
        <v>130</v>
      </c>
      <c r="E113" s="101" t="s">
        <v>170</v>
      </c>
      <c r="F113" s="105" t="str">
        <f>IFERROR(IF(FIND("开",F112,1),"开","关"),"关")</f>
        <v>关</v>
      </c>
      <c r="G113" s="105" t="str">
        <f t="shared" si="31"/>
        <v>关</v>
      </c>
      <c r="H113" s="105" t="s">
        <v>42</v>
      </c>
      <c r="I113" s="106"/>
      <c r="J113" s="101"/>
      <c r="K113" s="105" t="str">
        <f t="shared" si="22"/>
        <v>关</v>
      </c>
      <c r="L113" s="105" t="str">
        <f t="shared" si="23"/>
        <v>关</v>
      </c>
      <c r="M113" s="601">
        <v>1</v>
      </c>
      <c r="T113" s="75" t="e">
        <f t="shared" si="28"/>
        <v>#VALUE!</v>
      </c>
    </row>
    <row r="114" spans="1:22" ht="45" customHeight="1">
      <c r="A114" s="603"/>
      <c r="B114" s="602"/>
      <c r="C114" s="105" t="s">
        <v>3</v>
      </c>
      <c r="D114" s="106" t="s">
        <v>171</v>
      </c>
      <c r="E114" s="101" t="s">
        <v>44</v>
      </c>
      <c r="F114" s="105" t="str">
        <f>IFERROR(IF(FIND("开",F113,1),"开","关"),"关")</f>
        <v>关</v>
      </c>
      <c r="G114" s="105" t="str">
        <f t="shared" si="31"/>
        <v>关</v>
      </c>
      <c r="H114" s="105" t="str">
        <f>IFERROR(IF(FIND("开",H113,1),"开","关"),"关")</f>
        <v>关</v>
      </c>
      <c r="J114" s="101"/>
      <c r="K114" s="105" t="str">
        <f t="shared" si="22"/>
        <v>关</v>
      </c>
      <c r="L114" s="105" t="str">
        <f t="shared" si="23"/>
        <v>关</v>
      </c>
      <c r="M114" s="601"/>
      <c r="N114" s="75"/>
      <c r="O114" s="75"/>
      <c r="T114" s="75" t="e">
        <f t="shared" si="28"/>
        <v>#VALUE!</v>
      </c>
      <c r="U114" s="74" t="b">
        <f>TEXT(O114,"0.00")=TEXT(R114,"0.00")</f>
        <v>1</v>
      </c>
    </row>
    <row r="115" spans="1:22" ht="45" customHeight="1">
      <c r="A115" s="603"/>
      <c r="B115" s="602"/>
      <c r="C115" s="105" t="s">
        <v>8</v>
      </c>
      <c r="D115" s="106"/>
      <c r="E115" s="78"/>
      <c r="F115" s="105" t="str">
        <f>IFERROR(IF(FIND("开",F114,1),"开","关"),"关")</f>
        <v>关</v>
      </c>
      <c r="G115" s="105" t="str">
        <f t="shared" si="31"/>
        <v>关</v>
      </c>
      <c r="H115" s="105" t="str">
        <f>IFERROR(IF(FIND("开",H114,1),"开","关"),"关")</f>
        <v>关</v>
      </c>
      <c r="I115" s="106" t="s">
        <v>172</v>
      </c>
      <c r="J115" s="101" t="s">
        <v>126</v>
      </c>
      <c r="K115" s="105" t="str">
        <f t="shared" si="22"/>
        <v>关</v>
      </c>
      <c r="L115" s="105" t="str">
        <f t="shared" si="23"/>
        <v>关</v>
      </c>
      <c r="M115" s="601"/>
      <c r="T115" s="75" t="e">
        <f t="shared" si="28"/>
        <v>#VALUE!</v>
      </c>
    </row>
    <row r="116" spans="1:22" ht="45" customHeight="1">
      <c r="A116" s="89" t="s">
        <v>173</v>
      </c>
      <c r="C116" s="105"/>
      <c r="D116" s="106"/>
      <c r="E116" s="78"/>
      <c r="F116" s="105" t="str">
        <f>IFERROR(IF(FIND("开",F115,1),"开","关"),"关")</f>
        <v>关</v>
      </c>
      <c r="G116" s="105" t="str">
        <f t="shared" si="31"/>
        <v>关</v>
      </c>
      <c r="H116" s="105" t="str">
        <f>IFERROR(IF(FIND("开",H115,1),"开","关"),"关")</f>
        <v>关</v>
      </c>
      <c r="J116" s="101"/>
      <c r="K116" s="105" t="str">
        <f t="shared" si="22"/>
        <v>关</v>
      </c>
      <c r="L116" s="105" t="str">
        <f t="shared" si="23"/>
        <v>关</v>
      </c>
      <c r="T116" s="75" t="str">
        <f t="shared" si="28"/>
        <v>3.5</v>
      </c>
    </row>
    <row r="117" spans="1:22" ht="45" customHeight="1">
      <c r="A117" s="595" t="s">
        <v>174</v>
      </c>
      <c r="B117" s="608" t="s">
        <v>175</v>
      </c>
      <c r="C117" s="105" t="s">
        <v>3</v>
      </c>
      <c r="D117" s="106" t="s">
        <v>52</v>
      </c>
      <c r="E117" s="174" t="s">
        <v>176</v>
      </c>
      <c r="F117" s="105" t="str">
        <f>IFERROR(IF(FIND("开",#REF!,1),"开","关"),"关")</f>
        <v>关</v>
      </c>
      <c r="G117" s="105" t="str">
        <f>IFERROR(IF(FIND("开",#REF!,1),"开","关"),"关")</f>
        <v>关</v>
      </c>
      <c r="H117" s="105" t="s">
        <v>37</v>
      </c>
      <c r="I117" s="106"/>
      <c r="J117" s="101"/>
      <c r="K117" s="105" t="str">
        <f>IFERROR(IF(FIND("开",#REF!,1),"开","关"),"关")</f>
        <v>关</v>
      </c>
      <c r="L117" s="105" t="str">
        <f>IFERROR(IF(FIND("开",#REF!,1),"开","关"),"关")</f>
        <v>关</v>
      </c>
      <c r="M117" s="598">
        <v>1</v>
      </c>
      <c r="N117" s="75"/>
      <c r="O117" s="75"/>
      <c r="Q117" s="75"/>
      <c r="T117" s="75" t="str">
        <f>IF(ISBLANK(A117),#REF!,LEFT(A117,FIND(" ",A117,1)-1))</f>
        <v>3.5.1</v>
      </c>
    </row>
    <row r="118" spans="1:22" ht="45" customHeight="1">
      <c r="A118" s="596"/>
      <c r="B118" s="599"/>
      <c r="C118" s="105" t="s">
        <v>178</v>
      </c>
      <c r="D118" s="106"/>
      <c r="E118" s="101"/>
      <c r="I118" s="106" t="s">
        <v>179</v>
      </c>
      <c r="J118" s="175" t="s">
        <v>149</v>
      </c>
      <c r="M118" s="599"/>
      <c r="N118" s="75"/>
      <c r="O118" s="75"/>
      <c r="Q118" s="75"/>
      <c r="T118" s="75"/>
    </row>
    <row r="119" spans="1:22" ht="45" customHeight="1">
      <c r="A119" s="596"/>
      <c r="B119" s="599"/>
      <c r="C119" s="105" t="s">
        <v>3</v>
      </c>
      <c r="D119" s="106" t="s">
        <v>180</v>
      </c>
      <c r="E119" s="176" t="s">
        <v>181</v>
      </c>
      <c r="F119" s="105" t="str">
        <f>IFERROR(IF(FIND("开",F117,1),"开","关"),"关")</f>
        <v>关</v>
      </c>
      <c r="G119" s="105" t="str">
        <f>IFERROR(IF(FIND("开",G117,1),"开","关"),"关")</f>
        <v>关</v>
      </c>
      <c r="H119" s="105" t="str">
        <f>IFERROR(IF(FIND("开",H117,1),"开","关"),"关")</f>
        <v>开</v>
      </c>
      <c r="I119" s="106"/>
      <c r="J119" s="101"/>
      <c r="K119" s="105" t="str">
        <f>IFERROR(IF(FIND("开",K117,1),"开","关"),"关")</f>
        <v>关</v>
      </c>
      <c r="L119" s="105" t="str">
        <f>IFERROR(IF(FIND("开",L117,1),"开","关"),"关")</f>
        <v>关</v>
      </c>
      <c r="M119" s="599"/>
      <c r="N119" s="75" t="s">
        <v>182</v>
      </c>
      <c r="O119" s="75" t="str">
        <f>MID(E119,FIND("setting",E119,1)+8,FIND("kg",E119,1)-FIND("setting",E119,1)-8)</f>
        <v xml:space="preserve"> 483.60</v>
      </c>
      <c r="Q119" s="75" t="str">
        <f>SUBSTITUTE(T119&amp;N119," ","")</f>
        <v>3.5.120%piperidinesolution</v>
      </c>
      <c r="R119" s="74">
        <f>VLOOKUP(Q119,MOR投料表!A:L,9,FALSE)</f>
        <v>483.6</v>
      </c>
      <c r="T119" s="75" t="str">
        <f>IF(ISBLANK(A119),T117,LEFT(A119,FIND(" ",A119,1)-1))</f>
        <v>3.5.1</v>
      </c>
      <c r="U119" s="74" t="b">
        <f>TEXT(O119,"0.00")=TEXT(R119,"0.00")</f>
        <v>1</v>
      </c>
    </row>
    <row r="120" spans="1:22" ht="45" customHeight="1">
      <c r="A120" s="596"/>
      <c r="B120" s="599"/>
      <c r="C120" s="105" t="s">
        <v>3</v>
      </c>
      <c r="D120" s="106" t="s">
        <v>183</v>
      </c>
      <c r="E120" s="101" t="s">
        <v>184</v>
      </c>
      <c r="F120" s="105" t="str">
        <f>IFERROR(IF(FIND("开",F119,1),"开","关"),"关")</f>
        <v>关</v>
      </c>
      <c r="G120" s="105" t="str">
        <f>IFERROR(IF(FIND("开",G119,1),"开","关"),"关")</f>
        <v>关</v>
      </c>
      <c r="H120" s="105" t="str">
        <f>IFERROR(IF(FIND("开",H119,1),"开","关"),"关")</f>
        <v>开</v>
      </c>
      <c r="J120" s="101"/>
      <c r="K120" s="105" t="str">
        <f t="shared" ref="K120:K145" si="32">IFERROR(IF(FIND("开",K119,1),"开","关"),"关")</f>
        <v>关</v>
      </c>
      <c r="L120" s="105" t="str">
        <f t="shared" ref="L120:L145" si="33">IFERROR(IF(FIND("开",L119,1),"开","关"),"关")</f>
        <v>关</v>
      </c>
      <c r="M120" s="599"/>
      <c r="T120" s="75" t="str">
        <f t="shared" ref="T120:T149" si="34">IF(ISBLANK(A120),T119,LEFT(A120,FIND(" ",A120,1)-1))</f>
        <v>3.5.1</v>
      </c>
    </row>
    <row r="121" spans="1:22" ht="45" customHeight="1">
      <c r="A121" s="596"/>
      <c r="B121" s="599"/>
      <c r="C121" s="105" t="s">
        <v>3</v>
      </c>
      <c r="D121" s="106" t="s">
        <v>35</v>
      </c>
      <c r="E121" s="101" t="s">
        <v>63</v>
      </c>
      <c r="F121" s="105" t="s">
        <v>37</v>
      </c>
      <c r="G121" s="105" t="str">
        <f>IFERROR(IF(FIND("开",G120,1),"开","关"),"关")</f>
        <v>关</v>
      </c>
      <c r="H121" s="105" t="str">
        <f>IFERROR(IF(FIND("开",H120,1),"开","关"),"关")</f>
        <v>开</v>
      </c>
      <c r="J121" s="101"/>
      <c r="K121" s="105" t="str">
        <f t="shared" si="32"/>
        <v>关</v>
      </c>
      <c r="L121" s="105" t="str">
        <f t="shared" si="33"/>
        <v>关</v>
      </c>
      <c r="M121" s="599"/>
      <c r="N121" s="75"/>
      <c r="O121" s="75"/>
      <c r="T121" s="75" t="str">
        <f t="shared" si="34"/>
        <v>3.5.1</v>
      </c>
      <c r="U121" s="74" t="b">
        <f>TEXT(O121,"0.00")=TEXT(R121,"0.00")</f>
        <v>1</v>
      </c>
    </row>
    <row r="122" spans="1:22" ht="45" customHeight="1">
      <c r="A122" s="596"/>
      <c r="B122" s="599"/>
      <c r="C122" s="105" t="s">
        <v>3</v>
      </c>
      <c r="D122" s="106" t="s">
        <v>64</v>
      </c>
      <c r="E122" s="101" t="s">
        <v>65</v>
      </c>
      <c r="F122" s="105" t="str">
        <f>IFERROR(IF(FIND("开",F121,1),"开","关"),"关")</f>
        <v>开</v>
      </c>
      <c r="G122" s="105" t="s">
        <v>37</v>
      </c>
      <c r="H122" s="105" t="str">
        <f t="shared" ref="H122:H146" si="35">IFERROR(IF(FIND("开",H121,1),"开","关"),"关")</f>
        <v>开</v>
      </c>
      <c r="J122" s="101"/>
      <c r="K122" s="105" t="str">
        <f t="shared" si="32"/>
        <v>关</v>
      </c>
      <c r="L122" s="105" t="str">
        <f t="shared" si="33"/>
        <v>关</v>
      </c>
      <c r="M122" s="599"/>
      <c r="T122" s="75" t="str">
        <f t="shared" si="34"/>
        <v>3.5.1</v>
      </c>
    </row>
    <row r="123" spans="1:22" ht="45" customHeight="1">
      <c r="A123" s="596"/>
      <c r="B123" s="599"/>
      <c r="C123" s="105" t="s">
        <v>3</v>
      </c>
      <c r="D123" s="106" t="s">
        <v>66</v>
      </c>
      <c r="E123" s="177" t="s">
        <v>67</v>
      </c>
      <c r="F123" s="105" t="str">
        <f>IFERROR(IF(FIND("开",F122,1),"开","关"),"关")</f>
        <v>开</v>
      </c>
      <c r="G123" s="105" t="str">
        <f>IFERROR(IF(FIND("开",G122,1),"开","关"),"关")</f>
        <v>开</v>
      </c>
      <c r="H123" s="105" t="str">
        <f t="shared" si="35"/>
        <v>开</v>
      </c>
      <c r="J123" s="101"/>
      <c r="K123" s="105" t="str">
        <f t="shared" si="32"/>
        <v>关</v>
      </c>
      <c r="L123" s="105" t="str">
        <f t="shared" si="33"/>
        <v>关</v>
      </c>
      <c r="M123" s="599"/>
      <c r="T123" s="75" t="str">
        <f t="shared" si="34"/>
        <v>3.5.1</v>
      </c>
    </row>
    <row r="124" spans="1:22" ht="45" customHeight="1">
      <c r="A124" s="596"/>
      <c r="B124" s="599"/>
      <c r="C124" s="105" t="s">
        <v>3</v>
      </c>
      <c r="D124" s="106" t="s">
        <v>68</v>
      </c>
      <c r="E124" s="178" t="s">
        <v>185</v>
      </c>
      <c r="F124" s="105" t="str">
        <f>IFERROR(IF(FIND("开",F123,1),"开","关"),"关")</f>
        <v>开</v>
      </c>
      <c r="G124" s="105" t="str">
        <f>IFERROR(IF(FIND("开",G123,1),"开","关"),"关")</f>
        <v>开</v>
      </c>
      <c r="H124" s="105" t="str">
        <f t="shared" si="35"/>
        <v>开</v>
      </c>
      <c r="J124" s="101"/>
      <c r="K124" s="105" t="str">
        <f t="shared" si="32"/>
        <v>关</v>
      </c>
      <c r="L124" s="105" t="str">
        <f t="shared" si="33"/>
        <v>关</v>
      </c>
      <c r="M124" s="599"/>
      <c r="T124" s="75" t="str">
        <f t="shared" si="34"/>
        <v>3.5.1</v>
      </c>
    </row>
    <row r="125" spans="1:22" ht="45" customHeight="1">
      <c r="A125" s="596"/>
      <c r="B125" s="599"/>
      <c r="C125" s="105" t="s">
        <v>3</v>
      </c>
      <c r="D125" s="106" t="s">
        <v>70</v>
      </c>
      <c r="E125" s="101" t="s">
        <v>71</v>
      </c>
      <c r="F125" s="105" t="str">
        <f>IFERROR(IF(FIND("开",F124,1),"开","关"),"关")</f>
        <v>开</v>
      </c>
      <c r="G125" s="105" t="s">
        <v>42</v>
      </c>
      <c r="H125" s="105" t="str">
        <f t="shared" si="35"/>
        <v>开</v>
      </c>
      <c r="J125" s="101"/>
      <c r="K125" s="105" t="str">
        <f t="shared" si="32"/>
        <v>关</v>
      </c>
      <c r="L125" s="105" t="str">
        <f t="shared" si="33"/>
        <v>关</v>
      </c>
      <c r="M125" s="599"/>
      <c r="T125" s="75" t="str">
        <f t="shared" si="34"/>
        <v>3.5.1</v>
      </c>
    </row>
    <row r="126" spans="1:22" ht="45" customHeight="1">
      <c r="A126" s="596"/>
      <c r="B126" s="599"/>
      <c r="C126" s="105" t="s">
        <v>3</v>
      </c>
      <c r="D126" s="106" t="s">
        <v>40</v>
      </c>
      <c r="E126" s="101" t="s">
        <v>41</v>
      </c>
      <c r="F126" s="105" t="s">
        <v>42</v>
      </c>
      <c r="G126" s="105" t="str">
        <f>IFERROR(IF(FIND("开",G125,1),"开","关"),"关")</f>
        <v>关</v>
      </c>
      <c r="H126" s="105" t="str">
        <f t="shared" si="35"/>
        <v>开</v>
      </c>
      <c r="J126" s="101"/>
      <c r="K126" s="105" t="str">
        <f t="shared" si="32"/>
        <v>关</v>
      </c>
      <c r="L126" s="105" t="str">
        <f t="shared" si="33"/>
        <v>关</v>
      </c>
      <c r="M126" s="599"/>
      <c r="T126" s="75" t="str">
        <f t="shared" si="34"/>
        <v>3.5.1</v>
      </c>
    </row>
    <row r="127" spans="1:22" ht="45" customHeight="1">
      <c r="A127" s="597"/>
      <c r="B127" s="600"/>
      <c r="C127" s="105" t="s">
        <v>3</v>
      </c>
      <c r="D127" s="106" t="s">
        <v>45</v>
      </c>
      <c r="E127" s="179" t="s">
        <v>46</v>
      </c>
      <c r="F127" s="105" t="str">
        <f>IFERROR(IF(FIND("开",F126,1),"开","关"),"关")</f>
        <v>关</v>
      </c>
      <c r="G127" s="105" t="str">
        <f>IFERROR(IF(FIND("开",G126,1),"开","关"),"关")</f>
        <v>关</v>
      </c>
      <c r="H127" s="105" t="str">
        <f t="shared" si="35"/>
        <v>开</v>
      </c>
      <c r="J127" s="101"/>
      <c r="K127" s="105" t="str">
        <f t="shared" si="32"/>
        <v>关</v>
      </c>
      <c r="L127" s="105" t="str">
        <f t="shared" si="33"/>
        <v>关</v>
      </c>
      <c r="M127" s="600"/>
      <c r="N127" s="75"/>
      <c r="O127" s="75"/>
      <c r="P127" s="75"/>
      <c r="S127" s="74">
        <f>ROUND(R127*0.03,2)</f>
        <v>0</v>
      </c>
      <c r="T127" s="75" t="str">
        <f t="shared" si="34"/>
        <v>3.5.1</v>
      </c>
      <c r="U127" s="74" t="b">
        <f>TEXT(O127,"0.00")=TEXT(R127,"0.00")</f>
        <v>1</v>
      </c>
      <c r="V127" s="74">
        <f>S127-P127</f>
        <v>0</v>
      </c>
    </row>
    <row r="128" spans="1:22" ht="45" customHeight="1">
      <c r="A128" s="603" t="s">
        <v>186</v>
      </c>
      <c r="B128" s="604" t="s">
        <v>187</v>
      </c>
      <c r="C128" s="105" t="s">
        <v>3</v>
      </c>
      <c r="D128" s="106" t="s">
        <v>188</v>
      </c>
      <c r="E128" s="180" t="s">
        <v>189</v>
      </c>
      <c r="F128" s="105" t="str">
        <f>IFERROR(IF(FIND("开",F127,1),"开","关"),"关")</f>
        <v>关</v>
      </c>
      <c r="G128" s="105" t="str">
        <f>IFERROR(IF(FIND("开",G127,1),"开","关"),"关")</f>
        <v>关</v>
      </c>
      <c r="H128" s="105" t="str">
        <f t="shared" si="35"/>
        <v>开</v>
      </c>
      <c r="J128" s="101"/>
      <c r="K128" s="105" t="str">
        <f t="shared" si="32"/>
        <v>关</v>
      </c>
      <c r="L128" s="105" t="str">
        <f t="shared" si="33"/>
        <v>关</v>
      </c>
      <c r="M128" s="601">
        <v>4</v>
      </c>
      <c r="N128" s="75" t="str">
        <f>MID(E128,FIND("线路-》",E128,1)+4,FIND("-&gt;",E128,1)-13)</f>
        <v>IPAC</v>
      </c>
      <c r="O128" s="75" t="str">
        <f>MID(E128,FIND("setting",E128,1)+8,FIND("kg",E128,1)-FIND("setting",E128,1)-8)</f>
        <v xml:space="preserve"> 453.70</v>
      </c>
      <c r="P128" s="75"/>
      <c r="Q128" s="75" t="str">
        <f>SUBSTITUTE(T128&amp;N128," ","")</f>
        <v>3.5.4IPAC</v>
      </c>
      <c r="R128" s="74">
        <f>VLOOKUP(Q128,MOR投料表!A:L,9,FALSE)</f>
        <v>453.7</v>
      </c>
      <c r="T128" s="75" t="str">
        <f t="shared" si="34"/>
        <v>3.5.4</v>
      </c>
      <c r="U128" s="74" t="b">
        <f>TEXT(O128,"0.00")=TEXT(R128,"0.00")</f>
        <v>1</v>
      </c>
      <c r="V128" s="74">
        <f>S128-P128</f>
        <v>0</v>
      </c>
    </row>
    <row r="129" spans="1:21" ht="45" customHeight="1">
      <c r="A129" s="603"/>
      <c r="B129" s="602"/>
      <c r="C129" s="105" t="s">
        <v>3</v>
      </c>
      <c r="D129" s="106" t="s">
        <v>191</v>
      </c>
      <c r="E129" s="101" t="s">
        <v>192</v>
      </c>
      <c r="F129" s="105" t="str">
        <f>IFERROR(IF(FIND("开",F128,1),"开","关"),"关")</f>
        <v>关</v>
      </c>
      <c r="G129" s="105" t="str">
        <f>IFERROR(IF(FIND("开",G128,1),"开","关"),"关")</f>
        <v>关</v>
      </c>
      <c r="H129" s="105" t="str">
        <f t="shared" si="35"/>
        <v>开</v>
      </c>
      <c r="J129" s="101"/>
      <c r="K129" s="105" t="str">
        <f t="shared" si="32"/>
        <v>关</v>
      </c>
      <c r="L129" s="105" t="str">
        <f t="shared" si="33"/>
        <v>关</v>
      </c>
      <c r="M129" s="601"/>
      <c r="N129" s="75"/>
      <c r="O129" s="75"/>
      <c r="T129" s="75" t="str">
        <f t="shared" si="34"/>
        <v>3.5.4</v>
      </c>
      <c r="U129" s="74" t="b">
        <f>TEXT(O129,"0.00")=TEXT(R129,"0.00")</f>
        <v>1</v>
      </c>
    </row>
    <row r="130" spans="1:21" ht="45" customHeight="1">
      <c r="A130" s="603"/>
      <c r="B130" s="602"/>
      <c r="C130" s="105" t="s">
        <v>3</v>
      </c>
      <c r="D130" s="106" t="s">
        <v>35</v>
      </c>
      <c r="E130" s="101" t="s">
        <v>63</v>
      </c>
      <c r="F130" s="105" t="s">
        <v>37</v>
      </c>
      <c r="G130" s="105" t="str">
        <f>IFERROR(IF(FIND("开",G129,1),"开","关"),"关")</f>
        <v>关</v>
      </c>
      <c r="H130" s="105" t="str">
        <f t="shared" si="35"/>
        <v>开</v>
      </c>
      <c r="J130" s="101"/>
      <c r="K130" s="105" t="str">
        <f t="shared" si="32"/>
        <v>关</v>
      </c>
      <c r="L130" s="105" t="str">
        <f t="shared" si="33"/>
        <v>关</v>
      </c>
      <c r="M130" s="601"/>
      <c r="T130" s="75" t="str">
        <f t="shared" si="34"/>
        <v>3.5.4</v>
      </c>
    </row>
    <row r="131" spans="1:21" ht="45" customHeight="1">
      <c r="A131" s="603"/>
      <c r="B131" s="602"/>
      <c r="C131" s="105" t="s">
        <v>3</v>
      </c>
      <c r="D131" s="106" t="s">
        <v>38</v>
      </c>
      <c r="E131" s="101" t="s">
        <v>101</v>
      </c>
      <c r="F131" s="105" t="str">
        <f>IFERROR(IF(FIND("开",F130,1),"开","关"),"关")</f>
        <v>开</v>
      </c>
      <c r="G131" s="105" t="s">
        <v>29</v>
      </c>
      <c r="H131" s="105" t="str">
        <f t="shared" si="35"/>
        <v>开</v>
      </c>
      <c r="J131" s="101"/>
      <c r="K131" s="105" t="str">
        <f t="shared" si="32"/>
        <v>关</v>
      </c>
      <c r="L131" s="105" t="str">
        <f t="shared" si="33"/>
        <v>关</v>
      </c>
      <c r="M131" s="601"/>
      <c r="T131" s="75" t="str">
        <f t="shared" si="34"/>
        <v>3.5.4</v>
      </c>
    </row>
    <row r="132" spans="1:21" ht="45" customHeight="1">
      <c r="A132" s="603"/>
      <c r="B132" s="602"/>
      <c r="C132" s="105" t="s">
        <v>3</v>
      </c>
      <c r="D132" s="106" t="s">
        <v>40</v>
      </c>
      <c r="E132" s="101" t="s">
        <v>41</v>
      </c>
      <c r="F132" s="105" t="s">
        <v>42</v>
      </c>
      <c r="G132" s="105" t="str">
        <f>IFERROR(IF(FIND("开",G131,1),"开","关"),"关")</f>
        <v>关</v>
      </c>
      <c r="H132" s="105" t="str">
        <f t="shared" si="35"/>
        <v>开</v>
      </c>
      <c r="J132" s="101"/>
      <c r="K132" s="105" t="str">
        <f t="shared" si="32"/>
        <v>关</v>
      </c>
      <c r="L132" s="105" t="str">
        <f t="shared" si="33"/>
        <v>关</v>
      </c>
      <c r="M132" s="601"/>
      <c r="T132" s="75" t="str">
        <f t="shared" si="34"/>
        <v>3.5.4</v>
      </c>
    </row>
    <row r="133" spans="1:21" ht="45" customHeight="1">
      <c r="A133" s="603"/>
      <c r="B133" s="602"/>
      <c r="C133" s="105" t="s">
        <v>3</v>
      </c>
      <c r="D133" s="106" t="s">
        <v>193</v>
      </c>
      <c r="E133" s="181" t="s">
        <v>194</v>
      </c>
      <c r="F133" s="105" t="str">
        <f>IFERROR(IF(FIND("开",F132,1),"开","关"),"关")</f>
        <v>关</v>
      </c>
      <c r="G133" s="105" t="str">
        <f>IFERROR(IF(FIND("开",G132,1),"开","关"),"关")</f>
        <v>关</v>
      </c>
      <c r="H133" s="105" t="str">
        <f t="shared" si="35"/>
        <v>开</v>
      </c>
      <c r="J133" s="101"/>
      <c r="K133" s="105" t="str">
        <f t="shared" si="32"/>
        <v>关</v>
      </c>
      <c r="L133" s="105" t="str">
        <f t="shared" si="33"/>
        <v>关</v>
      </c>
      <c r="M133" s="601"/>
      <c r="T133" s="75" t="str">
        <f t="shared" si="34"/>
        <v>3.5.4</v>
      </c>
    </row>
    <row r="134" spans="1:21" ht="45" customHeight="1">
      <c r="A134" s="603" t="s">
        <v>195</v>
      </c>
      <c r="B134" s="610" t="s">
        <v>196</v>
      </c>
      <c r="C134" s="105" t="s">
        <v>3</v>
      </c>
      <c r="D134" s="106" t="s">
        <v>58</v>
      </c>
      <c r="E134" s="182" t="s">
        <v>59</v>
      </c>
      <c r="F134" s="105" t="str">
        <f>IFERROR(IF(FIND("开",F133,1),"开","关"),"关")</f>
        <v>关</v>
      </c>
      <c r="G134" s="105" t="str">
        <f>IFERROR(IF(FIND("开",G133,1),"开","关"),"关")</f>
        <v>关</v>
      </c>
      <c r="H134" s="105" t="str">
        <f t="shared" si="35"/>
        <v>开</v>
      </c>
      <c r="J134" s="101"/>
      <c r="K134" s="105" t="str">
        <f t="shared" si="32"/>
        <v>关</v>
      </c>
      <c r="L134" s="105" t="str">
        <f t="shared" si="33"/>
        <v>关</v>
      </c>
      <c r="M134" s="601">
        <v>1</v>
      </c>
      <c r="N134" s="75" t="s">
        <v>24</v>
      </c>
      <c r="O134" s="75" t="str">
        <f>MID(E134,FIND("setting",E134,1)+8,FIND("kg",E134,1)-FIND("setting",E134,1)-8)</f>
        <v xml:space="preserve"> 492.70</v>
      </c>
      <c r="Q134" s="75" t="str">
        <f>SUBSTITUTE(T134&amp;N134," ","")</f>
        <v>3.5.5DMF</v>
      </c>
      <c r="R134" s="74">
        <f>VLOOKUP(Q134,MOR投料表!A:L,9,FALSE)</f>
        <v>492.7</v>
      </c>
      <c r="T134" s="75" t="str">
        <f t="shared" si="34"/>
        <v>3.5.5</v>
      </c>
      <c r="U134" s="74" t="b">
        <f>TEXT(O134,"0.00")=TEXT(R134,"0.00")</f>
        <v>1</v>
      </c>
    </row>
    <row r="135" spans="1:21" ht="45" customHeight="1">
      <c r="A135" s="603"/>
      <c r="B135" s="602"/>
      <c r="C135" s="105" t="s">
        <v>3</v>
      </c>
      <c r="D135" s="106" t="s">
        <v>61</v>
      </c>
      <c r="E135" s="101" t="s">
        <v>62</v>
      </c>
      <c r="F135" s="105" t="str">
        <f>IFERROR(IF(FIND("开",F134,1),"开","关"),"关")</f>
        <v>关</v>
      </c>
      <c r="G135" s="105" t="str">
        <f>IFERROR(IF(FIND("开",G134,1),"开","关"),"关")</f>
        <v>关</v>
      </c>
      <c r="H135" s="105" t="str">
        <f t="shared" si="35"/>
        <v>开</v>
      </c>
      <c r="J135" s="101"/>
      <c r="K135" s="105" t="str">
        <f t="shared" si="32"/>
        <v>关</v>
      </c>
      <c r="L135" s="105" t="str">
        <f t="shared" si="33"/>
        <v>关</v>
      </c>
      <c r="M135" s="601"/>
      <c r="T135" s="75" t="str">
        <f t="shared" si="34"/>
        <v>3.5.5</v>
      </c>
    </row>
    <row r="136" spans="1:21" ht="45" customHeight="1">
      <c r="A136" s="603"/>
      <c r="B136" s="602"/>
      <c r="C136" s="105" t="s">
        <v>3</v>
      </c>
      <c r="D136" s="106" t="s">
        <v>35</v>
      </c>
      <c r="E136" s="101" t="s">
        <v>63</v>
      </c>
      <c r="F136" s="105" t="s">
        <v>37</v>
      </c>
      <c r="G136" s="105" t="str">
        <f>IFERROR(IF(FIND("开",G135,1),"开","关"),"关")</f>
        <v>关</v>
      </c>
      <c r="H136" s="105" t="str">
        <f t="shared" si="35"/>
        <v>开</v>
      </c>
      <c r="J136" s="101"/>
      <c r="K136" s="105" t="str">
        <f t="shared" si="32"/>
        <v>关</v>
      </c>
      <c r="L136" s="105" t="str">
        <f t="shared" si="33"/>
        <v>关</v>
      </c>
      <c r="M136" s="601"/>
      <c r="T136" s="75" t="str">
        <f t="shared" si="34"/>
        <v>3.5.5</v>
      </c>
    </row>
    <row r="137" spans="1:21" ht="45" customHeight="1">
      <c r="A137" s="603"/>
      <c r="B137" s="602"/>
      <c r="C137" s="105" t="s">
        <v>3</v>
      </c>
      <c r="D137" s="106" t="s">
        <v>38</v>
      </c>
      <c r="E137" s="101" t="s">
        <v>167</v>
      </c>
      <c r="F137" s="105" t="str">
        <f>IFERROR(IF(FIND("开",F136,1),"开","关"),"关")</f>
        <v>开</v>
      </c>
      <c r="G137" s="105" t="s">
        <v>29</v>
      </c>
      <c r="H137" s="105" t="str">
        <f t="shared" si="35"/>
        <v>开</v>
      </c>
      <c r="J137" s="101"/>
      <c r="K137" s="105" t="str">
        <f t="shared" si="32"/>
        <v>关</v>
      </c>
      <c r="L137" s="105" t="str">
        <f t="shared" si="33"/>
        <v>关</v>
      </c>
      <c r="M137" s="601"/>
      <c r="T137" s="75" t="str">
        <f t="shared" si="34"/>
        <v>3.5.5</v>
      </c>
    </row>
    <row r="138" spans="1:21" ht="45" customHeight="1">
      <c r="A138" s="603"/>
      <c r="B138" s="602"/>
      <c r="C138" s="105" t="s">
        <v>3</v>
      </c>
      <c r="D138" s="106" t="s">
        <v>40</v>
      </c>
      <c r="E138" s="101" t="s">
        <v>41</v>
      </c>
      <c r="F138" s="105" t="s">
        <v>42</v>
      </c>
      <c r="G138" s="105" t="str">
        <f>IFERROR(IF(FIND("开",G137,1),"开","关"),"关")</f>
        <v>关</v>
      </c>
      <c r="H138" s="105" t="str">
        <f t="shared" si="35"/>
        <v>开</v>
      </c>
      <c r="J138" s="101"/>
      <c r="K138" s="105" t="str">
        <f t="shared" si="32"/>
        <v>关</v>
      </c>
      <c r="L138" s="105" t="str">
        <f t="shared" si="33"/>
        <v>关</v>
      </c>
      <c r="M138" s="601"/>
      <c r="T138" s="75" t="str">
        <f t="shared" si="34"/>
        <v>3.5.5</v>
      </c>
    </row>
    <row r="139" spans="1:21" ht="45" customHeight="1">
      <c r="A139" s="603"/>
      <c r="B139" s="602"/>
      <c r="C139" s="105" t="s">
        <v>3</v>
      </c>
      <c r="D139" s="106" t="s">
        <v>198</v>
      </c>
      <c r="E139" s="183" t="s">
        <v>194</v>
      </c>
      <c r="F139" s="105" t="str">
        <f>IFERROR(IF(FIND("开",F138,1),"开","关"),"关")</f>
        <v>关</v>
      </c>
      <c r="G139" s="105" t="str">
        <f>IFERROR(IF(FIND("开",G138,1),"开","关"),"关")</f>
        <v>关</v>
      </c>
      <c r="H139" s="105" t="str">
        <f t="shared" si="35"/>
        <v>开</v>
      </c>
      <c r="J139" s="101"/>
      <c r="K139" s="105" t="str">
        <f t="shared" si="32"/>
        <v>关</v>
      </c>
      <c r="L139" s="105" t="str">
        <f t="shared" si="33"/>
        <v>关</v>
      </c>
      <c r="M139" s="601"/>
      <c r="T139" s="75" t="str">
        <f t="shared" si="34"/>
        <v>3.5.5</v>
      </c>
    </row>
    <row r="140" spans="1:21" ht="45" customHeight="1">
      <c r="A140" s="603" t="s">
        <v>199</v>
      </c>
      <c r="B140" s="690" t="s">
        <v>196</v>
      </c>
      <c r="C140" s="105" t="s">
        <v>3</v>
      </c>
      <c r="D140" s="106" t="s">
        <v>58</v>
      </c>
      <c r="E140" s="184" t="s">
        <v>59</v>
      </c>
      <c r="F140" s="105" t="str">
        <f>IFERROR(IF(FIND("开",F139,1),"开","关"),"关")</f>
        <v>关</v>
      </c>
      <c r="G140" s="105" t="str">
        <f>IFERROR(IF(FIND("开",G139,1),"开","关"),"关")</f>
        <v>关</v>
      </c>
      <c r="H140" s="105" t="str">
        <f t="shared" si="35"/>
        <v>开</v>
      </c>
      <c r="J140" s="101"/>
      <c r="K140" s="105" t="str">
        <f t="shared" si="32"/>
        <v>关</v>
      </c>
      <c r="L140" s="105" t="str">
        <f t="shared" si="33"/>
        <v>关</v>
      </c>
      <c r="M140" s="601">
        <v>1</v>
      </c>
      <c r="N140" s="75" t="s">
        <v>24</v>
      </c>
      <c r="O140" s="75" t="str">
        <f>MID(E140,FIND("setting",E140,1)+8,FIND("kg",E140,1)-FIND("setting",E140,1)-8)</f>
        <v xml:space="preserve"> 492.70</v>
      </c>
      <c r="Q140" s="75" t="str">
        <f>SUBSTITUTE(T140&amp;N140," ","")</f>
        <v>3.5.7DMF</v>
      </c>
      <c r="R140" s="74">
        <f>VLOOKUP(Q140,MOR投料表!A:L,9,FALSE)</f>
        <v>492.7</v>
      </c>
      <c r="T140" s="75" t="str">
        <f t="shared" si="34"/>
        <v>3.5.7</v>
      </c>
      <c r="U140" s="74" t="b">
        <f>TEXT(O140,"0.00")=TEXT(R140,"0.00")</f>
        <v>1</v>
      </c>
    </row>
    <row r="141" spans="1:21" ht="45" customHeight="1">
      <c r="A141" s="603"/>
      <c r="B141" s="602"/>
      <c r="C141" s="105" t="s">
        <v>3</v>
      </c>
      <c r="D141" s="106" t="s">
        <v>61</v>
      </c>
      <c r="E141" s="101" t="s">
        <v>62</v>
      </c>
      <c r="F141" s="105" t="str">
        <f>IFERROR(IF(FIND("开",F140,1),"开","关"),"关")</f>
        <v>关</v>
      </c>
      <c r="G141" s="105" t="str">
        <f>IFERROR(IF(FIND("开",G140,1),"开","关"),"关")</f>
        <v>关</v>
      </c>
      <c r="H141" s="105" t="str">
        <f t="shared" si="35"/>
        <v>开</v>
      </c>
      <c r="J141" s="101"/>
      <c r="K141" s="105" t="str">
        <f t="shared" si="32"/>
        <v>关</v>
      </c>
      <c r="L141" s="105" t="str">
        <f t="shared" si="33"/>
        <v>关</v>
      </c>
      <c r="M141" s="601"/>
      <c r="T141" s="75" t="str">
        <f t="shared" si="34"/>
        <v>3.5.7</v>
      </c>
    </row>
    <row r="142" spans="1:21" ht="45" customHeight="1">
      <c r="A142" s="603"/>
      <c r="B142" s="602"/>
      <c r="C142" s="105" t="s">
        <v>3</v>
      </c>
      <c r="D142" s="106" t="s">
        <v>35</v>
      </c>
      <c r="E142" s="101" t="s">
        <v>63</v>
      </c>
      <c r="F142" s="105" t="s">
        <v>37</v>
      </c>
      <c r="G142" s="105" t="str">
        <f>IFERROR(IF(FIND("开",G141,1),"开","关"),"关")</f>
        <v>关</v>
      </c>
      <c r="H142" s="105" t="str">
        <f t="shared" si="35"/>
        <v>开</v>
      </c>
      <c r="J142" s="101"/>
      <c r="K142" s="105" t="str">
        <f t="shared" si="32"/>
        <v>关</v>
      </c>
      <c r="L142" s="105" t="str">
        <f t="shared" si="33"/>
        <v>关</v>
      </c>
      <c r="M142" s="601"/>
      <c r="T142" s="75" t="str">
        <f t="shared" si="34"/>
        <v>3.5.7</v>
      </c>
    </row>
    <row r="143" spans="1:21" ht="45" customHeight="1">
      <c r="A143" s="603"/>
      <c r="B143" s="602"/>
      <c r="C143" s="105" t="s">
        <v>3</v>
      </c>
      <c r="D143" s="106" t="s">
        <v>38</v>
      </c>
      <c r="E143" s="101" t="s">
        <v>167</v>
      </c>
      <c r="F143" s="105" t="str">
        <f>IFERROR(IF(FIND("开",F142,1),"开","关"),"关")</f>
        <v>开</v>
      </c>
      <c r="G143" s="105" t="s">
        <v>29</v>
      </c>
      <c r="H143" s="105" t="str">
        <f t="shared" si="35"/>
        <v>开</v>
      </c>
      <c r="J143" s="101"/>
      <c r="K143" s="105" t="str">
        <f t="shared" si="32"/>
        <v>关</v>
      </c>
      <c r="L143" s="105" t="str">
        <f t="shared" si="33"/>
        <v>关</v>
      </c>
      <c r="M143" s="601"/>
      <c r="T143" s="75" t="str">
        <f t="shared" si="34"/>
        <v>3.5.7</v>
      </c>
    </row>
    <row r="144" spans="1:21" ht="45" customHeight="1">
      <c r="A144" s="603"/>
      <c r="B144" s="602"/>
      <c r="C144" s="105" t="s">
        <v>3</v>
      </c>
      <c r="D144" s="106" t="s">
        <v>40</v>
      </c>
      <c r="E144" s="101" t="s">
        <v>41</v>
      </c>
      <c r="F144" s="105" t="s">
        <v>42</v>
      </c>
      <c r="G144" s="105" t="str">
        <f>IFERROR(IF(FIND("开",G143,1),"开","关"),"关")</f>
        <v>关</v>
      </c>
      <c r="H144" s="105" t="str">
        <f t="shared" si="35"/>
        <v>开</v>
      </c>
      <c r="J144" s="101"/>
      <c r="K144" s="105" t="str">
        <f t="shared" si="32"/>
        <v>关</v>
      </c>
      <c r="L144" s="105" t="str">
        <f t="shared" si="33"/>
        <v>关</v>
      </c>
      <c r="M144" s="601"/>
      <c r="T144" s="75" t="str">
        <f t="shared" si="34"/>
        <v>3.5.7</v>
      </c>
    </row>
    <row r="145" spans="1:21" ht="45" customHeight="1">
      <c r="A145" s="603"/>
      <c r="B145" s="602"/>
      <c r="C145" s="105" t="s">
        <v>3</v>
      </c>
      <c r="D145" s="106" t="s">
        <v>45</v>
      </c>
      <c r="E145" s="185" t="s">
        <v>46</v>
      </c>
      <c r="F145" s="105" t="str">
        <f>IFERROR(IF(FIND("开",F144,1),"开","关"),"关")</f>
        <v>关</v>
      </c>
      <c r="G145" s="105" t="str">
        <f>IFERROR(IF(FIND("开",G144,1),"开","关"),"关")</f>
        <v>关</v>
      </c>
      <c r="H145" s="105" t="str">
        <f t="shared" si="35"/>
        <v>开</v>
      </c>
      <c r="J145" s="101"/>
      <c r="K145" s="105" t="str">
        <f t="shared" si="32"/>
        <v>关</v>
      </c>
      <c r="L145" s="105" t="str">
        <f t="shared" si="33"/>
        <v>关</v>
      </c>
      <c r="M145" s="601"/>
      <c r="T145" s="75" t="str">
        <f t="shared" si="34"/>
        <v>3.5.7</v>
      </c>
    </row>
    <row r="146" spans="1:21" ht="45" customHeight="1">
      <c r="A146" s="595" t="s">
        <v>201</v>
      </c>
      <c r="B146" s="638" t="s">
        <v>202</v>
      </c>
      <c r="C146" s="105" t="s">
        <v>8</v>
      </c>
      <c r="D146" s="76"/>
      <c r="E146" s="76"/>
      <c r="F146" s="105" t="str">
        <f>IFERROR(IF(FIND("开",F145,1),"开","关"),"关")</f>
        <v>关</v>
      </c>
      <c r="G146" s="105" t="str">
        <f>IFERROR(IF(FIND("开",G145,1),"开","关"),"关")</f>
        <v>关</v>
      </c>
      <c r="H146" s="105" t="str">
        <f t="shared" si="35"/>
        <v>开</v>
      </c>
      <c r="I146" s="106" t="s">
        <v>203</v>
      </c>
      <c r="J146" s="186" t="s">
        <v>204</v>
      </c>
      <c r="K146" s="105" t="str">
        <f>IFERROR(IF(FIND("开",K145,1),"开","关"),"关")</f>
        <v>关</v>
      </c>
      <c r="L146" s="105" t="s">
        <v>37</v>
      </c>
      <c r="M146" s="598">
        <v>1</v>
      </c>
      <c r="T146" s="75" t="str">
        <f t="shared" si="34"/>
        <v>3.6.1</v>
      </c>
    </row>
    <row r="147" spans="1:21" ht="45" customHeight="1">
      <c r="A147" s="634"/>
      <c r="B147" s="634"/>
      <c r="C147" s="105" t="s">
        <v>8</v>
      </c>
      <c r="E147" s="84"/>
      <c r="F147" s="105" t="str">
        <f>IFERROR(IF(FIND("开",#REF!,1),"开","关"),"关")</f>
        <v>关</v>
      </c>
      <c r="G147" s="105" t="str">
        <f>IFERROR(IF(FIND("开",#REF!,1),"开","关"),"关")</f>
        <v>关</v>
      </c>
      <c r="H147" s="105" t="str">
        <f>IFERROR(IF(FIND("开",#REF!,1),"开","关"),"关")</f>
        <v>关</v>
      </c>
      <c r="I147" s="106" t="s">
        <v>77</v>
      </c>
      <c r="J147" s="187" t="s">
        <v>206</v>
      </c>
      <c r="K147" s="105" t="str">
        <f>IFERROR(IF(FIND("开",#REF!,1),"开","关"),"关")</f>
        <v>关</v>
      </c>
      <c r="L147" s="105" t="str">
        <f>IFERROR(IF(FIND("开",#REF!,1),"开","关"),"关")</f>
        <v>关</v>
      </c>
      <c r="M147" s="634"/>
      <c r="N147" s="75" t="s">
        <v>24</v>
      </c>
      <c r="O147" s="75" t="str">
        <f>MID(J147,FIND("setting",J147,1)+8,FIND("kg",J147,1)-FIND("setting",J147,1)-8)</f>
        <v xml:space="preserve"> 246.35</v>
      </c>
      <c r="Q147" s="75" t="str">
        <f>SUBSTITUTE(T147&amp;N147," ","")</f>
        <v>3.6.1DMF</v>
      </c>
      <c r="R147" s="74">
        <f>VLOOKUP(Q147,MOR投料表!A:L,9,FALSE)</f>
        <v>246.35</v>
      </c>
      <c r="T147" s="75" t="str">
        <f t="shared" si="34"/>
        <v>3.6.1</v>
      </c>
      <c r="U147" s="74" t="b">
        <f>TEXT(O147,"0.00")=TEXT(R147,"0.00")</f>
        <v>1</v>
      </c>
    </row>
    <row r="148" spans="1:21" ht="45" customHeight="1">
      <c r="A148" s="634"/>
      <c r="B148" s="634"/>
      <c r="C148" s="105" t="s">
        <v>8</v>
      </c>
      <c r="E148" s="77"/>
      <c r="F148" s="105" t="str">
        <f t="shared" ref="F148:H150" si="36">IFERROR(IF(FIND("开",F147,1),"开","关"),"关")</f>
        <v>关</v>
      </c>
      <c r="G148" s="105" t="str">
        <f t="shared" si="36"/>
        <v>关</v>
      </c>
      <c r="H148" s="105" t="str">
        <f t="shared" si="36"/>
        <v>关</v>
      </c>
      <c r="I148" s="106" t="s">
        <v>61</v>
      </c>
      <c r="J148" s="101" t="s">
        <v>26</v>
      </c>
      <c r="K148" s="105" t="str">
        <f>IFERROR(IF(FIND("开",K147,1),"开","关"),"关")</f>
        <v>关</v>
      </c>
      <c r="L148" s="105" t="str">
        <f>IFERROR(IF(FIND("开",L147,1),"开","关"),"关")</f>
        <v>关</v>
      </c>
      <c r="M148" s="634"/>
      <c r="T148" s="75" t="str">
        <f t="shared" si="34"/>
        <v>3.6.1</v>
      </c>
    </row>
    <row r="149" spans="1:21" ht="45" customHeight="1">
      <c r="A149" s="634"/>
      <c r="B149" s="634"/>
      <c r="C149" s="105" t="s">
        <v>8</v>
      </c>
      <c r="E149" s="77"/>
      <c r="F149" s="105" t="str">
        <f t="shared" si="36"/>
        <v>关</v>
      </c>
      <c r="G149" s="105" t="str">
        <f t="shared" si="36"/>
        <v>关</v>
      </c>
      <c r="H149" s="105" t="str">
        <f t="shared" si="36"/>
        <v>关</v>
      </c>
      <c r="I149" s="106" t="s">
        <v>78</v>
      </c>
      <c r="J149" s="101" t="s">
        <v>79</v>
      </c>
      <c r="K149" s="105" t="s">
        <v>37</v>
      </c>
      <c r="L149" s="105" t="str">
        <f>IFERROR(IF(FIND("开",L148,1),"开","关"),"关")</f>
        <v>关</v>
      </c>
      <c r="M149" s="634"/>
      <c r="T149" s="75" t="str">
        <f t="shared" si="34"/>
        <v>3.6.1</v>
      </c>
    </row>
    <row r="150" spans="1:21" ht="56.25" customHeight="1">
      <c r="A150" s="634"/>
      <c r="B150" s="634"/>
      <c r="C150" s="105" t="s">
        <v>8</v>
      </c>
      <c r="D150" s="74"/>
      <c r="E150" s="102"/>
      <c r="F150" s="105" t="str">
        <f t="shared" si="36"/>
        <v>关</v>
      </c>
      <c r="G150" s="105" t="str">
        <f t="shared" si="36"/>
        <v>关</v>
      </c>
      <c r="H150" s="105" t="str">
        <f t="shared" si="36"/>
        <v>关</v>
      </c>
      <c r="I150" s="106" t="s">
        <v>207</v>
      </c>
      <c r="J150" s="101" t="s">
        <v>208</v>
      </c>
      <c r="K150" s="105" t="str">
        <f>IFERROR(IF(FIND("开",K149,1),"开","关"),"关")</f>
        <v>开</v>
      </c>
      <c r="L150" s="105" t="str">
        <f>IFERROR(IF(FIND("开",L149,1),"开","关"),"关")</f>
        <v>关</v>
      </c>
      <c r="M150" s="634"/>
      <c r="N150" s="75" t="str">
        <f>MID(J150,FIND("物料",J150,1)+3,FIND("投料重量",J150,1)-FIND("物料",J150,1)-4)</f>
        <v>Fmoc-L-Thr(tBu)-OH</v>
      </c>
      <c r="O150" s="75" t="e">
        <f>MID(J150,FIND("投料重量",J150,1)+5,FIND("kg",J150,1)-FIND("投料重量",J150,1)-5)</f>
        <v>#VALUE!</v>
      </c>
      <c r="P150" s="75" t="str">
        <f>SUBSTITUTE(RIGHT(J150,LEN(J150)-FIND("重量误差",J150,1)-4),"kg","")</f>
        <v>______</v>
      </c>
      <c r="Q150" s="75" t="str">
        <f>SUBSTITUTE(T150&amp;N150," ","")</f>
        <v>3.5.7Fmoc-L-Thr(tBu)-OH</v>
      </c>
      <c r="R150" s="74" t="e">
        <f>VLOOKUP(Q150,氨基酸和溶剂信息!A:P,8,FALSE)</f>
        <v>#N/A</v>
      </c>
      <c r="T150" s="75" t="str">
        <f>IF(ISBLANK(A150),T145,LEFT(A150,FIND(" ",A150,1)-1))</f>
        <v>3.5.7</v>
      </c>
      <c r="U150" s="74" t="e">
        <f>TEXT(O150,"0.00")=TEXT(R150,"0.00")</f>
        <v>#VALUE!</v>
      </c>
    </row>
    <row r="151" spans="1:21" ht="45" customHeight="1">
      <c r="A151" s="634"/>
      <c r="B151" s="634"/>
      <c r="C151" s="105" t="s">
        <v>8</v>
      </c>
      <c r="D151" s="74"/>
      <c r="E151" s="102"/>
      <c r="I151" s="106" t="s">
        <v>93</v>
      </c>
      <c r="J151" s="188" t="s">
        <v>209</v>
      </c>
      <c r="M151" s="634"/>
      <c r="T151" s="75"/>
    </row>
    <row r="152" spans="1:21" ht="45" customHeight="1">
      <c r="A152" s="634"/>
      <c r="B152" s="634"/>
      <c r="C152" s="105" t="s">
        <v>8</v>
      </c>
      <c r="D152" s="74"/>
      <c r="E152" s="102"/>
      <c r="F152" s="105" t="str">
        <f>IFERROR(IF(FIND("开",F150,1),"开","关"),"关")</f>
        <v>关</v>
      </c>
      <c r="G152" s="105" t="str">
        <f>IFERROR(IF(FIND("开",G150,1),"开","关"),"关")</f>
        <v>关</v>
      </c>
      <c r="H152" s="105" t="str">
        <f>IFERROR(IF(FIND("开",H150,1),"开","关"),"关")</f>
        <v>关</v>
      </c>
      <c r="I152" s="106" t="s">
        <v>95</v>
      </c>
      <c r="J152" s="189" t="s">
        <v>210</v>
      </c>
      <c r="K152" s="105" t="str">
        <f>IFERROR(IF(FIND("开",K150,1),"开","关"),"关")</f>
        <v>开</v>
      </c>
      <c r="L152" s="105" t="str">
        <f>IFERROR(IF(FIND("开",L150,1),"开","关"),"关")</f>
        <v>关</v>
      </c>
      <c r="M152" s="634"/>
      <c r="T152" s="75" t="str">
        <f>IF(ISBLANK(A152),T150,LEFT(A152,FIND(" ",A152,1)-1))</f>
        <v>3.5.7</v>
      </c>
    </row>
    <row r="153" spans="1:21" ht="45" customHeight="1">
      <c r="A153" s="634"/>
      <c r="B153" s="634"/>
      <c r="C153" s="105" t="s">
        <v>8</v>
      </c>
      <c r="E153" s="77"/>
      <c r="F153" s="105" t="str">
        <f t="shared" ref="F153:F161" si="37">IFERROR(IF(FIND("开",F152,1),"开","关"),"关")</f>
        <v>关</v>
      </c>
      <c r="G153" s="105" t="str">
        <f t="shared" ref="G153:G161" si="38">IFERROR(IF(FIND("开",G152,1),"开","关"),"关")</f>
        <v>关</v>
      </c>
      <c r="H153" s="105" t="str">
        <f t="shared" ref="H153:H161" si="39">IFERROR(IF(FIND("开",H152,1),"开","关"),"关")</f>
        <v>关</v>
      </c>
      <c r="I153" s="106" t="s">
        <v>123</v>
      </c>
      <c r="J153" s="190" t="s">
        <v>211</v>
      </c>
      <c r="K153" s="105" t="str">
        <f t="shared" ref="K153:K166" si="40">IFERROR(IF(FIND("开",K152,1),"开","关"),"关")</f>
        <v>开</v>
      </c>
      <c r="L153" s="105" t="s">
        <v>42</v>
      </c>
      <c r="M153" s="634"/>
      <c r="T153" s="75" t="str">
        <f t="shared" ref="T153:T159" si="41">IF(ISBLANK(A153),T152,LEFT(A153,FIND(" ",A153,1)-1))</f>
        <v>3.5.7</v>
      </c>
    </row>
    <row r="154" spans="1:21" ht="45" customHeight="1">
      <c r="A154" s="634"/>
      <c r="B154" s="634"/>
      <c r="C154" s="105" t="s">
        <v>8</v>
      </c>
      <c r="E154" s="77"/>
      <c r="F154" s="105" t="str">
        <f t="shared" si="37"/>
        <v>关</v>
      </c>
      <c r="G154" s="105" t="str">
        <f t="shared" si="38"/>
        <v>关</v>
      </c>
      <c r="H154" s="105" t="str">
        <f t="shared" si="39"/>
        <v>关</v>
      </c>
      <c r="I154" s="84" t="s">
        <v>89</v>
      </c>
      <c r="J154" s="101" t="s">
        <v>212</v>
      </c>
      <c r="K154" s="105" t="str">
        <f t="shared" si="40"/>
        <v>开</v>
      </c>
      <c r="L154" s="105" t="s">
        <v>37</v>
      </c>
      <c r="M154" s="634"/>
      <c r="T154" s="75" t="str">
        <f t="shared" si="41"/>
        <v>3.5.7</v>
      </c>
    </row>
    <row r="155" spans="1:21" ht="45" customHeight="1">
      <c r="A155" s="634"/>
      <c r="B155" s="634"/>
      <c r="C155" s="105" t="s">
        <v>8</v>
      </c>
      <c r="D155" s="105"/>
      <c r="E155" s="104"/>
      <c r="F155" s="105" t="str">
        <f t="shared" si="37"/>
        <v>关</v>
      </c>
      <c r="G155" s="105" t="str">
        <f t="shared" si="38"/>
        <v>关</v>
      </c>
      <c r="H155" s="105" t="str">
        <f t="shared" si="39"/>
        <v>关</v>
      </c>
      <c r="I155" s="106" t="s">
        <v>91</v>
      </c>
      <c r="J155" s="191" t="s">
        <v>213</v>
      </c>
      <c r="K155" s="105" t="str">
        <f t="shared" si="40"/>
        <v>开</v>
      </c>
      <c r="L155" s="105" t="str">
        <f t="shared" ref="L155:L167" si="42">IFERROR(IF(FIND("开",L154,1),"开","关"),"关")</f>
        <v>开</v>
      </c>
      <c r="M155" s="634"/>
      <c r="T155" s="75" t="str">
        <f t="shared" si="41"/>
        <v>3.5.7</v>
      </c>
    </row>
    <row r="156" spans="1:21" ht="45" customHeight="1">
      <c r="A156" s="634"/>
      <c r="B156" s="634"/>
      <c r="C156" s="105" t="s">
        <v>8</v>
      </c>
      <c r="D156" s="106"/>
      <c r="E156" s="101"/>
      <c r="F156" s="105" t="str">
        <f t="shared" si="37"/>
        <v>关</v>
      </c>
      <c r="G156" s="105" t="str">
        <f t="shared" si="38"/>
        <v>关</v>
      </c>
      <c r="H156" s="105" t="str">
        <f t="shared" si="39"/>
        <v>关</v>
      </c>
      <c r="I156" s="106" t="s">
        <v>214</v>
      </c>
      <c r="J156" s="101" t="s">
        <v>215</v>
      </c>
      <c r="K156" s="105" t="str">
        <f t="shared" si="40"/>
        <v>开</v>
      </c>
      <c r="L156" s="105" t="str">
        <f t="shared" si="42"/>
        <v>开</v>
      </c>
      <c r="M156" s="634"/>
      <c r="N156" s="75" t="str">
        <f>MID(J156,FIND("物料",J156,1)+3,FIND("投料重量",J156,1)-FIND("物料",J156,1)-4)</f>
        <v>PyBOP</v>
      </c>
      <c r="O156" s="75" t="e">
        <f>MID(J156,FIND("投料重量",J156,1)+5,FIND("kg",J156,1)-FIND("投料重量",J156,1)-5)</f>
        <v>#VALUE!</v>
      </c>
      <c r="P156" s="75" t="str">
        <f>SUBSTITUTE(RIGHT(J156,LEN(J156)-FIND("重量误差",J156,1)-4),"kg","")</f>
        <v>______</v>
      </c>
      <c r="Q156" s="75" t="str">
        <f>SUBSTITUTE(T156&amp;N156," ","")</f>
        <v>3.5.7PyBOP</v>
      </c>
      <c r="R156" s="74" t="e">
        <f>VLOOKUP(Q156,氨基酸和溶剂信息!A:P,8,FALSE)</f>
        <v>#N/A</v>
      </c>
      <c r="T156" s="75" t="str">
        <f t="shared" si="41"/>
        <v>3.5.7</v>
      </c>
      <c r="U156" s="74" t="e">
        <f>TEXT(O156,"0.00")=TEXT(R156,"0.00")</f>
        <v>#VALUE!</v>
      </c>
    </row>
    <row r="157" spans="1:21" ht="45" customHeight="1">
      <c r="A157" s="634"/>
      <c r="B157" s="634"/>
      <c r="C157" s="105" t="s">
        <v>8</v>
      </c>
      <c r="D157" s="106"/>
      <c r="E157" s="101"/>
      <c r="F157" s="105" t="str">
        <f t="shared" si="37"/>
        <v>关</v>
      </c>
      <c r="G157" s="105" t="str">
        <f t="shared" si="38"/>
        <v>关</v>
      </c>
      <c r="H157" s="105" t="str">
        <f t="shared" si="39"/>
        <v>关</v>
      </c>
      <c r="I157" s="106" t="s">
        <v>216</v>
      </c>
      <c r="J157" s="192" t="s">
        <v>213</v>
      </c>
      <c r="K157" s="105" t="str">
        <f t="shared" si="40"/>
        <v>开</v>
      </c>
      <c r="L157" s="105" t="str">
        <f t="shared" si="42"/>
        <v>开</v>
      </c>
      <c r="M157" s="634"/>
      <c r="T157" s="75" t="str">
        <f t="shared" si="41"/>
        <v>3.5.7</v>
      </c>
    </row>
    <row r="158" spans="1:21" ht="45" customHeight="1">
      <c r="A158" s="634"/>
      <c r="B158" s="634"/>
      <c r="C158" s="105" t="s">
        <v>8</v>
      </c>
      <c r="E158" s="77"/>
      <c r="F158" s="105" t="str">
        <f t="shared" si="37"/>
        <v>关</v>
      </c>
      <c r="G158" s="105" t="str">
        <f t="shared" si="38"/>
        <v>关</v>
      </c>
      <c r="H158" s="105" t="str">
        <f t="shared" si="39"/>
        <v>关</v>
      </c>
      <c r="I158" s="106" t="s">
        <v>217</v>
      </c>
      <c r="J158" s="101" t="s">
        <v>218</v>
      </c>
      <c r="K158" s="105" t="str">
        <f t="shared" si="40"/>
        <v>开</v>
      </c>
      <c r="L158" s="105" t="str">
        <f t="shared" si="42"/>
        <v>开</v>
      </c>
      <c r="M158" s="634"/>
      <c r="N158" s="75" t="str">
        <f>MID(J158,FIND("物料",J158,1)+3,FIND("投料重量",J158,1)-FIND("物料",J158,1)-4)</f>
        <v>OxymaPure</v>
      </c>
      <c r="O158" s="75" t="e">
        <f>MID(J158,FIND("投料重量",J158,1)+5,FIND("kg",J158,1)-FIND("投料重量",J158,1)-5)</f>
        <v>#VALUE!</v>
      </c>
      <c r="P158" s="75" t="str">
        <f>SUBSTITUTE(RIGHT(J158,LEN(J158)-FIND("重量误差",J158,1)-4),"kg","")</f>
        <v>______</v>
      </c>
      <c r="Q158" s="75" t="str">
        <f>SUBSTITUTE(T158&amp;N158," ","")</f>
        <v>3.5.7OxymaPure</v>
      </c>
      <c r="R158" s="74" t="e">
        <f>VLOOKUP(Q158,氨基酸和溶剂信息!A:P,8,FALSE)</f>
        <v>#N/A</v>
      </c>
      <c r="T158" s="75" t="str">
        <f t="shared" si="41"/>
        <v>3.5.7</v>
      </c>
      <c r="U158" s="74" t="e">
        <f>TEXT(O158,"0.00")=TEXT(R158,"0.00")</f>
        <v>#VALUE!</v>
      </c>
    </row>
    <row r="159" spans="1:21" ht="45" customHeight="1">
      <c r="A159" s="634"/>
      <c r="B159" s="634"/>
      <c r="C159" s="105" t="s">
        <v>8</v>
      </c>
      <c r="E159" s="77"/>
      <c r="F159" s="105" t="str">
        <f t="shared" si="37"/>
        <v>关</v>
      </c>
      <c r="G159" s="105" t="str">
        <f t="shared" si="38"/>
        <v>关</v>
      </c>
      <c r="H159" s="105" t="str">
        <f t="shared" si="39"/>
        <v>关</v>
      </c>
      <c r="I159" s="106" t="s">
        <v>216</v>
      </c>
      <c r="J159" s="193" t="s">
        <v>213</v>
      </c>
      <c r="K159" s="105" t="str">
        <f t="shared" si="40"/>
        <v>开</v>
      </c>
      <c r="L159" s="105" t="str">
        <f t="shared" si="42"/>
        <v>开</v>
      </c>
      <c r="M159" s="634"/>
      <c r="T159" s="75" t="str">
        <f t="shared" si="41"/>
        <v>3.5.7</v>
      </c>
    </row>
    <row r="160" spans="1:21" ht="45" customHeight="1">
      <c r="A160" s="634"/>
      <c r="B160" s="634"/>
      <c r="C160" s="105" t="s">
        <v>8</v>
      </c>
      <c r="E160" s="77"/>
      <c r="F160" s="105" t="str">
        <f t="shared" si="37"/>
        <v>关</v>
      </c>
      <c r="G160" s="105" t="str">
        <f t="shared" si="38"/>
        <v>关</v>
      </c>
      <c r="H160" s="105" t="str">
        <f t="shared" si="39"/>
        <v>关</v>
      </c>
      <c r="I160" s="106" t="s">
        <v>82</v>
      </c>
      <c r="J160" s="194" t="s">
        <v>83</v>
      </c>
      <c r="K160" s="105" t="str">
        <f t="shared" si="40"/>
        <v>开</v>
      </c>
      <c r="L160" s="105" t="str">
        <f t="shared" si="42"/>
        <v>开</v>
      </c>
      <c r="M160" s="634"/>
      <c r="N160" s="75" t="s">
        <v>24</v>
      </c>
      <c r="O160" s="75" t="str">
        <f>MID(J160,FIND("setting",J160,1)+8,FIND("kg",J160,1)-FIND("setting",J160,1)-8)</f>
        <v xml:space="preserve"> 61.75</v>
      </c>
      <c r="Q160" s="75" t="str">
        <f>SUBSTITUTE(T160&amp;N160," ","")</f>
        <v>3.6.6DMF</v>
      </c>
      <c r="R160" s="74">
        <f>LOOKUP(2,1/(Q160=MOR投料表!A:A),MOR投料表!I:I)</f>
        <v>61.75</v>
      </c>
      <c r="T160" s="75" t="s">
        <v>219</v>
      </c>
      <c r="U160" s="74" t="b">
        <f>TEXT(O160,"0.00")=TEXT(R160,"0.00")</f>
        <v>1</v>
      </c>
    </row>
    <row r="161" spans="1:21" ht="45" customHeight="1">
      <c r="A161" s="634"/>
      <c r="B161" s="634"/>
      <c r="C161" s="105" t="s">
        <v>8</v>
      </c>
      <c r="E161" s="77"/>
      <c r="F161" s="105" t="str">
        <f t="shared" si="37"/>
        <v>关</v>
      </c>
      <c r="G161" s="105" t="str">
        <f t="shared" si="38"/>
        <v>关</v>
      </c>
      <c r="H161" s="105" t="str">
        <f t="shared" si="39"/>
        <v>关</v>
      </c>
      <c r="I161" s="106" t="s">
        <v>85</v>
      </c>
      <c r="J161" s="101" t="s">
        <v>86</v>
      </c>
      <c r="K161" s="105" t="str">
        <f t="shared" si="40"/>
        <v>开</v>
      </c>
      <c r="L161" s="105" t="str">
        <f t="shared" si="42"/>
        <v>开</v>
      </c>
      <c r="M161" s="634"/>
      <c r="T161" s="75" t="str">
        <f t="shared" ref="T161:T167" si="43">IF(ISBLANK(A161),T160,LEFT(A161,FIND(" ",A161,1)-1))</f>
        <v>3.6.6</v>
      </c>
    </row>
    <row r="162" spans="1:21" ht="45" customHeight="1">
      <c r="A162" s="634"/>
      <c r="B162" s="634"/>
      <c r="C162" s="105" t="s">
        <v>30</v>
      </c>
      <c r="D162" s="106" t="s">
        <v>130</v>
      </c>
      <c r="E162" s="195" t="s">
        <v>131</v>
      </c>
      <c r="F162" s="105" t="str">
        <f t="shared" ref="F162:G167" si="44">IFERROR(IF(FIND("开",F161,1),"开","关"),"关")</f>
        <v>关</v>
      </c>
      <c r="G162" s="105" t="str">
        <f t="shared" si="44"/>
        <v>关</v>
      </c>
      <c r="H162" s="105" t="s">
        <v>42</v>
      </c>
      <c r="I162" s="106"/>
      <c r="J162" s="101"/>
      <c r="K162" s="105" t="str">
        <f t="shared" si="40"/>
        <v>开</v>
      </c>
      <c r="L162" s="105" t="str">
        <f t="shared" si="42"/>
        <v>开</v>
      </c>
      <c r="M162" s="634"/>
      <c r="N162" s="75"/>
      <c r="O162" s="75"/>
      <c r="T162" s="75" t="str">
        <f t="shared" si="43"/>
        <v>3.6.6</v>
      </c>
    </row>
    <row r="163" spans="1:21" ht="60" customHeight="1">
      <c r="A163" s="634"/>
      <c r="B163" s="634"/>
      <c r="C163" s="105" t="s">
        <v>3</v>
      </c>
      <c r="D163" s="106" t="s">
        <v>52</v>
      </c>
      <c r="E163" s="101" t="s">
        <v>161</v>
      </c>
      <c r="F163" s="105" t="str">
        <f t="shared" si="44"/>
        <v>关</v>
      </c>
      <c r="G163" s="105" t="str">
        <f t="shared" si="44"/>
        <v>关</v>
      </c>
      <c r="H163" s="105" t="s">
        <v>37</v>
      </c>
      <c r="I163" s="106"/>
      <c r="J163" s="101"/>
      <c r="K163" s="105" t="str">
        <f t="shared" si="40"/>
        <v>开</v>
      </c>
      <c r="L163" s="105" t="str">
        <f t="shared" si="42"/>
        <v>开</v>
      </c>
      <c r="M163" s="634"/>
      <c r="N163" s="75"/>
      <c r="O163" s="75"/>
      <c r="T163" s="75" t="str">
        <f t="shared" si="43"/>
        <v>3.6.6</v>
      </c>
      <c r="U163" s="74" t="b">
        <f>TEXT(O163,"0.00")=TEXT(R163,"0.00")</f>
        <v>1</v>
      </c>
    </row>
    <row r="164" spans="1:21" ht="45" customHeight="1">
      <c r="A164" s="634"/>
      <c r="B164" s="634"/>
      <c r="C164" s="105" t="s">
        <v>8</v>
      </c>
      <c r="E164" s="77"/>
      <c r="F164" s="105" t="str">
        <f t="shared" si="44"/>
        <v>关</v>
      </c>
      <c r="G164" s="105" t="str">
        <f t="shared" si="44"/>
        <v>关</v>
      </c>
      <c r="H164" s="105" t="str">
        <f>IFERROR(IF(FIND("开",H163,1),"开","关"),"关")</f>
        <v>开</v>
      </c>
      <c r="I164" s="106" t="s">
        <v>104</v>
      </c>
      <c r="J164" s="77" t="s">
        <v>220</v>
      </c>
      <c r="K164" s="105" t="str">
        <f t="shared" si="40"/>
        <v>开</v>
      </c>
      <c r="L164" s="105" t="str">
        <f t="shared" si="42"/>
        <v>开</v>
      </c>
      <c r="M164" s="634"/>
      <c r="N164" s="75" t="str">
        <f>SUBSTITUTE(MID(J164,FIND("-》",J164,1)+11,FIND(", weight",J164,1)-FIND("-》",J164,1)-11),"-喷淋-固体喷淋","")</f>
        <v xml:space="preserve"> DIPEA</v>
      </c>
      <c r="O164" s="75" t="e">
        <f>MID(J164,FIND("量",J164,1)+2,FIND("kg",J164,1)-FIND("量",J164,1)-2)</f>
        <v>#VALUE!</v>
      </c>
      <c r="Q164" s="75" t="str">
        <f>SUBSTITUTE(T164&amp;N164," ","")</f>
        <v>3.6.6DIPEA</v>
      </c>
      <c r="R164" s="74" t="e">
        <f>VLOOKUP(Q164,氨基酸和溶剂信息!A:P,8,FALSE)</f>
        <v>#N/A</v>
      </c>
      <c r="T164" s="75" t="str">
        <f t="shared" si="43"/>
        <v>3.6.6</v>
      </c>
      <c r="U164" s="74" t="e">
        <f>TEXT(O164,"0.00")=TEXT(R164,"0.00")</f>
        <v>#VALUE!</v>
      </c>
    </row>
    <row r="165" spans="1:21" ht="45" customHeight="1">
      <c r="A165" s="634"/>
      <c r="B165" s="634"/>
      <c r="C165" s="105" t="s">
        <v>8</v>
      </c>
      <c r="E165" s="77"/>
      <c r="F165" s="105" t="str">
        <f t="shared" si="44"/>
        <v>关</v>
      </c>
      <c r="G165" s="105" t="str">
        <f t="shared" si="44"/>
        <v>关</v>
      </c>
      <c r="H165" s="105" t="str">
        <f>IFERROR(IF(FIND("开",H164,1),"开","关"),"关")</f>
        <v>开</v>
      </c>
      <c r="I165" s="106" t="s">
        <v>106</v>
      </c>
      <c r="J165" s="101" t="s">
        <v>107</v>
      </c>
      <c r="K165" s="105" t="str">
        <f t="shared" si="40"/>
        <v>开</v>
      </c>
      <c r="L165" s="105" t="str">
        <f t="shared" si="42"/>
        <v>开</v>
      </c>
      <c r="M165" s="634"/>
      <c r="T165" s="75" t="str">
        <f t="shared" si="43"/>
        <v>3.6.6</v>
      </c>
    </row>
    <row r="166" spans="1:21" ht="45" customHeight="1">
      <c r="A166" s="634"/>
      <c r="B166" s="634"/>
      <c r="C166" s="105" t="s">
        <v>8</v>
      </c>
      <c r="D166" s="106"/>
      <c r="E166" s="78"/>
      <c r="F166" s="105" t="str">
        <f t="shared" si="44"/>
        <v>关</v>
      </c>
      <c r="G166" s="105" t="str">
        <f t="shared" si="44"/>
        <v>关</v>
      </c>
      <c r="H166" s="105" t="str">
        <f>IFERROR(IF(FIND("开",H165,1),"开","关"),"关")</f>
        <v>开</v>
      </c>
      <c r="I166" s="106" t="s">
        <v>221</v>
      </c>
      <c r="J166" s="196" t="s">
        <v>222</v>
      </c>
      <c r="K166" s="105" t="str">
        <f t="shared" si="40"/>
        <v>开</v>
      </c>
      <c r="L166" s="105" t="str">
        <f t="shared" si="42"/>
        <v>开</v>
      </c>
      <c r="M166" s="634"/>
      <c r="T166" s="75" t="str">
        <f t="shared" si="43"/>
        <v>3.6.6</v>
      </c>
    </row>
    <row r="167" spans="1:21" ht="45" customHeight="1">
      <c r="A167" s="634"/>
      <c r="B167" s="634"/>
      <c r="C167" s="105" t="s">
        <v>8</v>
      </c>
      <c r="E167" s="77"/>
      <c r="F167" s="105" t="str">
        <f t="shared" si="44"/>
        <v>关</v>
      </c>
      <c r="G167" s="105" t="str">
        <f t="shared" si="44"/>
        <v>关</v>
      </c>
      <c r="H167" s="105" t="str">
        <f>IFERROR(IF(FIND("开",H166,1),"开","关"),"关")</f>
        <v>开</v>
      </c>
      <c r="I167" s="106" t="s">
        <v>110</v>
      </c>
      <c r="J167" s="101" t="s">
        <v>111</v>
      </c>
      <c r="K167" s="105" t="s">
        <v>42</v>
      </c>
      <c r="L167" s="105" t="str">
        <f t="shared" si="42"/>
        <v>开</v>
      </c>
      <c r="M167" s="634"/>
      <c r="T167" s="75" t="str">
        <f t="shared" si="43"/>
        <v>3.6.6</v>
      </c>
    </row>
    <row r="168" spans="1:21" ht="45" customHeight="1">
      <c r="A168" s="634"/>
      <c r="B168" s="634"/>
      <c r="C168" s="105" t="s">
        <v>8</v>
      </c>
      <c r="E168" s="77"/>
      <c r="I168" s="106" t="s">
        <v>112</v>
      </c>
      <c r="J168" s="197" t="s">
        <v>113</v>
      </c>
      <c r="M168" s="635"/>
      <c r="T168" s="75"/>
    </row>
    <row r="169" spans="1:21" ht="45" customHeight="1">
      <c r="A169" s="603" t="s">
        <v>223</v>
      </c>
      <c r="B169" s="607" t="s">
        <v>224</v>
      </c>
      <c r="C169" s="105" t="s">
        <v>3</v>
      </c>
      <c r="D169" s="106" t="s">
        <v>58</v>
      </c>
      <c r="E169" s="198" t="s">
        <v>225</v>
      </c>
      <c r="F169" s="105" t="str">
        <f>IFERROR(IF(FIND("开",F167,1),"开","关"),"关")</f>
        <v>关</v>
      </c>
      <c r="G169" s="105" t="str">
        <f>IFERROR(IF(FIND("开",G167,1),"开","关"),"关")</f>
        <v>关</v>
      </c>
      <c r="H169" s="105" t="str">
        <f>IFERROR(IF(FIND("开",H167,1),"开","关"),"关")</f>
        <v>开</v>
      </c>
      <c r="J169" s="101"/>
      <c r="K169" s="105" t="str">
        <f>IFERROR(IF(FIND("开",K167,1),"开","关"),"关")</f>
        <v>关</v>
      </c>
      <c r="L169" s="105" t="str">
        <f>IFERROR(IF(FIND("开",L167,1),"开","关"),"关")</f>
        <v>开</v>
      </c>
      <c r="M169" s="601">
        <v>1</v>
      </c>
      <c r="N169" s="75" t="s">
        <v>24</v>
      </c>
      <c r="O169" s="75" t="str">
        <f>MID(E169,FIND("setting",E169,1)+8,FIND("kg",E169,1)-FIND("setting",E169,1)-8)</f>
        <v xml:space="preserve"> 184.60</v>
      </c>
      <c r="Q169" s="75" t="str">
        <f>SUBSTITUTE(T169&amp;N169," ","")</f>
        <v>3.7.1DMF</v>
      </c>
      <c r="R169" s="74">
        <f>VLOOKUP(Q169,MOR投料表!A:L,9,FALSE)</f>
        <v>184.6</v>
      </c>
      <c r="T169" s="75" t="str">
        <f>IF(ISBLANK(A169),T167,LEFT(A169,FIND(" ",A169,1)-1))</f>
        <v>3.7.1</v>
      </c>
      <c r="U169" s="74" t="b">
        <f>TEXT(O169,"0.00")=TEXT(R169,"0.00")</f>
        <v>1</v>
      </c>
    </row>
    <row r="170" spans="1:21" ht="45" customHeight="1">
      <c r="A170" s="603"/>
      <c r="B170" s="602"/>
      <c r="C170" s="105" t="s">
        <v>3</v>
      </c>
      <c r="D170" s="106" t="s">
        <v>61</v>
      </c>
      <c r="E170" s="101" t="s">
        <v>62</v>
      </c>
      <c r="F170" s="105" t="str">
        <f>IFERROR(IF(FIND("开",F169,1),"开","关"),"关")</f>
        <v>关</v>
      </c>
      <c r="G170" s="105" t="str">
        <f>IFERROR(IF(FIND("开",G169,1),"开","关"),"关")</f>
        <v>关</v>
      </c>
      <c r="H170" s="105" t="str">
        <f>IFERROR(IF(FIND("开",H169,1),"开","关"),"关")</f>
        <v>开</v>
      </c>
      <c r="J170" s="101"/>
      <c r="K170" s="105" t="str">
        <f t="shared" ref="K170:L173" si="45">IFERROR(IF(FIND("开",K169,1),"开","关"),"关")</f>
        <v>关</v>
      </c>
      <c r="L170" s="105" t="str">
        <f t="shared" si="45"/>
        <v>开</v>
      </c>
      <c r="M170" s="601"/>
      <c r="N170" s="75"/>
      <c r="O170" s="75"/>
      <c r="T170" s="75" t="str">
        <f>IF(ISBLANK(A170),T169,LEFT(A170,FIND(" ",A170,1)-1))</f>
        <v>3.7.1</v>
      </c>
      <c r="U170" s="74" t="b">
        <f>TEXT(O170,"0.00")=TEXT(R170,"0.00")</f>
        <v>1</v>
      </c>
    </row>
    <row r="171" spans="1:21" ht="45" customHeight="1">
      <c r="A171" s="603"/>
      <c r="B171" s="602"/>
      <c r="C171" s="105" t="s">
        <v>3</v>
      </c>
      <c r="D171" s="106" t="s">
        <v>35</v>
      </c>
      <c r="E171" s="101" t="s">
        <v>63</v>
      </c>
      <c r="F171" s="105" t="s">
        <v>37</v>
      </c>
      <c r="G171" s="105" t="str">
        <f>IFERROR(IF(FIND("开",G170,1),"开","关"),"关")</f>
        <v>关</v>
      </c>
      <c r="H171" s="105" t="str">
        <f>IFERROR(IF(FIND("开",H170,1),"开","关"),"关")</f>
        <v>开</v>
      </c>
      <c r="J171" s="101"/>
      <c r="K171" s="105" t="str">
        <f t="shared" si="45"/>
        <v>关</v>
      </c>
      <c r="L171" s="105" t="str">
        <f t="shared" si="45"/>
        <v>开</v>
      </c>
      <c r="M171" s="601"/>
      <c r="T171" s="75" t="str">
        <f>IF(ISBLANK(A171),T170,LEFT(A171,FIND(" ",A171,1)-1))</f>
        <v>3.7.1</v>
      </c>
    </row>
    <row r="172" spans="1:21" ht="45" customHeight="1">
      <c r="A172" s="603"/>
      <c r="B172" s="602"/>
      <c r="C172" s="105" t="s">
        <v>3</v>
      </c>
      <c r="D172" s="106" t="s">
        <v>64</v>
      </c>
      <c r="E172" s="101" t="s">
        <v>65</v>
      </c>
      <c r="F172" s="105" t="str">
        <f>IFERROR(IF(FIND("开",F171,1),"开","关"),"关")</f>
        <v>开</v>
      </c>
      <c r="G172" s="105" t="s">
        <v>37</v>
      </c>
      <c r="H172" s="105" t="str">
        <f>IFERROR(IF(FIND("开",H171,1),"开","关"),"关")</f>
        <v>开</v>
      </c>
      <c r="J172" s="101"/>
      <c r="K172" s="105" t="str">
        <f t="shared" si="45"/>
        <v>关</v>
      </c>
      <c r="L172" s="105" t="str">
        <f t="shared" si="45"/>
        <v>开</v>
      </c>
      <c r="M172" s="601"/>
      <c r="T172" s="75" t="str">
        <f>IF(ISBLANK(A172),T171,LEFT(A172,FIND(" ",A172,1)-1))</f>
        <v>3.7.1</v>
      </c>
    </row>
    <row r="173" spans="1:21" ht="45" customHeight="1">
      <c r="A173" s="595" t="s">
        <v>227</v>
      </c>
      <c r="B173" s="628" t="s">
        <v>228</v>
      </c>
      <c r="C173" s="105" t="s">
        <v>30</v>
      </c>
      <c r="D173" s="106" t="s">
        <v>31</v>
      </c>
      <c r="E173" s="199" t="s">
        <v>32</v>
      </c>
      <c r="F173" s="105" t="str">
        <f>IFERROR(IF(FIND("开",F172,1),"开","关"),"关")</f>
        <v>开</v>
      </c>
      <c r="G173" s="105" t="str">
        <f>IFERROR(IF(FIND("开",G172,1),"开","关"),"关")</f>
        <v>开</v>
      </c>
      <c r="H173" s="105" t="str">
        <f>IFERROR(IF(FIND("开",H172,1),"开","关"),"关")</f>
        <v>开</v>
      </c>
      <c r="I173" s="106"/>
      <c r="J173" s="101"/>
      <c r="K173" s="105" t="str">
        <f t="shared" si="45"/>
        <v>关</v>
      </c>
      <c r="L173" s="105" t="str">
        <f t="shared" si="45"/>
        <v>开</v>
      </c>
      <c r="M173" s="598">
        <v>1</v>
      </c>
      <c r="T173" s="75" t="str">
        <f>IF(ISBLANK(A173),T172,LEFT(A173,FIND(" ",A173,1)-1))</f>
        <v>3.7.2</v>
      </c>
    </row>
    <row r="174" spans="1:21" ht="45" customHeight="1">
      <c r="A174" s="596"/>
      <c r="B174" s="599"/>
      <c r="C174" s="105" t="s">
        <v>8</v>
      </c>
      <c r="D174" s="106"/>
      <c r="E174" s="101"/>
      <c r="I174" s="74" t="s">
        <v>116</v>
      </c>
      <c r="J174" s="200" t="s">
        <v>117</v>
      </c>
      <c r="M174" s="599"/>
      <c r="T174" s="75"/>
    </row>
    <row r="175" spans="1:21" ht="45" customHeight="1">
      <c r="A175" s="596"/>
      <c r="B175" s="599"/>
      <c r="C175" s="105" t="s">
        <v>30</v>
      </c>
      <c r="D175" s="106" t="s">
        <v>33</v>
      </c>
      <c r="E175" s="101" t="s">
        <v>34</v>
      </c>
      <c r="F175" s="105" t="str">
        <f>IFERROR(IF(FIND("开",F173,1),"开","关"),"关")</f>
        <v>开</v>
      </c>
      <c r="G175" s="105" t="str">
        <f>IFERROR(IF(FIND("开",G173,1),"开","关"),"关")</f>
        <v>开</v>
      </c>
      <c r="H175" s="105" t="str">
        <f>IFERROR(IF(FIND("开",H173,1),"开","关"),"关")</f>
        <v>开</v>
      </c>
      <c r="I175" s="74"/>
      <c r="J175" s="77"/>
      <c r="K175" s="105" t="str">
        <f>IFERROR(IF(FIND("开",K173,1),"开","关"),"关")</f>
        <v>关</v>
      </c>
      <c r="L175" s="105" t="str">
        <f>IFERROR(IF(FIND("开",L173,1),"开","关"),"关")</f>
        <v>开</v>
      </c>
      <c r="M175" s="599"/>
      <c r="T175" s="75" t="str">
        <f>IF(ISBLANK(A175),T173,LEFT(A175,FIND(" ",A175,1)-1))</f>
        <v>3.7.2</v>
      </c>
    </row>
    <row r="176" spans="1:21" ht="45" customHeight="1">
      <c r="A176" s="596"/>
      <c r="B176" s="599"/>
      <c r="C176" s="105" t="s">
        <v>8</v>
      </c>
      <c r="D176" s="105"/>
      <c r="E176" s="104"/>
      <c r="F176" s="105" t="str">
        <f t="shared" ref="F176:F184" si="46">IFERROR(IF(FIND("开",F175,1),"开","关"),"关")</f>
        <v>开</v>
      </c>
      <c r="G176" s="105" t="str">
        <f t="shared" ref="G176:G184" si="47">IFERROR(IF(FIND("开",G175,1),"开","关"),"关")</f>
        <v>开</v>
      </c>
      <c r="H176" s="105" t="str">
        <f t="shared" ref="H176:H184" si="48">IFERROR(IF(FIND("开",H175,1),"开","关"),"关")</f>
        <v>开</v>
      </c>
      <c r="I176" s="106" t="s">
        <v>22</v>
      </c>
      <c r="J176" s="201" t="s">
        <v>118</v>
      </c>
      <c r="K176" s="105" t="str">
        <f t="shared" ref="K176:L179" si="49">IFERROR(IF(FIND("开",K175,1),"开","关"),"关")</f>
        <v>关</v>
      </c>
      <c r="L176" s="105" t="str">
        <f t="shared" si="49"/>
        <v>开</v>
      </c>
      <c r="M176" s="599"/>
      <c r="N176" s="75" t="s">
        <v>24</v>
      </c>
      <c r="O176" s="75" t="str">
        <f>MID(J176,FIND("setting",J176,1)+8,FIND("kg",J176,1)-FIND("setting",J176,1)-8)</f>
        <v xml:space="preserve"> 61.75</v>
      </c>
      <c r="Q176" s="75" t="str">
        <f>SUBSTITUTE(T176&amp;N176," ","")</f>
        <v>3.7.3DMF</v>
      </c>
      <c r="R176" s="74">
        <f>VLOOKUP(Q176,MOR投料表!A:L,9,FALSE)</f>
        <v>61.75</v>
      </c>
      <c r="T176" s="75" t="s">
        <v>229</v>
      </c>
      <c r="U176" s="74" t="b">
        <f>TEXT(O176,"0.00")=TEXT(R176,"0.00")</f>
        <v>1</v>
      </c>
    </row>
    <row r="177" spans="1:21" ht="45" customHeight="1">
      <c r="A177" s="597"/>
      <c r="B177" s="600"/>
      <c r="C177" s="105" t="s">
        <v>8</v>
      </c>
      <c r="D177" s="105"/>
      <c r="E177" s="104"/>
      <c r="F177" s="105" t="str">
        <f t="shared" si="46"/>
        <v>开</v>
      </c>
      <c r="G177" s="105" t="str">
        <f t="shared" si="47"/>
        <v>开</v>
      </c>
      <c r="H177" s="105" t="str">
        <f t="shared" si="48"/>
        <v>开</v>
      </c>
      <c r="I177" s="106" t="s">
        <v>61</v>
      </c>
      <c r="J177" s="101" t="s">
        <v>26</v>
      </c>
      <c r="K177" s="105" t="str">
        <f t="shared" si="49"/>
        <v>关</v>
      </c>
      <c r="L177" s="105" t="str">
        <f t="shared" si="49"/>
        <v>开</v>
      </c>
      <c r="M177" s="600"/>
      <c r="T177" s="75" t="str">
        <f t="shared" ref="T177:T206" si="50">IF(ISBLANK(A177),T176,LEFT(A177,FIND(" ",A177,1)-1))</f>
        <v>3.7.3</v>
      </c>
    </row>
    <row r="178" spans="1:21" ht="45" customHeight="1">
      <c r="A178" s="595" t="s">
        <v>230</v>
      </c>
      <c r="B178" s="614" t="s">
        <v>231</v>
      </c>
      <c r="C178" s="105" t="s">
        <v>30</v>
      </c>
      <c r="D178" s="106" t="s">
        <v>31</v>
      </c>
      <c r="E178" s="202" t="s">
        <v>32</v>
      </c>
      <c r="F178" s="105" t="str">
        <f t="shared" si="46"/>
        <v>开</v>
      </c>
      <c r="G178" s="105" t="str">
        <f t="shared" si="47"/>
        <v>开</v>
      </c>
      <c r="H178" s="105" t="str">
        <f t="shared" si="48"/>
        <v>开</v>
      </c>
      <c r="I178" s="106"/>
      <c r="J178" s="101"/>
      <c r="K178" s="105" t="str">
        <f t="shared" si="49"/>
        <v>关</v>
      </c>
      <c r="L178" s="105" t="str">
        <f t="shared" si="49"/>
        <v>开</v>
      </c>
      <c r="M178" s="598">
        <v>1</v>
      </c>
      <c r="T178" s="75" t="str">
        <f t="shared" si="50"/>
        <v>3.7.4</v>
      </c>
    </row>
    <row r="179" spans="1:21" ht="45" customHeight="1">
      <c r="A179" s="596"/>
      <c r="B179" s="599"/>
      <c r="C179" s="105" t="s">
        <v>30</v>
      </c>
      <c r="D179" s="106" t="s">
        <v>33</v>
      </c>
      <c r="E179" s="101" t="s">
        <v>34</v>
      </c>
      <c r="F179" s="105" t="str">
        <f t="shared" si="46"/>
        <v>开</v>
      </c>
      <c r="G179" s="105" t="str">
        <f t="shared" si="47"/>
        <v>开</v>
      </c>
      <c r="H179" s="105" t="str">
        <f t="shared" si="48"/>
        <v>开</v>
      </c>
      <c r="I179" s="74"/>
      <c r="J179" s="77"/>
      <c r="K179" s="105" t="str">
        <f t="shared" si="49"/>
        <v>关</v>
      </c>
      <c r="L179" s="105" t="str">
        <f t="shared" si="49"/>
        <v>开</v>
      </c>
      <c r="M179" s="599"/>
      <c r="T179" s="75" t="str">
        <f t="shared" si="50"/>
        <v>3.7.4</v>
      </c>
    </row>
    <row r="180" spans="1:21" ht="45" customHeight="1">
      <c r="A180" s="596"/>
      <c r="B180" s="599"/>
      <c r="C180" s="105" t="s">
        <v>8</v>
      </c>
      <c r="D180" s="74"/>
      <c r="E180" s="102"/>
      <c r="F180" s="105" t="str">
        <f t="shared" si="46"/>
        <v>开</v>
      </c>
      <c r="G180" s="105" t="str">
        <f t="shared" si="47"/>
        <v>开</v>
      </c>
      <c r="H180" s="105" t="str">
        <f t="shared" si="48"/>
        <v>开</v>
      </c>
      <c r="I180" s="106" t="s">
        <v>123</v>
      </c>
      <c r="J180" s="101" t="s">
        <v>232</v>
      </c>
      <c r="K180" s="105" t="str">
        <f t="shared" ref="K180:K206" si="51">IFERROR(IF(FIND("开",K179,1),"开","关"),"关")</f>
        <v>关</v>
      </c>
      <c r="L180" s="105" t="s">
        <v>42</v>
      </c>
      <c r="M180" s="599"/>
      <c r="N180" s="75"/>
      <c r="O180" s="75"/>
      <c r="T180" s="75" t="str">
        <f t="shared" si="50"/>
        <v>3.7.4</v>
      </c>
      <c r="U180" s="74" t="b">
        <f>TEXT(O180,"0.00")=TEXT(R180,"0.00")</f>
        <v>1</v>
      </c>
    </row>
    <row r="181" spans="1:21" ht="45" customHeight="1">
      <c r="A181" s="596"/>
      <c r="B181" s="599"/>
      <c r="C181" s="105" t="s">
        <v>8</v>
      </c>
      <c r="D181" s="74"/>
      <c r="E181" s="102"/>
      <c r="F181" s="105" t="str">
        <f t="shared" si="46"/>
        <v>开</v>
      </c>
      <c r="G181" s="105" t="str">
        <f t="shared" si="47"/>
        <v>开</v>
      </c>
      <c r="H181" s="105" t="str">
        <f t="shared" si="48"/>
        <v>开</v>
      </c>
      <c r="I181" s="106" t="s">
        <v>125</v>
      </c>
      <c r="J181" s="101" t="s">
        <v>126</v>
      </c>
      <c r="K181" s="105" t="str">
        <f t="shared" si="51"/>
        <v>关</v>
      </c>
      <c r="L181" s="105" t="str">
        <f t="shared" ref="L181:L206" si="52">IFERROR(IF(FIND("开",L180,1),"开","关"),"关")</f>
        <v>关</v>
      </c>
      <c r="M181" s="599"/>
      <c r="T181" s="75" t="str">
        <f t="shared" si="50"/>
        <v>3.7.4</v>
      </c>
    </row>
    <row r="182" spans="1:21" ht="45" customHeight="1">
      <c r="A182" s="596"/>
      <c r="B182" s="599"/>
      <c r="C182" s="105" t="s">
        <v>3</v>
      </c>
      <c r="D182" s="106" t="s">
        <v>66</v>
      </c>
      <c r="E182" s="203" t="s">
        <v>127</v>
      </c>
      <c r="F182" s="105" t="str">
        <f t="shared" si="46"/>
        <v>开</v>
      </c>
      <c r="G182" s="105" t="str">
        <f t="shared" si="47"/>
        <v>开</v>
      </c>
      <c r="H182" s="105" t="str">
        <f t="shared" si="48"/>
        <v>开</v>
      </c>
      <c r="J182" s="101"/>
      <c r="K182" s="105" t="str">
        <f t="shared" si="51"/>
        <v>关</v>
      </c>
      <c r="L182" s="105" t="str">
        <f t="shared" si="52"/>
        <v>关</v>
      </c>
      <c r="M182" s="599"/>
      <c r="T182" s="75" t="str">
        <f t="shared" si="50"/>
        <v>3.7.4</v>
      </c>
    </row>
    <row r="183" spans="1:21" ht="45" customHeight="1">
      <c r="A183" s="596"/>
      <c r="B183" s="599"/>
      <c r="C183" s="105" t="s">
        <v>3</v>
      </c>
      <c r="D183" s="106" t="s">
        <v>68</v>
      </c>
      <c r="E183" s="204" t="s">
        <v>162</v>
      </c>
      <c r="F183" s="105" t="str">
        <f t="shared" si="46"/>
        <v>开</v>
      </c>
      <c r="G183" s="105" t="str">
        <f t="shared" si="47"/>
        <v>开</v>
      </c>
      <c r="H183" s="105" t="str">
        <f t="shared" si="48"/>
        <v>开</v>
      </c>
      <c r="J183" s="101"/>
      <c r="K183" s="105" t="str">
        <f t="shared" si="51"/>
        <v>关</v>
      </c>
      <c r="L183" s="105" t="str">
        <f t="shared" si="52"/>
        <v>关</v>
      </c>
      <c r="M183" s="599"/>
      <c r="T183" s="75" t="str">
        <f t="shared" si="50"/>
        <v>3.7.4</v>
      </c>
    </row>
    <row r="184" spans="1:21" ht="45" customHeight="1">
      <c r="A184" s="596"/>
      <c r="B184" s="599"/>
      <c r="C184" s="105" t="s">
        <v>3</v>
      </c>
      <c r="D184" s="106" t="s">
        <v>233</v>
      </c>
      <c r="E184" s="205" t="s">
        <v>234</v>
      </c>
      <c r="F184" s="105" t="str">
        <f t="shared" si="46"/>
        <v>开</v>
      </c>
      <c r="G184" s="105" t="str">
        <f t="shared" si="47"/>
        <v>开</v>
      </c>
      <c r="H184" s="105" t="str">
        <f t="shared" si="48"/>
        <v>开</v>
      </c>
      <c r="J184" s="101"/>
      <c r="K184" s="105" t="str">
        <f t="shared" si="51"/>
        <v>关</v>
      </c>
      <c r="L184" s="105" t="str">
        <f t="shared" si="52"/>
        <v>关</v>
      </c>
      <c r="M184" s="599"/>
      <c r="T184" s="75" t="str">
        <f t="shared" si="50"/>
        <v>3.7.4</v>
      </c>
    </row>
    <row r="185" spans="1:21" ht="45" customHeight="1">
      <c r="A185" s="596"/>
      <c r="B185" s="599"/>
      <c r="C185" s="105" t="s">
        <v>3</v>
      </c>
      <c r="D185" s="106" t="s">
        <v>70</v>
      </c>
      <c r="E185" s="101" t="s">
        <v>71</v>
      </c>
      <c r="F185" s="105" t="str">
        <f>IFERROR(IF(FIND("开",F184,1),"开","关"),"关")</f>
        <v>开</v>
      </c>
      <c r="G185" s="105" t="s">
        <v>42</v>
      </c>
      <c r="H185" s="105" t="str">
        <f t="shared" ref="H185:H202" si="53">IFERROR(IF(FIND("开",H184,1),"开","关"),"关")</f>
        <v>开</v>
      </c>
      <c r="J185" s="101"/>
      <c r="K185" s="105" t="str">
        <f t="shared" si="51"/>
        <v>关</v>
      </c>
      <c r="L185" s="105" t="str">
        <f t="shared" si="52"/>
        <v>关</v>
      </c>
      <c r="M185" s="599"/>
      <c r="T185" s="75" t="str">
        <f t="shared" si="50"/>
        <v>3.7.4</v>
      </c>
    </row>
    <row r="186" spans="1:21" ht="45" customHeight="1">
      <c r="A186" s="596"/>
      <c r="B186" s="599"/>
      <c r="C186" s="105" t="s">
        <v>3</v>
      </c>
      <c r="D186" s="106" t="s">
        <v>40</v>
      </c>
      <c r="E186" s="101" t="s">
        <v>41</v>
      </c>
      <c r="F186" s="105" t="s">
        <v>42</v>
      </c>
      <c r="G186" s="105" t="str">
        <f t="shared" ref="G186:G199" si="54">IFERROR(IF(FIND("开",G185,1),"开","关"),"关")</f>
        <v>关</v>
      </c>
      <c r="H186" s="105" t="str">
        <f t="shared" si="53"/>
        <v>开</v>
      </c>
      <c r="J186" s="101"/>
      <c r="K186" s="105" t="str">
        <f t="shared" si="51"/>
        <v>关</v>
      </c>
      <c r="L186" s="105" t="str">
        <f t="shared" si="52"/>
        <v>关</v>
      </c>
      <c r="M186" s="599"/>
      <c r="T186" s="75" t="str">
        <f t="shared" si="50"/>
        <v>3.7.4</v>
      </c>
    </row>
    <row r="187" spans="1:21" ht="45" customHeight="1">
      <c r="A187" s="597"/>
      <c r="B187" s="600"/>
      <c r="C187" s="105" t="s">
        <v>3</v>
      </c>
      <c r="D187" s="106" t="s">
        <v>45</v>
      </c>
      <c r="E187" s="206" t="s">
        <v>46</v>
      </c>
      <c r="F187" s="105" t="str">
        <f t="shared" ref="F187:F198" si="55">IFERROR(IF(FIND("开",F186,1),"开","关"),"关")</f>
        <v>关</v>
      </c>
      <c r="G187" s="105" t="str">
        <f t="shared" si="54"/>
        <v>关</v>
      </c>
      <c r="H187" s="105" t="str">
        <f t="shared" si="53"/>
        <v>开</v>
      </c>
      <c r="J187" s="101"/>
      <c r="K187" s="105" t="str">
        <f t="shared" si="51"/>
        <v>关</v>
      </c>
      <c r="L187" s="105" t="str">
        <f t="shared" si="52"/>
        <v>关</v>
      </c>
      <c r="M187" s="600"/>
      <c r="T187" s="75" t="str">
        <f t="shared" si="50"/>
        <v>3.7.4</v>
      </c>
    </row>
    <row r="188" spans="1:21" ht="45" customHeight="1">
      <c r="A188" s="603" t="s">
        <v>235</v>
      </c>
      <c r="B188" s="692" t="s">
        <v>134</v>
      </c>
      <c r="C188" s="105" t="s">
        <v>8</v>
      </c>
      <c r="E188" s="102"/>
      <c r="F188" s="105" t="str">
        <f t="shared" si="55"/>
        <v>关</v>
      </c>
      <c r="G188" s="105" t="str">
        <f t="shared" si="54"/>
        <v>关</v>
      </c>
      <c r="H188" s="105" t="str">
        <f t="shared" si="53"/>
        <v>开</v>
      </c>
      <c r="I188" s="84" t="s">
        <v>77</v>
      </c>
      <c r="J188" s="207" t="s">
        <v>135</v>
      </c>
      <c r="K188" s="105" t="str">
        <f t="shared" si="51"/>
        <v>关</v>
      </c>
      <c r="L188" s="105" t="str">
        <f t="shared" si="52"/>
        <v>关</v>
      </c>
      <c r="M188" s="601">
        <v>3</v>
      </c>
      <c r="N188" s="75" t="s">
        <v>24</v>
      </c>
      <c r="O188" s="75" t="str">
        <f>MID(J188,FIND("setting",J188,1)+8,FIND("kg",J188,1)-FIND("setting",J188,1)-8)</f>
        <v xml:space="preserve"> 492.70</v>
      </c>
      <c r="Q188" s="75" t="str">
        <f>SUBSTITUTE(T188&amp;N188," ","")</f>
        <v>3.7.7DMF</v>
      </c>
      <c r="R188" s="74">
        <f>VLOOKUP(Q188,MOR投料表!A:L,9,FALSE)</f>
        <v>492.7</v>
      </c>
      <c r="T188" s="75" t="str">
        <f t="shared" si="50"/>
        <v>3.7.7</v>
      </c>
      <c r="U188" s="74" t="b">
        <f>TEXT(O188,"0.00")=TEXT(R188,"0.00")</f>
        <v>1</v>
      </c>
    </row>
    <row r="189" spans="1:21" ht="45" customHeight="1">
      <c r="A189" s="603"/>
      <c r="B189" s="602"/>
      <c r="C189" s="105" t="s">
        <v>8</v>
      </c>
      <c r="E189" s="102"/>
      <c r="F189" s="105" t="str">
        <f t="shared" si="55"/>
        <v>关</v>
      </c>
      <c r="G189" s="105" t="str">
        <f t="shared" si="54"/>
        <v>关</v>
      </c>
      <c r="H189" s="105" t="str">
        <f t="shared" si="53"/>
        <v>开</v>
      </c>
      <c r="I189" s="84" t="s">
        <v>61</v>
      </c>
      <c r="J189" s="101" t="s">
        <v>26</v>
      </c>
      <c r="K189" s="105" t="str">
        <f t="shared" si="51"/>
        <v>关</v>
      </c>
      <c r="L189" s="105" t="str">
        <f t="shared" si="52"/>
        <v>关</v>
      </c>
      <c r="M189" s="601"/>
      <c r="N189" s="75"/>
      <c r="O189" s="75"/>
      <c r="T189" s="75" t="str">
        <f t="shared" si="50"/>
        <v>3.7.7</v>
      </c>
      <c r="U189" s="74" t="b">
        <f>TEXT(O189,"0.00")=TEXT(R189,"0.00")</f>
        <v>1</v>
      </c>
    </row>
    <row r="190" spans="1:21" ht="45" customHeight="1">
      <c r="A190" s="603"/>
      <c r="B190" s="602"/>
      <c r="C190" s="105" t="s">
        <v>8</v>
      </c>
      <c r="E190" s="102"/>
      <c r="F190" s="105" t="str">
        <f t="shared" si="55"/>
        <v>关</v>
      </c>
      <c r="G190" s="105" t="str">
        <f t="shared" si="54"/>
        <v>关</v>
      </c>
      <c r="H190" s="105" t="str">
        <f t="shared" si="53"/>
        <v>开</v>
      </c>
      <c r="I190" s="84" t="s">
        <v>137</v>
      </c>
      <c r="J190" s="101" t="s">
        <v>138</v>
      </c>
      <c r="K190" s="105" t="str">
        <f t="shared" si="51"/>
        <v>关</v>
      </c>
      <c r="L190" s="105" t="str">
        <f t="shared" si="52"/>
        <v>关</v>
      </c>
      <c r="M190" s="601"/>
      <c r="T190" s="75" t="str">
        <f t="shared" si="50"/>
        <v>3.7.7</v>
      </c>
    </row>
    <row r="191" spans="1:21" ht="45" customHeight="1">
      <c r="A191" s="603"/>
      <c r="B191" s="602"/>
      <c r="C191" s="105" t="s">
        <v>8</v>
      </c>
      <c r="E191" s="102"/>
      <c r="F191" s="105" t="str">
        <f t="shared" si="55"/>
        <v>关</v>
      </c>
      <c r="G191" s="105" t="str">
        <f t="shared" si="54"/>
        <v>关</v>
      </c>
      <c r="H191" s="105" t="str">
        <f t="shared" si="53"/>
        <v>开</v>
      </c>
      <c r="I191" s="84" t="s">
        <v>139</v>
      </c>
      <c r="J191" s="101" t="s">
        <v>140</v>
      </c>
      <c r="K191" s="105" t="str">
        <f t="shared" si="51"/>
        <v>关</v>
      </c>
      <c r="L191" s="105" t="str">
        <f t="shared" si="52"/>
        <v>关</v>
      </c>
      <c r="M191" s="601"/>
      <c r="T191" s="75" t="str">
        <f t="shared" si="50"/>
        <v>3.7.7</v>
      </c>
    </row>
    <row r="192" spans="1:21" ht="45" customHeight="1">
      <c r="A192" s="603"/>
      <c r="B192" s="602"/>
      <c r="C192" s="105" t="s">
        <v>8</v>
      </c>
      <c r="E192" s="102"/>
      <c r="F192" s="105" t="str">
        <f t="shared" si="55"/>
        <v>关</v>
      </c>
      <c r="G192" s="105" t="str">
        <f t="shared" si="54"/>
        <v>关</v>
      </c>
      <c r="H192" s="105" t="str">
        <f t="shared" si="53"/>
        <v>开</v>
      </c>
      <c r="I192" s="84" t="s">
        <v>141</v>
      </c>
      <c r="J192" s="101" t="s">
        <v>142</v>
      </c>
      <c r="K192" s="105" t="str">
        <f t="shared" si="51"/>
        <v>关</v>
      </c>
      <c r="L192" s="105" t="str">
        <f t="shared" si="52"/>
        <v>关</v>
      </c>
      <c r="M192" s="601"/>
      <c r="T192" s="75" t="str">
        <f t="shared" si="50"/>
        <v>3.7.7</v>
      </c>
    </row>
    <row r="193" spans="1:21" ht="45" customHeight="1">
      <c r="A193" s="603"/>
      <c r="B193" s="602"/>
      <c r="C193" s="105" t="s">
        <v>8</v>
      </c>
      <c r="E193" s="102"/>
      <c r="F193" s="105" t="str">
        <f t="shared" si="55"/>
        <v>关</v>
      </c>
      <c r="G193" s="105" t="str">
        <f t="shared" si="54"/>
        <v>关</v>
      </c>
      <c r="H193" s="105" t="str">
        <f t="shared" si="53"/>
        <v>开</v>
      </c>
      <c r="I193" s="84" t="s">
        <v>143</v>
      </c>
      <c r="J193" s="101" t="s">
        <v>144</v>
      </c>
      <c r="K193" s="105" t="str">
        <f t="shared" si="51"/>
        <v>关</v>
      </c>
      <c r="L193" s="105" t="str">
        <f t="shared" si="52"/>
        <v>关</v>
      </c>
      <c r="M193" s="601"/>
      <c r="N193" s="75"/>
      <c r="O193" s="75"/>
      <c r="T193" s="75" t="str">
        <f t="shared" si="50"/>
        <v>3.7.7</v>
      </c>
      <c r="U193" s="74" t="b">
        <f>TEXT(O193,"0.00")=TEXT(R193,"0.00")</f>
        <v>1</v>
      </c>
    </row>
    <row r="194" spans="1:21" ht="45" customHeight="1">
      <c r="A194" s="603"/>
      <c r="B194" s="602"/>
      <c r="C194" s="105" t="s">
        <v>8</v>
      </c>
      <c r="E194" s="102"/>
      <c r="F194" s="105" t="str">
        <f t="shared" si="55"/>
        <v>关</v>
      </c>
      <c r="G194" s="105" t="str">
        <f t="shared" si="54"/>
        <v>关</v>
      </c>
      <c r="H194" s="105" t="str">
        <f t="shared" si="53"/>
        <v>开</v>
      </c>
      <c r="I194" s="84" t="s">
        <v>145</v>
      </c>
      <c r="J194" s="101" t="s">
        <v>146</v>
      </c>
      <c r="K194" s="105" t="str">
        <f t="shared" si="51"/>
        <v>关</v>
      </c>
      <c r="L194" s="105" t="str">
        <f t="shared" si="52"/>
        <v>关</v>
      </c>
      <c r="M194" s="601"/>
      <c r="T194" s="75" t="str">
        <f t="shared" si="50"/>
        <v>3.7.7</v>
      </c>
    </row>
    <row r="195" spans="1:21" ht="45" customHeight="1">
      <c r="A195" s="603"/>
      <c r="B195" s="602"/>
      <c r="C195" s="105" t="s">
        <v>8</v>
      </c>
      <c r="E195" s="102"/>
      <c r="F195" s="105" t="str">
        <f t="shared" si="55"/>
        <v>关</v>
      </c>
      <c r="G195" s="105" t="str">
        <f t="shared" si="54"/>
        <v>关</v>
      </c>
      <c r="H195" s="105" t="str">
        <f t="shared" si="53"/>
        <v>开</v>
      </c>
      <c r="I195" s="84" t="s">
        <v>147</v>
      </c>
      <c r="J195" s="101" t="s">
        <v>148</v>
      </c>
      <c r="K195" s="105" t="str">
        <f t="shared" si="51"/>
        <v>关</v>
      </c>
      <c r="L195" s="105" t="str">
        <f t="shared" si="52"/>
        <v>关</v>
      </c>
      <c r="M195" s="601"/>
      <c r="T195" s="75" t="str">
        <f t="shared" si="50"/>
        <v>3.7.7</v>
      </c>
    </row>
    <row r="196" spans="1:21" ht="45" customHeight="1">
      <c r="A196" s="603"/>
      <c r="B196" s="602"/>
      <c r="C196" s="105" t="s">
        <v>30</v>
      </c>
      <c r="D196" s="106" t="s">
        <v>31</v>
      </c>
      <c r="E196" s="208" t="s">
        <v>32</v>
      </c>
      <c r="F196" s="105" t="str">
        <f t="shared" si="55"/>
        <v>关</v>
      </c>
      <c r="G196" s="105" t="str">
        <f t="shared" si="54"/>
        <v>关</v>
      </c>
      <c r="H196" s="105" t="str">
        <f t="shared" si="53"/>
        <v>开</v>
      </c>
      <c r="J196" s="101"/>
      <c r="K196" s="105" t="str">
        <f t="shared" si="51"/>
        <v>关</v>
      </c>
      <c r="L196" s="105" t="str">
        <f t="shared" si="52"/>
        <v>关</v>
      </c>
      <c r="M196" s="601"/>
      <c r="T196" s="75" t="str">
        <f t="shared" si="50"/>
        <v>3.7.7</v>
      </c>
    </row>
    <row r="197" spans="1:21" ht="45" customHeight="1">
      <c r="A197" s="603"/>
      <c r="B197" s="602"/>
      <c r="C197" s="105" t="s">
        <v>30</v>
      </c>
      <c r="D197" s="106" t="s">
        <v>33</v>
      </c>
      <c r="E197" s="101" t="s">
        <v>34</v>
      </c>
      <c r="F197" s="105" t="str">
        <f t="shared" si="55"/>
        <v>关</v>
      </c>
      <c r="G197" s="105" t="str">
        <f t="shared" si="54"/>
        <v>关</v>
      </c>
      <c r="H197" s="105" t="str">
        <f t="shared" si="53"/>
        <v>开</v>
      </c>
      <c r="J197" s="101"/>
      <c r="K197" s="105" t="str">
        <f t="shared" si="51"/>
        <v>关</v>
      </c>
      <c r="L197" s="105" t="str">
        <f t="shared" si="52"/>
        <v>关</v>
      </c>
      <c r="M197" s="601"/>
      <c r="T197" s="75" t="str">
        <f t="shared" si="50"/>
        <v>3.7.7</v>
      </c>
    </row>
    <row r="198" spans="1:21" ht="45" customHeight="1">
      <c r="A198" s="603"/>
      <c r="B198" s="602"/>
      <c r="C198" s="105" t="s">
        <v>8</v>
      </c>
      <c r="E198" s="102"/>
      <c r="F198" s="105" t="str">
        <f t="shared" si="55"/>
        <v>关</v>
      </c>
      <c r="G198" s="105" t="str">
        <f t="shared" si="54"/>
        <v>关</v>
      </c>
      <c r="H198" s="105" t="str">
        <f t="shared" si="53"/>
        <v>开</v>
      </c>
      <c r="I198" s="106" t="s">
        <v>54</v>
      </c>
      <c r="J198" s="209" t="s">
        <v>149</v>
      </c>
      <c r="K198" s="105" t="str">
        <f t="shared" si="51"/>
        <v>关</v>
      </c>
      <c r="L198" s="105" t="str">
        <f t="shared" si="52"/>
        <v>关</v>
      </c>
      <c r="M198" s="601"/>
      <c r="T198" s="75" t="str">
        <f t="shared" si="50"/>
        <v>3.7.7</v>
      </c>
    </row>
    <row r="199" spans="1:21" ht="45" customHeight="1">
      <c r="A199" s="603"/>
      <c r="B199" s="602"/>
      <c r="C199" s="105" t="s">
        <v>3</v>
      </c>
      <c r="D199" s="106" t="s">
        <v>35</v>
      </c>
      <c r="E199" s="101" t="s">
        <v>63</v>
      </c>
      <c r="F199" s="105" t="s">
        <v>37</v>
      </c>
      <c r="G199" s="105" t="str">
        <f t="shared" si="54"/>
        <v>关</v>
      </c>
      <c r="H199" s="105" t="str">
        <f t="shared" si="53"/>
        <v>开</v>
      </c>
      <c r="J199" s="101"/>
      <c r="K199" s="105" t="str">
        <f t="shared" si="51"/>
        <v>关</v>
      </c>
      <c r="L199" s="105" t="str">
        <f t="shared" si="52"/>
        <v>关</v>
      </c>
      <c r="M199" s="601"/>
      <c r="T199" s="75" t="str">
        <f t="shared" si="50"/>
        <v>3.7.7</v>
      </c>
    </row>
    <row r="200" spans="1:21" ht="45" customHeight="1">
      <c r="A200" s="603"/>
      <c r="B200" s="602"/>
      <c r="C200" s="105" t="s">
        <v>3</v>
      </c>
      <c r="D200" s="106" t="s">
        <v>38</v>
      </c>
      <c r="E200" s="101" t="s">
        <v>101</v>
      </c>
      <c r="F200" s="105" t="str">
        <f>IFERROR(IF(FIND("开",F199,1),"开","关"),"关")</f>
        <v>开</v>
      </c>
      <c r="G200" s="105" t="s">
        <v>29</v>
      </c>
      <c r="H200" s="105" t="str">
        <f t="shared" si="53"/>
        <v>开</v>
      </c>
      <c r="J200" s="101"/>
      <c r="K200" s="105" t="str">
        <f t="shared" si="51"/>
        <v>关</v>
      </c>
      <c r="L200" s="105" t="str">
        <f t="shared" si="52"/>
        <v>关</v>
      </c>
      <c r="M200" s="601"/>
      <c r="T200" s="75" t="str">
        <f t="shared" si="50"/>
        <v>3.7.7</v>
      </c>
    </row>
    <row r="201" spans="1:21" ht="45" customHeight="1">
      <c r="A201" s="603"/>
      <c r="B201" s="602"/>
      <c r="C201" s="105" t="s">
        <v>3</v>
      </c>
      <c r="D201" s="106" t="s">
        <v>40</v>
      </c>
      <c r="E201" s="101" t="s">
        <v>41</v>
      </c>
      <c r="F201" s="105" t="s">
        <v>42</v>
      </c>
      <c r="G201" s="105" t="str">
        <f t="shared" ref="G201:G206" si="56">IFERROR(IF(FIND("开",G200,1),"开","关"),"关")</f>
        <v>关</v>
      </c>
      <c r="H201" s="105" t="str">
        <f t="shared" si="53"/>
        <v>开</v>
      </c>
      <c r="J201" s="101"/>
      <c r="K201" s="105" t="str">
        <f t="shared" si="51"/>
        <v>关</v>
      </c>
      <c r="L201" s="105" t="str">
        <f t="shared" si="52"/>
        <v>关</v>
      </c>
      <c r="M201" s="601"/>
      <c r="N201" s="75"/>
      <c r="O201" s="75"/>
      <c r="T201" s="75" t="str">
        <f t="shared" si="50"/>
        <v>3.7.7</v>
      </c>
      <c r="U201" s="74" t="b">
        <f>TEXT(O201,"0.00")=TEXT(R201,"0.00")</f>
        <v>1</v>
      </c>
    </row>
    <row r="202" spans="1:21" ht="45" customHeight="1">
      <c r="A202" s="603"/>
      <c r="B202" s="602"/>
      <c r="C202" s="105" t="s">
        <v>3</v>
      </c>
      <c r="D202" s="106" t="s">
        <v>45</v>
      </c>
      <c r="E202" s="210" t="s">
        <v>46</v>
      </c>
      <c r="F202" s="105" t="str">
        <f>IFERROR(IF(FIND("开",F201,1),"开","关"),"关")</f>
        <v>关</v>
      </c>
      <c r="G202" s="105" t="str">
        <f t="shared" si="56"/>
        <v>关</v>
      </c>
      <c r="H202" s="105" t="str">
        <f t="shared" si="53"/>
        <v>开</v>
      </c>
      <c r="J202" s="101"/>
      <c r="K202" s="105" t="str">
        <f t="shared" si="51"/>
        <v>关</v>
      </c>
      <c r="L202" s="105" t="str">
        <f t="shared" si="52"/>
        <v>关</v>
      </c>
      <c r="M202" s="601"/>
      <c r="T202" s="75" t="str">
        <f t="shared" si="50"/>
        <v>3.7.7</v>
      </c>
    </row>
    <row r="203" spans="1:21" ht="45" customHeight="1">
      <c r="A203" s="603" t="s">
        <v>168</v>
      </c>
      <c r="B203" s="602" t="s">
        <v>169</v>
      </c>
      <c r="C203" s="105" t="s">
        <v>3</v>
      </c>
      <c r="D203" s="106" t="s">
        <v>130</v>
      </c>
      <c r="E203" s="101" t="s">
        <v>170</v>
      </c>
      <c r="F203" s="105" t="str">
        <f>IFERROR(IF(FIND("开",F202,1),"开","关"),"关")</f>
        <v>关</v>
      </c>
      <c r="G203" s="105" t="str">
        <f t="shared" si="56"/>
        <v>关</v>
      </c>
      <c r="H203" s="105" t="s">
        <v>42</v>
      </c>
      <c r="I203" s="106"/>
      <c r="J203" s="101"/>
      <c r="K203" s="105" t="str">
        <f t="shared" si="51"/>
        <v>关</v>
      </c>
      <c r="L203" s="105" t="str">
        <f t="shared" si="52"/>
        <v>关</v>
      </c>
      <c r="M203" s="601">
        <v>1</v>
      </c>
      <c r="N203" s="75"/>
      <c r="O203" s="75"/>
      <c r="T203" s="75" t="e">
        <f t="shared" si="50"/>
        <v>#VALUE!</v>
      </c>
      <c r="U203" s="74" t="b">
        <f>TEXT(O203,"0.00")=TEXT(R203,"0.00")</f>
        <v>1</v>
      </c>
    </row>
    <row r="204" spans="1:21" ht="45" customHeight="1">
      <c r="A204" s="603"/>
      <c r="B204" s="602"/>
      <c r="C204" s="105" t="s">
        <v>3</v>
      </c>
      <c r="D204" s="106" t="s">
        <v>171</v>
      </c>
      <c r="E204" s="101" t="s">
        <v>44</v>
      </c>
      <c r="F204" s="105" t="str">
        <f>IFERROR(IF(FIND("开",F203,1),"开","关"),"关")</f>
        <v>关</v>
      </c>
      <c r="G204" s="105" t="str">
        <f t="shared" si="56"/>
        <v>关</v>
      </c>
      <c r="H204" s="105" t="str">
        <f>IFERROR(IF(FIND("开",H203,1),"开","关"),"关")</f>
        <v>关</v>
      </c>
      <c r="I204" s="74"/>
      <c r="J204" s="77"/>
      <c r="K204" s="105" t="str">
        <f t="shared" si="51"/>
        <v>关</v>
      </c>
      <c r="L204" s="105" t="str">
        <f t="shared" si="52"/>
        <v>关</v>
      </c>
      <c r="M204" s="601"/>
      <c r="T204" s="75" t="e">
        <f t="shared" si="50"/>
        <v>#VALUE!</v>
      </c>
    </row>
    <row r="205" spans="1:21" ht="45" customHeight="1">
      <c r="A205" s="603"/>
      <c r="B205" s="602"/>
      <c r="C205" s="105" t="s">
        <v>8</v>
      </c>
      <c r="E205" s="77"/>
      <c r="F205" s="105" t="str">
        <f>IFERROR(IF(FIND("开",F204,1),"开","关"),"关")</f>
        <v>关</v>
      </c>
      <c r="G205" s="105" t="str">
        <f t="shared" si="56"/>
        <v>关</v>
      </c>
      <c r="H205" s="105" t="str">
        <f>IFERROR(IF(FIND("开",H204,1),"开","关"),"关")</f>
        <v>关</v>
      </c>
      <c r="I205" s="106" t="s">
        <v>172</v>
      </c>
      <c r="J205" s="101" t="s">
        <v>126</v>
      </c>
      <c r="K205" s="105" t="str">
        <f t="shared" si="51"/>
        <v>关</v>
      </c>
      <c r="L205" s="105" t="str">
        <f t="shared" si="52"/>
        <v>关</v>
      </c>
      <c r="M205" s="601"/>
      <c r="T205" s="75" t="e">
        <f t="shared" si="50"/>
        <v>#VALUE!</v>
      </c>
    </row>
    <row r="206" spans="1:21" ht="45" customHeight="1">
      <c r="A206" s="89" t="s">
        <v>237</v>
      </c>
      <c r="E206" s="102"/>
      <c r="F206" s="105" t="str">
        <f>IFERROR(IF(FIND("开",F205,1),"开","关"),"关")</f>
        <v>关</v>
      </c>
      <c r="G206" s="105" t="str">
        <f t="shared" si="56"/>
        <v>关</v>
      </c>
      <c r="H206" s="105" t="str">
        <f>IFERROR(IF(FIND("开",H205,1),"开","关"),"关")</f>
        <v>关</v>
      </c>
      <c r="I206" s="106"/>
      <c r="J206" s="101"/>
      <c r="K206" s="105" t="str">
        <f t="shared" si="51"/>
        <v>关</v>
      </c>
      <c r="L206" s="105" t="str">
        <f t="shared" si="52"/>
        <v>关</v>
      </c>
      <c r="T206" s="75" t="str">
        <f t="shared" si="50"/>
        <v>3.8</v>
      </c>
    </row>
    <row r="207" spans="1:21" ht="45" customHeight="1">
      <c r="A207" s="595" t="s">
        <v>238</v>
      </c>
      <c r="B207" s="662" t="s">
        <v>239</v>
      </c>
      <c r="C207" s="105" t="s">
        <v>3</v>
      </c>
      <c r="D207" s="106" t="s">
        <v>52</v>
      </c>
      <c r="E207" s="211" t="s">
        <v>176</v>
      </c>
      <c r="F207" s="105" t="str">
        <f>IFERROR(IF(FIND("开",#REF!,1),"开","关"),"关")</f>
        <v>关</v>
      </c>
      <c r="G207" s="105" t="str">
        <f>IFERROR(IF(FIND("开",#REF!,1),"开","关"),"关")</f>
        <v>关</v>
      </c>
      <c r="H207" s="105" t="s">
        <v>37</v>
      </c>
      <c r="J207" s="101"/>
      <c r="K207" s="105" t="str">
        <f>IFERROR(IF(FIND("开",#REF!,1),"开","关"),"关")</f>
        <v>关</v>
      </c>
      <c r="L207" s="105" t="str">
        <f>IFERROR(IF(FIND("开",#REF!,1),"开","关"),"关")</f>
        <v>关</v>
      </c>
      <c r="M207" s="598">
        <v>1</v>
      </c>
      <c r="N207" s="75"/>
      <c r="O207" s="75"/>
      <c r="Q207" s="75"/>
      <c r="T207" s="75" t="str">
        <f>IF(ISBLANK(A207),#REF!,LEFT(A207,FIND(" ",A207,1)-1))</f>
        <v>3.8.1</v>
      </c>
    </row>
    <row r="208" spans="1:21" ht="45" customHeight="1">
      <c r="A208" s="596"/>
      <c r="B208" s="599"/>
      <c r="C208" s="105" t="s">
        <v>178</v>
      </c>
      <c r="D208" s="106"/>
      <c r="E208" s="101"/>
      <c r="I208" s="106" t="s">
        <v>179</v>
      </c>
      <c r="J208" s="212" t="s">
        <v>149</v>
      </c>
      <c r="M208" s="599"/>
      <c r="N208" s="75"/>
      <c r="O208" s="75"/>
      <c r="Q208" s="75"/>
      <c r="T208" s="75"/>
    </row>
    <row r="209" spans="1:22" ht="45" customHeight="1">
      <c r="A209" s="596"/>
      <c r="B209" s="599"/>
      <c r="C209" s="105" t="s">
        <v>3</v>
      </c>
      <c r="D209" s="106" t="s">
        <v>180</v>
      </c>
      <c r="E209" s="213" t="s">
        <v>181</v>
      </c>
      <c r="F209" s="105" t="str">
        <f>IFERROR(IF(FIND("开",F207,1),"开","关"),"关")</f>
        <v>关</v>
      </c>
      <c r="G209" s="105" t="str">
        <f>IFERROR(IF(FIND("开",G207,1),"开","关"),"关")</f>
        <v>关</v>
      </c>
      <c r="H209" s="105" t="str">
        <f>IFERROR(IF(FIND("开",H207,1),"开","关"),"关")</f>
        <v>开</v>
      </c>
      <c r="J209" s="101"/>
      <c r="K209" s="105" t="str">
        <f>IFERROR(IF(FIND("开",K207,1),"开","关"),"关")</f>
        <v>关</v>
      </c>
      <c r="L209" s="105" t="str">
        <f>IFERROR(IF(FIND("开",L207,1),"开","关"),"关")</f>
        <v>关</v>
      </c>
      <c r="M209" s="599"/>
      <c r="N209" s="75" t="s">
        <v>182</v>
      </c>
      <c r="O209" s="75" t="str">
        <f>MID(E209,FIND("setting",E209,1)+8,FIND("kg",E209,1)-FIND("setting",E209,1)-8)</f>
        <v xml:space="preserve"> 483.60</v>
      </c>
      <c r="Q209" s="75" t="str">
        <f>SUBSTITUTE(T209&amp;N209," ","")</f>
        <v>3.8.120%piperidinesolution</v>
      </c>
      <c r="R209" s="74">
        <f>VLOOKUP(Q209,MOR投料表!A:L,9,FALSE)</f>
        <v>483.6</v>
      </c>
      <c r="T209" s="75" t="str">
        <f>IF(ISBLANK(A209),T207,LEFT(A209,FIND(" ",A209,1)-1))</f>
        <v>3.8.1</v>
      </c>
      <c r="U209" s="74" t="b">
        <f>TEXT(O209,"0.00")=TEXT(R209,"0.00")</f>
        <v>1</v>
      </c>
    </row>
    <row r="210" spans="1:22" ht="45" customHeight="1">
      <c r="A210" s="596"/>
      <c r="B210" s="599"/>
      <c r="C210" s="105" t="s">
        <v>3</v>
      </c>
      <c r="D210" s="106" t="s">
        <v>183</v>
      </c>
      <c r="E210" s="101" t="s">
        <v>184</v>
      </c>
      <c r="F210" s="105" t="str">
        <f>IFERROR(IF(FIND("开",F209,1),"开","关"),"关")</f>
        <v>关</v>
      </c>
      <c r="G210" s="105" t="str">
        <f>IFERROR(IF(FIND("开",G209,1),"开","关"),"关")</f>
        <v>关</v>
      </c>
      <c r="H210" s="105" t="str">
        <f>IFERROR(IF(FIND("开",H209,1),"开","关"),"关")</f>
        <v>开</v>
      </c>
      <c r="J210" s="101"/>
      <c r="K210" s="105" t="str">
        <f t="shared" ref="K210:K235" si="57">IFERROR(IF(FIND("开",K209,1),"开","关"),"关")</f>
        <v>关</v>
      </c>
      <c r="L210" s="105" t="str">
        <f t="shared" ref="L210:L235" si="58">IFERROR(IF(FIND("开",L209,1),"开","关"),"关")</f>
        <v>关</v>
      </c>
      <c r="M210" s="599"/>
      <c r="T210" s="75" t="str">
        <f t="shared" ref="T210:T239" si="59">IF(ISBLANK(A210),T209,LEFT(A210,FIND(" ",A210,1)-1))</f>
        <v>3.8.1</v>
      </c>
    </row>
    <row r="211" spans="1:22" ht="45" customHeight="1">
      <c r="A211" s="596"/>
      <c r="B211" s="599"/>
      <c r="C211" s="105" t="s">
        <v>3</v>
      </c>
      <c r="D211" s="106" t="s">
        <v>35</v>
      </c>
      <c r="E211" s="101" t="s">
        <v>63</v>
      </c>
      <c r="F211" s="105" t="s">
        <v>37</v>
      </c>
      <c r="G211" s="105" t="str">
        <f>IFERROR(IF(FIND("开",G210,1),"开","关"),"关")</f>
        <v>关</v>
      </c>
      <c r="H211" s="105" t="str">
        <f>IFERROR(IF(FIND("开",H210,1),"开","关"),"关")</f>
        <v>开</v>
      </c>
      <c r="J211" s="101"/>
      <c r="K211" s="105" t="str">
        <f t="shared" si="57"/>
        <v>关</v>
      </c>
      <c r="L211" s="105" t="str">
        <f t="shared" si="58"/>
        <v>关</v>
      </c>
      <c r="M211" s="599"/>
      <c r="T211" s="75" t="str">
        <f t="shared" si="59"/>
        <v>3.8.1</v>
      </c>
    </row>
    <row r="212" spans="1:22" ht="45" customHeight="1">
      <c r="A212" s="596"/>
      <c r="B212" s="599"/>
      <c r="C212" s="105" t="s">
        <v>3</v>
      </c>
      <c r="D212" s="106" t="s">
        <v>64</v>
      </c>
      <c r="E212" s="101" t="s">
        <v>65</v>
      </c>
      <c r="F212" s="105" t="str">
        <f>IFERROR(IF(FIND("开",F211,1),"开","关"),"关")</f>
        <v>开</v>
      </c>
      <c r="G212" s="105" t="s">
        <v>37</v>
      </c>
      <c r="H212" s="105" t="str">
        <f t="shared" ref="H212:H236" si="60">IFERROR(IF(FIND("开",H211,1),"开","关"),"关")</f>
        <v>开</v>
      </c>
      <c r="J212" s="101"/>
      <c r="K212" s="105" t="str">
        <f t="shared" si="57"/>
        <v>关</v>
      </c>
      <c r="L212" s="105" t="str">
        <f t="shared" si="58"/>
        <v>关</v>
      </c>
      <c r="M212" s="599"/>
      <c r="T212" s="75" t="str">
        <f t="shared" si="59"/>
        <v>3.8.1</v>
      </c>
    </row>
    <row r="213" spans="1:22" ht="45" customHeight="1">
      <c r="A213" s="596"/>
      <c r="B213" s="599"/>
      <c r="C213" s="105" t="s">
        <v>3</v>
      </c>
      <c r="D213" s="106" t="s">
        <v>66</v>
      </c>
      <c r="E213" s="214" t="s">
        <v>67</v>
      </c>
      <c r="F213" s="105" t="str">
        <f>IFERROR(IF(FIND("开",F212,1),"开","关"),"关")</f>
        <v>开</v>
      </c>
      <c r="G213" s="105" t="str">
        <f>IFERROR(IF(FIND("开",G212,1),"开","关"),"关")</f>
        <v>开</v>
      </c>
      <c r="H213" s="105" t="str">
        <f t="shared" si="60"/>
        <v>开</v>
      </c>
      <c r="J213" s="101"/>
      <c r="K213" s="105" t="str">
        <f t="shared" si="57"/>
        <v>关</v>
      </c>
      <c r="L213" s="105" t="str">
        <f t="shared" si="58"/>
        <v>关</v>
      </c>
      <c r="M213" s="599"/>
      <c r="T213" s="75" t="str">
        <f t="shared" si="59"/>
        <v>3.8.1</v>
      </c>
    </row>
    <row r="214" spans="1:22" ht="45" customHeight="1">
      <c r="A214" s="596"/>
      <c r="B214" s="599"/>
      <c r="C214" s="105" t="s">
        <v>3</v>
      </c>
      <c r="D214" s="106" t="s">
        <v>68</v>
      </c>
      <c r="E214" s="215" t="s">
        <v>185</v>
      </c>
      <c r="F214" s="105" t="str">
        <f>IFERROR(IF(FIND("开",F213,1),"开","关"),"关")</f>
        <v>开</v>
      </c>
      <c r="G214" s="105" t="str">
        <f>IFERROR(IF(FIND("开",G213,1),"开","关"),"关")</f>
        <v>开</v>
      </c>
      <c r="H214" s="105" t="str">
        <f t="shared" si="60"/>
        <v>开</v>
      </c>
      <c r="J214" s="101"/>
      <c r="K214" s="105" t="str">
        <f t="shared" si="57"/>
        <v>关</v>
      </c>
      <c r="L214" s="105" t="str">
        <f t="shared" si="58"/>
        <v>关</v>
      </c>
      <c r="M214" s="599"/>
      <c r="T214" s="75" t="str">
        <f t="shared" si="59"/>
        <v>3.8.1</v>
      </c>
    </row>
    <row r="215" spans="1:22" ht="45" customHeight="1">
      <c r="A215" s="596"/>
      <c r="B215" s="599"/>
      <c r="C215" s="105" t="s">
        <v>3</v>
      </c>
      <c r="D215" s="106" t="s">
        <v>70</v>
      </c>
      <c r="E215" s="101" t="s">
        <v>71</v>
      </c>
      <c r="F215" s="105" t="str">
        <f>IFERROR(IF(FIND("开",F214,1),"开","关"),"关")</f>
        <v>开</v>
      </c>
      <c r="G215" s="105" t="s">
        <v>42</v>
      </c>
      <c r="H215" s="105" t="str">
        <f t="shared" si="60"/>
        <v>开</v>
      </c>
      <c r="J215" s="101"/>
      <c r="K215" s="105" t="str">
        <f t="shared" si="57"/>
        <v>关</v>
      </c>
      <c r="L215" s="105" t="str">
        <f t="shared" si="58"/>
        <v>关</v>
      </c>
      <c r="M215" s="599"/>
      <c r="N215" s="75"/>
      <c r="O215" s="75"/>
      <c r="P215" s="75"/>
      <c r="S215" s="74">
        <f>ROUND(R215*0.03,2)</f>
        <v>0</v>
      </c>
      <c r="T215" s="75" t="str">
        <f t="shared" si="59"/>
        <v>3.8.1</v>
      </c>
      <c r="U215" s="74" t="b">
        <f>TEXT(O215,"0.00")=TEXT(R215,"0.00")</f>
        <v>1</v>
      </c>
      <c r="V215" s="74">
        <f>S215-P215</f>
        <v>0</v>
      </c>
    </row>
    <row r="216" spans="1:22" ht="45" customHeight="1">
      <c r="A216" s="596"/>
      <c r="B216" s="599"/>
      <c r="C216" s="105" t="s">
        <v>3</v>
      </c>
      <c r="D216" s="106" t="s">
        <v>40</v>
      </c>
      <c r="E216" s="101" t="s">
        <v>41</v>
      </c>
      <c r="F216" s="105" t="s">
        <v>42</v>
      </c>
      <c r="G216" s="105" t="str">
        <f>IFERROR(IF(FIND("开",G215,1),"开","关"),"关")</f>
        <v>关</v>
      </c>
      <c r="H216" s="105" t="str">
        <f t="shared" si="60"/>
        <v>开</v>
      </c>
      <c r="J216" s="101"/>
      <c r="K216" s="105" t="str">
        <f t="shared" si="57"/>
        <v>关</v>
      </c>
      <c r="L216" s="105" t="str">
        <f t="shared" si="58"/>
        <v>关</v>
      </c>
      <c r="M216" s="599"/>
      <c r="N216" s="75"/>
      <c r="O216" s="75"/>
      <c r="P216" s="75"/>
      <c r="S216" s="74">
        <f>ROUND(R216*0.03,2)</f>
        <v>0</v>
      </c>
      <c r="T216" s="75" t="str">
        <f t="shared" si="59"/>
        <v>3.8.1</v>
      </c>
      <c r="U216" s="74" t="b">
        <f>TEXT(O216,"0.00")=TEXT(R216,"0.00")</f>
        <v>1</v>
      </c>
      <c r="V216" s="74">
        <f>S216-P216</f>
        <v>0</v>
      </c>
    </row>
    <row r="217" spans="1:22" ht="45" customHeight="1">
      <c r="A217" s="597"/>
      <c r="B217" s="600"/>
      <c r="C217" s="105" t="s">
        <v>3</v>
      </c>
      <c r="D217" s="106" t="s">
        <v>45</v>
      </c>
      <c r="E217" s="216" t="s">
        <v>46</v>
      </c>
      <c r="F217" s="105" t="str">
        <f>IFERROR(IF(FIND("开",F216,1),"开","关"),"关")</f>
        <v>关</v>
      </c>
      <c r="G217" s="105" t="str">
        <f>IFERROR(IF(FIND("开",G216,1),"开","关"),"关")</f>
        <v>关</v>
      </c>
      <c r="H217" s="105" t="str">
        <f t="shared" si="60"/>
        <v>开</v>
      </c>
      <c r="J217" s="101"/>
      <c r="K217" s="105" t="str">
        <f t="shared" si="57"/>
        <v>关</v>
      </c>
      <c r="L217" s="105" t="str">
        <f t="shared" si="58"/>
        <v>关</v>
      </c>
      <c r="M217" s="600"/>
      <c r="N217" s="75"/>
      <c r="O217" s="75"/>
      <c r="T217" s="75" t="str">
        <f t="shared" si="59"/>
        <v>3.8.1</v>
      </c>
      <c r="U217" s="74" t="b">
        <f>TEXT(O217,"0.00")=TEXT(R217,"0.00")</f>
        <v>1</v>
      </c>
    </row>
    <row r="218" spans="1:22" ht="45" customHeight="1">
      <c r="A218" s="603" t="s">
        <v>241</v>
      </c>
      <c r="B218" s="663" t="s">
        <v>242</v>
      </c>
      <c r="C218" s="105" t="s">
        <v>3</v>
      </c>
      <c r="D218" s="106" t="s">
        <v>188</v>
      </c>
      <c r="E218" s="217" t="s">
        <v>189</v>
      </c>
      <c r="F218" s="105" t="str">
        <f>IFERROR(IF(FIND("开",F217,1),"开","关"),"关")</f>
        <v>关</v>
      </c>
      <c r="G218" s="105" t="str">
        <f>IFERROR(IF(FIND("开",G217,1),"开","关"),"关")</f>
        <v>关</v>
      </c>
      <c r="H218" s="105" t="str">
        <f t="shared" si="60"/>
        <v>开</v>
      </c>
      <c r="J218" s="101"/>
      <c r="K218" s="105" t="str">
        <f t="shared" si="57"/>
        <v>关</v>
      </c>
      <c r="L218" s="105" t="str">
        <f t="shared" si="58"/>
        <v>关</v>
      </c>
      <c r="M218" s="601">
        <v>4</v>
      </c>
      <c r="N218" s="75" t="str">
        <f>MID(E218,FIND("线路-》",E218,1)+4,FIND("-&gt;",E218,1)-13)</f>
        <v>IPAC</v>
      </c>
      <c r="O218" s="75" t="str">
        <f>MID(E218,FIND("setting",E218,1)+8,FIND("kg",E218,1)-FIND("setting",E218,1)-8)</f>
        <v xml:space="preserve"> 453.70</v>
      </c>
      <c r="Q218" s="75" t="str">
        <f>SUBSTITUTE(T218&amp;N218," ","")</f>
        <v>3.8.4IPAC</v>
      </c>
      <c r="R218" s="74">
        <f>VLOOKUP(Q218,MOR投料表!A:L,9,FALSE)</f>
        <v>453.7</v>
      </c>
      <c r="T218" s="75" t="str">
        <f t="shared" si="59"/>
        <v>3.8.4</v>
      </c>
      <c r="U218" s="74" t="b">
        <f>TEXT(O218,"0.00")=TEXT(R218,"0.00")</f>
        <v>1</v>
      </c>
    </row>
    <row r="219" spans="1:22" ht="45" customHeight="1">
      <c r="A219" s="603"/>
      <c r="B219" s="602"/>
      <c r="C219" s="105" t="s">
        <v>3</v>
      </c>
      <c r="D219" s="106" t="s">
        <v>191</v>
      </c>
      <c r="E219" s="101" t="s">
        <v>192</v>
      </c>
      <c r="F219" s="105" t="str">
        <f>IFERROR(IF(FIND("开",F218,1),"开","关"),"关")</f>
        <v>关</v>
      </c>
      <c r="G219" s="105" t="str">
        <f>IFERROR(IF(FIND("开",G218,1),"开","关"),"关")</f>
        <v>关</v>
      </c>
      <c r="H219" s="105" t="str">
        <f t="shared" si="60"/>
        <v>开</v>
      </c>
      <c r="J219" s="101"/>
      <c r="K219" s="105" t="str">
        <f t="shared" si="57"/>
        <v>关</v>
      </c>
      <c r="L219" s="105" t="str">
        <f t="shared" si="58"/>
        <v>关</v>
      </c>
      <c r="M219" s="601"/>
      <c r="T219" s="75" t="str">
        <f t="shared" si="59"/>
        <v>3.8.4</v>
      </c>
    </row>
    <row r="220" spans="1:22" ht="45" customHeight="1">
      <c r="A220" s="603"/>
      <c r="B220" s="602"/>
      <c r="C220" s="105" t="s">
        <v>3</v>
      </c>
      <c r="D220" s="106" t="s">
        <v>35</v>
      </c>
      <c r="E220" s="101" t="s">
        <v>63</v>
      </c>
      <c r="F220" s="105" t="s">
        <v>37</v>
      </c>
      <c r="G220" s="105" t="str">
        <f>IFERROR(IF(FIND("开",G219,1),"开","关"),"关")</f>
        <v>关</v>
      </c>
      <c r="H220" s="105" t="str">
        <f t="shared" si="60"/>
        <v>开</v>
      </c>
      <c r="J220" s="101"/>
      <c r="K220" s="105" t="str">
        <f t="shared" si="57"/>
        <v>关</v>
      </c>
      <c r="L220" s="105" t="str">
        <f t="shared" si="58"/>
        <v>关</v>
      </c>
      <c r="M220" s="601"/>
      <c r="T220" s="75" t="str">
        <f t="shared" si="59"/>
        <v>3.8.4</v>
      </c>
    </row>
    <row r="221" spans="1:22" ht="45" customHeight="1">
      <c r="A221" s="603"/>
      <c r="B221" s="602"/>
      <c r="C221" s="105" t="s">
        <v>3</v>
      </c>
      <c r="D221" s="106" t="s">
        <v>38</v>
      </c>
      <c r="E221" s="101" t="s">
        <v>101</v>
      </c>
      <c r="F221" s="105" t="str">
        <f>IFERROR(IF(FIND("开",F220,1),"开","关"),"关")</f>
        <v>开</v>
      </c>
      <c r="G221" s="105" t="s">
        <v>29</v>
      </c>
      <c r="H221" s="105" t="str">
        <f t="shared" si="60"/>
        <v>开</v>
      </c>
      <c r="J221" s="101"/>
      <c r="K221" s="105" t="str">
        <f t="shared" si="57"/>
        <v>关</v>
      </c>
      <c r="L221" s="105" t="str">
        <f t="shared" si="58"/>
        <v>关</v>
      </c>
      <c r="M221" s="601"/>
      <c r="T221" s="75" t="str">
        <f t="shared" si="59"/>
        <v>3.8.4</v>
      </c>
    </row>
    <row r="222" spans="1:22" ht="45" customHeight="1">
      <c r="A222" s="603"/>
      <c r="B222" s="602"/>
      <c r="C222" s="105" t="s">
        <v>3</v>
      </c>
      <c r="D222" s="106" t="s">
        <v>40</v>
      </c>
      <c r="E222" s="101" t="s">
        <v>41</v>
      </c>
      <c r="F222" s="105" t="s">
        <v>42</v>
      </c>
      <c r="G222" s="105" t="str">
        <f>IFERROR(IF(FIND("开",G221,1),"开","关"),"关")</f>
        <v>关</v>
      </c>
      <c r="H222" s="105" t="str">
        <f t="shared" si="60"/>
        <v>开</v>
      </c>
      <c r="J222" s="101"/>
      <c r="K222" s="105" t="str">
        <f t="shared" si="57"/>
        <v>关</v>
      </c>
      <c r="L222" s="105" t="str">
        <f t="shared" si="58"/>
        <v>关</v>
      </c>
      <c r="M222" s="601"/>
      <c r="T222" s="75" t="str">
        <f t="shared" si="59"/>
        <v>3.8.4</v>
      </c>
    </row>
    <row r="223" spans="1:22" ht="45" customHeight="1">
      <c r="A223" s="603"/>
      <c r="B223" s="602"/>
      <c r="C223" s="105" t="s">
        <v>3</v>
      </c>
      <c r="D223" s="106" t="s">
        <v>193</v>
      </c>
      <c r="E223" s="218" t="s">
        <v>194</v>
      </c>
      <c r="F223" s="105" t="str">
        <f>IFERROR(IF(FIND("开",F222,1),"开","关"),"关")</f>
        <v>关</v>
      </c>
      <c r="G223" s="105" t="str">
        <f>IFERROR(IF(FIND("开",G222,1),"开","关"),"关")</f>
        <v>关</v>
      </c>
      <c r="H223" s="105" t="str">
        <f t="shared" si="60"/>
        <v>开</v>
      </c>
      <c r="J223" s="101"/>
      <c r="K223" s="105" t="str">
        <f t="shared" si="57"/>
        <v>关</v>
      </c>
      <c r="L223" s="105" t="str">
        <f t="shared" si="58"/>
        <v>关</v>
      </c>
      <c r="M223" s="601"/>
      <c r="N223" s="75"/>
      <c r="O223" s="75"/>
      <c r="T223" s="75" t="str">
        <f t="shared" si="59"/>
        <v>3.8.4</v>
      </c>
      <c r="U223" s="74" t="b">
        <f>TEXT(O223,"0.00")=TEXT(R223,"0.00")</f>
        <v>1</v>
      </c>
    </row>
    <row r="224" spans="1:22" ht="45" customHeight="1">
      <c r="A224" s="603" t="s">
        <v>244</v>
      </c>
      <c r="B224" s="667" t="s">
        <v>245</v>
      </c>
      <c r="C224" s="105" t="s">
        <v>3</v>
      </c>
      <c r="D224" s="106" t="s">
        <v>58</v>
      </c>
      <c r="E224" s="219" t="s">
        <v>59</v>
      </c>
      <c r="F224" s="105" t="str">
        <f>IFERROR(IF(FIND("开",F223,1),"开","关"),"关")</f>
        <v>关</v>
      </c>
      <c r="G224" s="105" t="str">
        <f>IFERROR(IF(FIND("开",G223,1),"开","关"),"关")</f>
        <v>关</v>
      </c>
      <c r="H224" s="105" t="str">
        <f t="shared" si="60"/>
        <v>开</v>
      </c>
      <c r="J224" s="101"/>
      <c r="K224" s="105" t="str">
        <f t="shared" si="57"/>
        <v>关</v>
      </c>
      <c r="L224" s="105" t="str">
        <f t="shared" si="58"/>
        <v>关</v>
      </c>
      <c r="M224" s="601">
        <v>1</v>
      </c>
      <c r="N224" s="75" t="s">
        <v>24</v>
      </c>
      <c r="O224" s="75" t="str">
        <f>MID(E224,FIND("setting",E224,1)+8,FIND("kg",E224,1)-FIND("setting",E224,1)-8)</f>
        <v xml:space="preserve"> 492.70</v>
      </c>
      <c r="Q224" s="75" t="str">
        <f>SUBSTITUTE(T224&amp;N224," ","")</f>
        <v>3.8.5DMF</v>
      </c>
      <c r="R224" s="74">
        <f>VLOOKUP(Q224,MOR投料表!A:L,9,FALSE)</f>
        <v>492.7</v>
      </c>
      <c r="T224" s="75" t="str">
        <f t="shared" si="59"/>
        <v>3.8.5</v>
      </c>
      <c r="U224" s="74" t="b">
        <f>TEXT(O224,"0.00")=TEXT(R224,"0.00")</f>
        <v>1</v>
      </c>
    </row>
    <row r="225" spans="1:21" ht="45" customHeight="1">
      <c r="A225" s="603"/>
      <c r="B225" s="602"/>
      <c r="C225" s="105" t="s">
        <v>3</v>
      </c>
      <c r="D225" s="106" t="s">
        <v>61</v>
      </c>
      <c r="E225" s="101" t="s">
        <v>62</v>
      </c>
      <c r="F225" s="105" t="str">
        <f>IFERROR(IF(FIND("开",F224,1),"开","关"),"关")</f>
        <v>关</v>
      </c>
      <c r="G225" s="105" t="str">
        <f>IFERROR(IF(FIND("开",G224,1),"开","关"),"关")</f>
        <v>关</v>
      </c>
      <c r="H225" s="105" t="str">
        <f t="shared" si="60"/>
        <v>开</v>
      </c>
      <c r="J225" s="101"/>
      <c r="K225" s="105" t="str">
        <f t="shared" si="57"/>
        <v>关</v>
      </c>
      <c r="L225" s="105" t="str">
        <f t="shared" si="58"/>
        <v>关</v>
      </c>
      <c r="M225" s="601"/>
      <c r="T225" s="75" t="str">
        <f t="shared" si="59"/>
        <v>3.8.5</v>
      </c>
    </row>
    <row r="226" spans="1:21" ht="45" customHeight="1">
      <c r="A226" s="603"/>
      <c r="B226" s="602"/>
      <c r="C226" s="105" t="s">
        <v>3</v>
      </c>
      <c r="D226" s="106" t="s">
        <v>35</v>
      </c>
      <c r="E226" s="101" t="s">
        <v>63</v>
      </c>
      <c r="F226" s="105" t="s">
        <v>37</v>
      </c>
      <c r="G226" s="105" t="str">
        <f>IFERROR(IF(FIND("开",G225,1),"开","关"),"关")</f>
        <v>关</v>
      </c>
      <c r="H226" s="105" t="str">
        <f t="shared" si="60"/>
        <v>开</v>
      </c>
      <c r="J226" s="101"/>
      <c r="K226" s="105" t="str">
        <f t="shared" si="57"/>
        <v>关</v>
      </c>
      <c r="L226" s="105" t="str">
        <f t="shared" si="58"/>
        <v>关</v>
      </c>
      <c r="M226" s="601"/>
      <c r="T226" s="75" t="str">
        <f t="shared" si="59"/>
        <v>3.8.5</v>
      </c>
    </row>
    <row r="227" spans="1:21" ht="45" customHeight="1">
      <c r="A227" s="603"/>
      <c r="B227" s="602"/>
      <c r="C227" s="105" t="s">
        <v>3</v>
      </c>
      <c r="D227" s="106" t="s">
        <v>38</v>
      </c>
      <c r="E227" s="101" t="s">
        <v>167</v>
      </c>
      <c r="F227" s="105" t="str">
        <f>IFERROR(IF(FIND("开",F226,1),"开","关"),"关")</f>
        <v>开</v>
      </c>
      <c r="G227" s="105" t="s">
        <v>29</v>
      </c>
      <c r="H227" s="105" t="str">
        <f t="shared" si="60"/>
        <v>开</v>
      </c>
      <c r="J227" s="101"/>
      <c r="K227" s="105" t="str">
        <f t="shared" si="57"/>
        <v>关</v>
      </c>
      <c r="L227" s="105" t="str">
        <f t="shared" si="58"/>
        <v>关</v>
      </c>
      <c r="M227" s="601"/>
      <c r="T227" s="75" t="str">
        <f t="shared" si="59"/>
        <v>3.8.5</v>
      </c>
    </row>
    <row r="228" spans="1:21" ht="45" customHeight="1">
      <c r="A228" s="603"/>
      <c r="B228" s="602"/>
      <c r="C228" s="105" t="s">
        <v>3</v>
      </c>
      <c r="D228" s="106" t="s">
        <v>40</v>
      </c>
      <c r="E228" s="101" t="s">
        <v>41</v>
      </c>
      <c r="F228" s="105" t="s">
        <v>42</v>
      </c>
      <c r="G228" s="105" t="str">
        <f>IFERROR(IF(FIND("开",G227,1),"开","关"),"关")</f>
        <v>关</v>
      </c>
      <c r="H228" s="105" t="str">
        <f t="shared" si="60"/>
        <v>开</v>
      </c>
      <c r="J228" s="101"/>
      <c r="K228" s="105" t="str">
        <f t="shared" si="57"/>
        <v>关</v>
      </c>
      <c r="L228" s="105" t="str">
        <f t="shared" si="58"/>
        <v>关</v>
      </c>
      <c r="M228" s="601"/>
      <c r="T228" s="75" t="str">
        <f t="shared" si="59"/>
        <v>3.8.5</v>
      </c>
    </row>
    <row r="229" spans="1:21" ht="45" customHeight="1">
      <c r="A229" s="603"/>
      <c r="B229" s="602"/>
      <c r="C229" s="105" t="s">
        <v>3</v>
      </c>
      <c r="D229" s="106" t="s">
        <v>198</v>
      </c>
      <c r="E229" s="220" t="s">
        <v>194</v>
      </c>
      <c r="F229" s="105" t="str">
        <f>IFERROR(IF(FIND("开",F228,1),"开","关"),"关")</f>
        <v>关</v>
      </c>
      <c r="G229" s="105" t="str">
        <f>IFERROR(IF(FIND("开",G228,1),"开","关"),"关")</f>
        <v>关</v>
      </c>
      <c r="H229" s="105" t="str">
        <f t="shared" si="60"/>
        <v>开</v>
      </c>
      <c r="J229" s="101"/>
      <c r="K229" s="105" t="str">
        <f t="shared" si="57"/>
        <v>关</v>
      </c>
      <c r="L229" s="105" t="str">
        <f t="shared" si="58"/>
        <v>关</v>
      </c>
      <c r="M229" s="601"/>
      <c r="T229" s="75" t="str">
        <f t="shared" si="59"/>
        <v>3.8.5</v>
      </c>
    </row>
    <row r="230" spans="1:21" ht="45" customHeight="1">
      <c r="A230" s="603" t="s">
        <v>247</v>
      </c>
      <c r="B230" s="691" t="s">
        <v>245</v>
      </c>
      <c r="C230" s="105" t="s">
        <v>3</v>
      </c>
      <c r="D230" s="106" t="s">
        <v>58</v>
      </c>
      <c r="E230" s="221" t="s">
        <v>59</v>
      </c>
      <c r="F230" s="105" t="str">
        <f>IFERROR(IF(FIND("开",F229,1),"开","关"),"关")</f>
        <v>关</v>
      </c>
      <c r="G230" s="105" t="str">
        <f>IFERROR(IF(FIND("开",G229,1),"开","关"),"关")</f>
        <v>关</v>
      </c>
      <c r="H230" s="105" t="str">
        <f t="shared" si="60"/>
        <v>开</v>
      </c>
      <c r="J230" s="101"/>
      <c r="K230" s="105" t="str">
        <f t="shared" si="57"/>
        <v>关</v>
      </c>
      <c r="L230" s="105" t="str">
        <f t="shared" si="58"/>
        <v>关</v>
      </c>
      <c r="M230" s="601">
        <v>1</v>
      </c>
      <c r="N230" s="75" t="s">
        <v>24</v>
      </c>
      <c r="O230" s="75" t="str">
        <f>MID(E230,FIND("setting",E230,1)+8,FIND("kg",E230,1)-FIND("setting",E230,1)-8)</f>
        <v xml:space="preserve"> 492.70</v>
      </c>
      <c r="Q230" s="75" t="str">
        <f>SUBSTITUTE(T230&amp;N230," ","")</f>
        <v>3.8.7DMF</v>
      </c>
      <c r="R230" s="74">
        <f>VLOOKUP(Q230,MOR投料表!A:L,9,FALSE)</f>
        <v>492.7</v>
      </c>
      <c r="T230" s="75" t="str">
        <f t="shared" si="59"/>
        <v>3.8.7</v>
      </c>
      <c r="U230" s="74" t="b">
        <f>TEXT(O230,"0.00")=TEXT(R230,"0.00")</f>
        <v>1</v>
      </c>
    </row>
    <row r="231" spans="1:21" ht="45" customHeight="1">
      <c r="A231" s="603"/>
      <c r="B231" s="602"/>
      <c r="C231" s="105" t="s">
        <v>3</v>
      </c>
      <c r="D231" s="106" t="s">
        <v>61</v>
      </c>
      <c r="E231" s="101" t="s">
        <v>62</v>
      </c>
      <c r="F231" s="105" t="str">
        <f>IFERROR(IF(FIND("开",F230,1),"开","关"),"关")</f>
        <v>关</v>
      </c>
      <c r="G231" s="105" t="str">
        <f>IFERROR(IF(FIND("开",G230,1),"开","关"),"关")</f>
        <v>关</v>
      </c>
      <c r="H231" s="105" t="str">
        <f t="shared" si="60"/>
        <v>开</v>
      </c>
      <c r="J231" s="101"/>
      <c r="K231" s="105" t="str">
        <f t="shared" si="57"/>
        <v>关</v>
      </c>
      <c r="L231" s="105" t="str">
        <f t="shared" si="58"/>
        <v>关</v>
      </c>
      <c r="M231" s="601"/>
      <c r="T231" s="75" t="str">
        <f t="shared" si="59"/>
        <v>3.8.7</v>
      </c>
    </row>
    <row r="232" spans="1:21" ht="45" customHeight="1">
      <c r="A232" s="603"/>
      <c r="B232" s="602"/>
      <c r="C232" s="105" t="s">
        <v>3</v>
      </c>
      <c r="D232" s="106" t="s">
        <v>35</v>
      </c>
      <c r="E232" s="101" t="s">
        <v>63</v>
      </c>
      <c r="F232" s="105" t="s">
        <v>37</v>
      </c>
      <c r="G232" s="105" t="str">
        <f>IFERROR(IF(FIND("开",G231,1),"开","关"),"关")</f>
        <v>关</v>
      </c>
      <c r="H232" s="105" t="str">
        <f t="shared" si="60"/>
        <v>开</v>
      </c>
      <c r="J232" s="101"/>
      <c r="K232" s="105" t="str">
        <f t="shared" si="57"/>
        <v>关</v>
      </c>
      <c r="L232" s="105" t="str">
        <f t="shared" si="58"/>
        <v>关</v>
      </c>
      <c r="M232" s="601"/>
      <c r="T232" s="75" t="str">
        <f t="shared" si="59"/>
        <v>3.8.7</v>
      </c>
    </row>
    <row r="233" spans="1:21" ht="45" customHeight="1">
      <c r="A233" s="603"/>
      <c r="B233" s="602"/>
      <c r="C233" s="105" t="s">
        <v>3</v>
      </c>
      <c r="D233" s="106" t="s">
        <v>38</v>
      </c>
      <c r="E233" s="101" t="s">
        <v>167</v>
      </c>
      <c r="F233" s="105" t="str">
        <f>IFERROR(IF(FIND("开",F232,1),"开","关"),"关")</f>
        <v>开</v>
      </c>
      <c r="G233" s="105" t="s">
        <v>29</v>
      </c>
      <c r="H233" s="105" t="str">
        <f t="shared" si="60"/>
        <v>开</v>
      </c>
      <c r="J233" s="101"/>
      <c r="K233" s="105" t="str">
        <f t="shared" si="57"/>
        <v>关</v>
      </c>
      <c r="L233" s="105" t="str">
        <f t="shared" si="58"/>
        <v>关</v>
      </c>
      <c r="M233" s="601"/>
      <c r="T233" s="75" t="str">
        <f t="shared" si="59"/>
        <v>3.8.7</v>
      </c>
    </row>
    <row r="234" spans="1:21" ht="45" customHeight="1">
      <c r="A234" s="603"/>
      <c r="B234" s="602"/>
      <c r="C234" s="105" t="s">
        <v>3</v>
      </c>
      <c r="D234" s="106" t="s">
        <v>40</v>
      </c>
      <c r="E234" s="101" t="s">
        <v>41</v>
      </c>
      <c r="F234" s="105" t="s">
        <v>42</v>
      </c>
      <c r="G234" s="105" t="str">
        <f>IFERROR(IF(FIND("开",G233,1),"开","关"),"关")</f>
        <v>关</v>
      </c>
      <c r="H234" s="105" t="str">
        <f t="shared" si="60"/>
        <v>开</v>
      </c>
      <c r="J234" s="101"/>
      <c r="K234" s="105" t="str">
        <f t="shared" si="57"/>
        <v>关</v>
      </c>
      <c r="L234" s="105" t="str">
        <f t="shared" si="58"/>
        <v>关</v>
      </c>
      <c r="M234" s="601"/>
      <c r="T234" s="75" t="str">
        <f t="shared" si="59"/>
        <v>3.8.7</v>
      </c>
    </row>
    <row r="235" spans="1:21" ht="45" customHeight="1">
      <c r="A235" s="603"/>
      <c r="B235" s="602"/>
      <c r="C235" s="105" t="s">
        <v>3</v>
      </c>
      <c r="D235" s="106" t="s">
        <v>45</v>
      </c>
      <c r="E235" s="222" t="s">
        <v>46</v>
      </c>
      <c r="F235" s="105" t="str">
        <f>IFERROR(IF(FIND("开",F234,1),"开","关"),"关")</f>
        <v>关</v>
      </c>
      <c r="G235" s="105" t="str">
        <f>IFERROR(IF(FIND("开",G234,1),"开","关"),"关")</f>
        <v>关</v>
      </c>
      <c r="H235" s="105" t="str">
        <f t="shared" si="60"/>
        <v>开</v>
      </c>
      <c r="J235" s="101"/>
      <c r="K235" s="105" t="str">
        <f t="shared" si="57"/>
        <v>关</v>
      </c>
      <c r="L235" s="105" t="str">
        <f t="shared" si="58"/>
        <v>关</v>
      </c>
      <c r="M235" s="601"/>
      <c r="T235" s="75" t="str">
        <f t="shared" si="59"/>
        <v>3.8.7</v>
      </c>
    </row>
    <row r="236" spans="1:21" ht="45" customHeight="1">
      <c r="A236" s="595" t="s">
        <v>249</v>
      </c>
      <c r="B236" s="639" t="s">
        <v>250</v>
      </c>
      <c r="C236" s="105" t="s">
        <v>8</v>
      </c>
      <c r="D236" s="106"/>
      <c r="E236" s="78"/>
      <c r="F236" s="105" t="str">
        <f>IFERROR(IF(FIND("开",F235,1),"开","关"),"关")</f>
        <v>关</v>
      </c>
      <c r="G236" s="105" t="str">
        <f>IFERROR(IF(FIND("开",G235,1),"开","关"),"关")</f>
        <v>关</v>
      </c>
      <c r="H236" s="105" t="str">
        <f t="shared" si="60"/>
        <v>开</v>
      </c>
      <c r="I236" s="106" t="s">
        <v>203</v>
      </c>
      <c r="J236" s="223" t="s">
        <v>204</v>
      </c>
      <c r="K236" s="105" t="str">
        <f>IFERROR(IF(FIND("开",K235,1),"开","关"),"关")</f>
        <v>关</v>
      </c>
      <c r="L236" s="105" t="s">
        <v>37</v>
      </c>
      <c r="M236" s="598">
        <v>1</v>
      </c>
      <c r="T236" s="75" t="str">
        <f t="shared" si="59"/>
        <v>3.9.1</v>
      </c>
    </row>
    <row r="237" spans="1:21" ht="45" customHeight="1">
      <c r="A237" s="634"/>
      <c r="B237" s="634"/>
      <c r="C237" s="105" t="s">
        <v>8</v>
      </c>
      <c r="E237" s="77"/>
      <c r="F237" s="105" t="str">
        <f>IFERROR(IF(FIND("开",#REF!,1),"开","关"),"关")</f>
        <v>关</v>
      </c>
      <c r="G237" s="105" t="str">
        <f>IFERROR(IF(FIND("开",#REF!,1),"开","关"),"关")</f>
        <v>关</v>
      </c>
      <c r="H237" s="105" t="str">
        <f>IFERROR(IF(FIND("开",#REF!,1),"开","关"),"关")</f>
        <v>关</v>
      </c>
      <c r="I237" s="106" t="s">
        <v>77</v>
      </c>
      <c r="J237" s="224" t="s">
        <v>23</v>
      </c>
      <c r="K237" s="105" t="str">
        <f>IFERROR(IF(FIND("开",#REF!,1),"开","关"),"关")</f>
        <v>关</v>
      </c>
      <c r="L237" s="105" t="str">
        <f>IFERROR(IF(FIND("开",#REF!,1),"开","关"),"关")</f>
        <v>关</v>
      </c>
      <c r="M237" s="634"/>
      <c r="N237" s="75" t="s">
        <v>24</v>
      </c>
      <c r="O237" s="75" t="str">
        <f>MID(J237,FIND("setting",J237,1)+8,FIND("kg",J237,1)-FIND("setting",J237,1)-8)</f>
        <v xml:space="preserve"> 369.85</v>
      </c>
      <c r="Q237" s="75" t="str">
        <f>SUBSTITUTE(T237&amp;N237," ","")</f>
        <v>3.9.1DMF</v>
      </c>
      <c r="R237" s="74">
        <f>VLOOKUP(Q237,MOR投料表!A:L,9,FALSE)</f>
        <v>369.85</v>
      </c>
      <c r="T237" s="75" t="str">
        <f t="shared" si="59"/>
        <v>3.9.1</v>
      </c>
      <c r="U237" s="74" t="b">
        <f>TEXT(O237,"0.00")=TEXT(R237,"0.00")</f>
        <v>1</v>
      </c>
    </row>
    <row r="238" spans="1:21" ht="45" customHeight="1">
      <c r="A238" s="634"/>
      <c r="B238" s="634"/>
      <c r="C238" s="105" t="s">
        <v>8</v>
      </c>
      <c r="E238" s="77"/>
      <c r="F238" s="105" t="str">
        <f t="shared" ref="F238:H240" si="61">IFERROR(IF(FIND("开",F237,1),"开","关"),"关")</f>
        <v>关</v>
      </c>
      <c r="G238" s="105" t="str">
        <f t="shared" si="61"/>
        <v>关</v>
      </c>
      <c r="H238" s="105" t="str">
        <f t="shared" si="61"/>
        <v>关</v>
      </c>
      <c r="I238" s="106" t="s">
        <v>61</v>
      </c>
      <c r="J238" s="101" t="s">
        <v>26</v>
      </c>
      <c r="K238" s="105" t="str">
        <f>IFERROR(IF(FIND("开",K237,1),"开","关"),"关")</f>
        <v>关</v>
      </c>
      <c r="L238" s="105" t="str">
        <f>IFERROR(IF(FIND("开",L237,1),"开","关"),"关")</f>
        <v>关</v>
      </c>
      <c r="M238" s="634"/>
      <c r="T238" s="75" t="str">
        <f t="shared" si="59"/>
        <v>3.9.1</v>
      </c>
    </row>
    <row r="239" spans="1:21" ht="45" customHeight="1">
      <c r="A239" s="634"/>
      <c r="B239" s="634"/>
      <c r="C239" s="105" t="s">
        <v>8</v>
      </c>
      <c r="E239" s="77"/>
      <c r="F239" s="105" t="str">
        <f t="shared" si="61"/>
        <v>关</v>
      </c>
      <c r="G239" s="105" t="str">
        <f t="shared" si="61"/>
        <v>关</v>
      </c>
      <c r="H239" s="105" t="str">
        <f t="shared" si="61"/>
        <v>关</v>
      </c>
      <c r="I239" s="106" t="s">
        <v>78</v>
      </c>
      <c r="J239" s="101" t="s">
        <v>79</v>
      </c>
      <c r="K239" s="105" t="s">
        <v>37</v>
      </c>
      <c r="L239" s="105" t="str">
        <f>IFERROR(IF(FIND("开",L238,1),"开","关"),"关")</f>
        <v>关</v>
      </c>
      <c r="M239" s="634"/>
      <c r="T239" s="75" t="str">
        <f t="shared" si="59"/>
        <v>3.9.1</v>
      </c>
    </row>
    <row r="240" spans="1:21" ht="56.25" customHeight="1">
      <c r="A240" s="634"/>
      <c r="B240" s="634"/>
      <c r="C240" s="105" t="s">
        <v>8</v>
      </c>
      <c r="E240" s="77"/>
      <c r="F240" s="105" t="str">
        <f t="shared" si="61"/>
        <v>关</v>
      </c>
      <c r="G240" s="105" t="str">
        <f t="shared" si="61"/>
        <v>关</v>
      </c>
      <c r="H240" s="105" t="str">
        <f t="shared" si="61"/>
        <v>关</v>
      </c>
      <c r="I240" s="106" t="s">
        <v>252</v>
      </c>
      <c r="J240" s="101" t="s">
        <v>253</v>
      </c>
      <c r="K240" s="105" t="str">
        <f>IFERROR(IF(FIND("开",K239,1),"开","关"),"关")</f>
        <v>开</v>
      </c>
      <c r="L240" s="105" t="str">
        <f>IFERROR(IF(FIND("开",L239,1),"开","关"),"关")</f>
        <v>关</v>
      </c>
      <c r="M240" s="634"/>
      <c r="N240" s="75" t="str">
        <f>MID(J240,FIND("物料",J240,1)+3,FIND("投料重量",J240,1)-FIND("物料",J240,1)-4)</f>
        <v>Fmoc-L-Ala-OH·H2O</v>
      </c>
      <c r="O240" s="75" t="e">
        <f>MID(J240,FIND("投料重量",J240,1)+5,FIND("kg",J240,1)-FIND("投料重量",J240,1)-5)</f>
        <v>#VALUE!</v>
      </c>
      <c r="P240" s="75" t="str">
        <f>SUBSTITUTE(RIGHT(J240,LEN(J240)-FIND("重量误差",J240,1)-4),"kg","")</f>
        <v>______</v>
      </c>
      <c r="Q240" s="75" t="str">
        <f>SUBSTITUTE(T240&amp;N240," ","")</f>
        <v>3.8.7Fmoc-L-Ala-OH·H2O</v>
      </c>
      <c r="R240" s="74" t="e">
        <f>VLOOKUP(Q240,氨基酸和溶剂信息!A:P,8,FALSE)</f>
        <v>#N/A</v>
      </c>
      <c r="T240" s="75" t="str">
        <f>IF(ISBLANK(A240),T235,LEFT(A240,FIND(" ",A240,1)-1))</f>
        <v>3.8.7</v>
      </c>
      <c r="U240" s="74" t="e">
        <f>TEXT(O240,"0.00")=TEXT(R240,"0.00")</f>
        <v>#VALUE!</v>
      </c>
    </row>
    <row r="241" spans="1:21" ht="45" customHeight="1">
      <c r="A241" s="634"/>
      <c r="B241" s="634"/>
      <c r="C241" s="105" t="s">
        <v>8</v>
      </c>
      <c r="E241" s="77"/>
      <c r="I241" s="106" t="s">
        <v>93</v>
      </c>
      <c r="J241" s="225" t="s">
        <v>209</v>
      </c>
      <c r="M241" s="634"/>
      <c r="N241" s="75"/>
      <c r="O241" s="75"/>
      <c r="P241" s="75"/>
      <c r="Q241" s="75"/>
      <c r="T241" s="75"/>
    </row>
    <row r="242" spans="1:21" ht="45" customHeight="1">
      <c r="A242" s="634"/>
      <c r="B242" s="634"/>
      <c r="C242" s="105" t="s">
        <v>8</v>
      </c>
      <c r="E242" s="77"/>
      <c r="F242" s="105" t="str">
        <f>IFERROR(IF(FIND("开",F240,1),"开","关"),"关")</f>
        <v>关</v>
      </c>
      <c r="G242" s="105" t="str">
        <f>IFERROR(IF(FIND("开",G240,1),"开","关"),"关")</f>
        <v>关</v>
      </c>
      <c r="H242" s="105" t="str">
        <f>IFERROR(IF(FIND("开",H240,1),"开","关"),"关")</f>
        <v>关</v>
      </c>
      <c r="I242" s="106" t="s">
        <v>95</v>
      </c>
      <c r="J242" s="226" t="s">
        <v>210</v>
      </c>
      <c r="K242" s="105" t="str">
        <f>IFERROR(IF(FIND("开",K240,1),"开","关"),"关")</f>
        <v>开</v>
      </c>
      <c r="L242" s="105" t="str">
        <f>IFERROR(IF(FIND("开",L240,1),"开","关"),"关")</f>
        <v>关</v>
      </c>
      <c r="M242" s="634"/>
      <c r="N242" s="75"/>
      <c r="O242" s="75"/>
      <c r="P242" s="75"/>
      <c r="Q242" s="75"/>
      <c r="T242" s="75" t="str">
        <f>IF(ISBLANK(A242),T240,LEFT(A242,FIND(" ",A242,1)-1))</f>
        <v>3.8.7</v>
      </c>
    </row>
    <row r="243" spans="1:21" ht="45" customHeight="1">
      <c r="A243" s="634"/>
      <c r="B243" s="634"/>
      <c r="C243" s="105" t="s">
        <v>8</v>
      </c>
      <c r="E243" s="77"/>
      <c r="F243" s="105" t="str">
        <f t="shared" ref="F243:F251" si="62">IFERROR(IF(FIND("开",F242,1),"开","关"),"关")</f>
        <v>关</v>
      </c>
      <c r="G243" s="105" t="str">
        <f t="shared" ref="G243:G251" si="63">IFERROR(IF(FIND("开",G242,1),"开","关"),"关")</f>
        <v>关</v>
      </c>
      <c r="H243" s="105" t="str">
        <f t="shared" ref="H243:H251" si="64">IFERROR(IF(FIND("开",H242,1),"开","关"),"关")</f>
        <v>关</v>
      </c>
      <c r="I243" s="106" t="s">
        <v>254</v>
      </c>
      <c r="J243" s="227" t="s">
        <v>211</v>
      </c>
      <c r="K243" s="105" t="str">
        <f t="shared" ref="K243:K251" si="65">IFERROR(IF(FIND("开",K242,1),"开","关"),"关")</f>
        <v>开</v>
      </c>
      <c r="L243" s="105" t="s">
        <v>42</v>
      </c>
      <c r="M243" s="634"/>
      <c r="N243" s="75"/>
      <c r="O243" s="75"/>
      <c r="Q243" s="75"/>
      <c r="T243" s="75" t="str">
        <f>IF(ISBLANK(A243),T242,LEFT(A243,FIND(" ",A243,1)-1))</f>
        <v>3.8.7</v>
      </c>
    </row>
    <row r="244" spans="1:21" ht="45" customHeight="1">
      <c r="A244" s="634"/>
      <c r="B244" s="634"/>
      <c r="C244" s="105" t="s">
        <v>8</v>
      </c>
      <c r="E244" s="77"/>
      <c r="F244" s="105" t="str">
        <f t="shared" si="62"/>
        <v>关</v>
      </c>
      <c r="G244" s="105" t="str">
        <f t="shared" si="63"/>
        <v>关</v>
      </c>
      <c r="H244" s="105" t="str">
        <f t="shared" si="64"/>
        <v>关</v>
      </c>
      <c r="I244" s="106" t="s">
        <v>203</v>
      </c>
      <c r="J244" s="101" t="s">
        <v>255</v>
      </c>
      <c r="K244" s="105" t="str">
        <f t="shared" si="65"/>
        <v>开</v>
      </c>
      <c r="L244" s="105" t="s">
        <v>37</v>
      </c>
      <c r="M244" s="634"/>
      <c r="N244" s="75"/>
      <c r="O244" s="75"/>
      <c r="Q244" s="75"/>
      <c r="T244" s="75" t="str">
        <f>IF(ISBLANK(A244),T243,LEFT(A244,FIND(" ",A244,1)-1))</f>
        <v>3.8.7</v>
      </c>
    </row>
    <row r="245" spans="1:21" ht="45" customHeight="1">
      <c r="A245" s="634"/>
      <c r="B245" s="634"/>
      <c r="C245" s="105" t="s">
        <v>8</v>
      </c>
      <c r="E245" s="77"/>
      <c r="F245" s="105" t="str">
        <f t="shared" si="62"/>
        <v>关</v>
      </c>
      <c r="G245" s="105" t="str">
        <f t="shared" si="63"/>
        <v>关</v>
      </c>
      <c r="H245" s="105" t="str">
        <f t="shared" si="64"/>
        <v>关</v>
      </c>
      <c r="I245" s="106" t="s">
        <v>91</v>
      </c>
      <c r="J245" s="228" t="s">
        <v>256</v>
      </c>
      <c r="K245" s="105" t="str">
        <f t="shared" si="65"/>
        <v>开</v>
      </c>
      <c r="L245" s="105" t="str">
        <f t="shared" ref="L245:L251" si="66">IFERROR(IF(FIND("开",L244,1),"开","关"),"关")</f>
        <v>开</v>
      </c>
      <c r="M245" s="634"/>
      <c r="N245" s="75"/>
      <c r="O245" s="75"/>
      <c r="Q245" s="75"/>
      <c r="T245" s="75" t="str">
        <f>IF(ISBLANK(A245),T244,LEFT(A245,FIND(" ",A245,1)-1))</f>
        <v>3.8.7</v>
      </c>
    </row>
    <row r="246" spans="1:21" ht="45" customHeight="1">
      <c r="A246" s="634"/>
      <c r="B246" s="634"/>
      <c r="C246" s="105" t="s">
        <v>8</v>
      </c>
      <c r="E246" s="77"/>
      <c r="F246" s="105" t="str">
        <f t="shared" si="62"/>
        <v>关</v>
      </c>
      <c r="G246" s="105" t="str">
        <f t="shared" si="63"/>
        <v>关</v>
      </c>
      <c r="H246" s="105" t="str">
        <f t="shared" si="64"/>
        <v>关</v>
      </c>
      <c r="I246" s="106" t="s">
        <v>217</v>
      </c>
      <c r="J246" s="101" t="s">
        <v>218</v>
      </c>
      <c r="K246" s="105" t="str">
        <f t="shared" si="65"/>
        <v>开</v>
      </c>
      <c r="L246" s="105" t="str">
        <f t="shared" si="66"/>
        <v>开</v>
      </c>
      <c r="M246" s="634"/>
      <c r="N246" s="75"/>
      <c r="O246" s="75"/>
      <c r="Q246" s="75"/>
      <c r="T246" s="75"/>
    </row>
    <row r="247" spans="1:21" ht="45" customHeight="1">
      <c r="A247" s="634"/>
      <c r="B247" s="634"/>
      <c r="C247" s="105" t="s">
        <v>8</v>
      </c>
      <c r="E247" s="77"/>
      <c r="F247" s="105" t="str">
        <f t="shared" si="62"/>
        <v>关</v>
      </c>
      <c r="G247" s="105" t="str">
        <f t="shared" si="63"/>
        <v>关</v>
      </c>
      <c r="H247" s="105" t="str">
        <f t="shared" si="64"/>
        <v>关</v>
      </c>
      <c r="I247" s="106" t="s">
        <v>82</v>
      </c>
      <c r="J247" s="229" t="s">
        <v>83</v>
      </c>
      <c r="K247" s="105" t="str">
        <f t="shared" si="65"/>
        <v>开</v>
      </c>
      <c r="L247" s="105" t="str">
        <f t="shared" si="66"/>
        <v>开</v>
      </c>
      <c r="M247" s="634"/>
      <c r="N247" s="75" t="s">
        <v>24</v>
      </c>
      <c r="O247" s="75" t="str">
        <f>MID(J247,FIND("setting",J247,1)+8,FIND("kg",J247,1)-FIND("setting",J247,1)-8)</f>
        <v xml:space="preserve"> 61.75</v>
      </c>
      <c r="Q247" s="75" t="str">
        <f>SUBSTITUTE(T247&amp;N247," ","")</f>
        <v>3.9.5DMF</v>
      </c>
      <c r="R247" s="74">
        <f>VLOOKUP(Q247,MOR投料表!A:L,9,FALSE)</f>
        <v>61.75</v>
      </c>
      <c r="T247" s="75" t="s">
        <v>257</v>
      </c>
      <c r="U247" s="74" t="b">
        <f>TEXT(O247,"0.00")=TEXT(R247,"0.00")</f>
        <v>1</v>
      </c>
    </row>
    <row r="248" spans="1:21" ht="45" customHeight="1">
      <c r="A248" s="634"/>
      <c r="B248" s="634"/>
      <c r="C248" s="105" t="s">
        <v>8</v>
      </c>
      <c r="E248" s="77"/>
      <c r="F248" s="105" t="str">
        <f t="shared" si="62"/>
        <v>关</v>
      </c>
      <c r="G248" s="105" t="str">
        <f t="shared" si="63"/>
        <v>关</v>
      </c>
      <c r="H248" s="105" t="str">
        <f t="shared" si="64"/>
        <v>关</v>
      </c>
      <c r="I248" s="106" t="s">
        <v>85</v>
      </c>
      <c r="J248" s="101" t="s">
        <v>86</v>
      </c>
      <c r="K248" s="105" t="str">
        <f t="shared" si="65"/>
        <v>开</v>
      </c>
      <c r="L248" s="105" t="str">
        <f t="shared" si="66"/>
        <v>开</v>
      </c>
      <c r="M248" s="634"/>
      <c r="T248" s="75" t="str">
        <f>IF(ISBLANK(A248),T247,LEFT(A248,FIND(" ",A248,1)-1))</f>
        <v>3.9.5</v>
      </c>
    </row>
    <row r="249" spans="1:21" ht="60" customHeight="1">
      <c r="A249" s="634"/>
      <c r="B249" s="634"/>
      <c r="C249" s="105" t="s">
        <v>30</v>
      </c>
      <c r="D249" s="106" t="s">
        <v>68</v>
      </c>
      <c r="E249" s="230" t="s">
        <v>258</v>
      </c>
      <c r="F249" s="105" t="str">
        <f t="shared" si="62"/>
        <v>关</v>
      </c>
      <c r="G249" s="105" t="str">
        <f t="shared" si="63"/>
        <v>关</v>
      </c>
      <c r="H249" s="105" t="str">
        <f t="shared" si="64"/>
        <v>关</v>
      </c>
      <c r="I249" s="106"/>
      <c r="J249" s="101"/>
      <c r="K249" s="105" t="str">
        <f t="shared" si="65"/>
        <v>开</v>
      </c>
      <c r="L249" s="105" t="str">
        <f t="shared" si="66"/>
        <v>开</v>
      </c>
      <c r="M249" s="634"/>
      <c r="T249" s="75" t="str">
        <f>IF(ISBLANK(A249),T248,LEFT(A249,FIND(" ",A249,1)-1))</f>
        <v>3.9.5</v>
      </c>
    </row>
    <row r="250" spans="1:21" ht="52.15" customHeight="1">
      <c r="A250" s="634"/>
      <c r="B250" s="634"/>
      <c r="C250" s="105" t="s">
        <v>8</v>
      </c>
      <c r="E250" s="77"/>
      <c r="F250" s="105" t="str">
        <f t="shared" si="62"/>
        <v>关</v>
      </c>
      <c r="G250" s="105" t="str">
        <f t="shared" si="63"/>
        <v>关</v>
      </c>
      <c r="H250" s="105" t="str">
        <f t="shared" si="64"/>
        <v>关</v>
      </c>
      <c r="I250" s="106" t="s">
        <v>259</v>
      </c>
      <c r="J250" s="77" t="s">
        <v>260</v>
      </c>
      <c r="K250" s="105" t="str">
        <f t="shared" si="65"/>
        <v>开</v>
      </c>
      <c r="L250" s="105" t="str">
        <f t="shared" si="66"/>
        <v>开</v>
      </c>
      <c r="M250" s="634"/>
      <c r="N250" s="75" t="str">
        <f>SUBSTITUTE(MID(J250,FIND("-》",J250,1)+11,FIND(", weight",J250,1)-FIND("-》",J250,1)-11),"-喷淋-固体喷淋","")</f>
        <v xml:space="preserve"> DIC</v>
      </c>
      <c r="O250" s="75" t="e">
        <f>MID(J250,FIND("量",J250,1)+2,FIND("kg",J250,1)-FIND("量",J250,1)-2)</f>
        <v>#VALUE!</v>
      </c>
      <c r="Q250" s="75" t="str">
        <f>SUBSTITUTE(T250&amp;N250," ","")</f>
        <v>3.9.5DIC</v>
      </c>
      <c r="R250" s="74" t="e">
        <f>VLOOKUP(Q250,氨基酸和溶剂信息!A:P,8,FALSE)</f>
        <v>#N/A</v>
      </c>
      <c r="T250" s="75" t="str">
        <f>IF(ISBLANK(A250),T249,LEFT(A250,FIND(" ",A250,1)-1))</f>
        <v>3.9.5</v>
      </c>
      <c r="U250" s="74" t="e">
        <f>TEXT(O250,"0.00")=TEXT(R250,"0.00")</f>
        <v>#VALUE!</v>
      </c>
    </row>
    <row r="251" spans="1:21" ht="45" customHeight="1">
      <c r="A251" s="634"/>
      <c r="B251" s="634"/>
      <c r="C251" s="105" t="s">
        <v>8</v>
      </c>
      <c r="E251" s="77"/>
      <c r="F251" s="105" t="str">
        <f t="shared" si="62"/>
        <v>关</v>
      </c>
      <c r="G251" s="105" t="str">
        <f t="shared" si="63"/>
        <v>关</v>
      </c>
      <c r="H251" s="105" t="str">
        <f t="shared" si="64"/>
        <v>关</v>
      </c>
      <c r="I251" s="106" t="s">
        <v>261</v>
      </c>
      <c r="J251" s="77" t="s">
        <v>262</v>
      </c>
      <c r="K251" s="105" t="str">
        <f t="shared" si="65"/>
        <v>开</v>
      </c>
      <c r="L251" s="105" t="str">
        <f t="shared" si="66"/>
        <v>开</v>
      </c>
      <c r="M251" s="634"/>
      <c r="T251" s="75" t="str">
        <f>IF(ISBLANK(A251),T250,LEFT(A251,FIND(" ",A251,1)-1))</f>
        <v>3.9.5</v>
      </c>
    </row>
    <row r="252" spans="1:21" ht="45" customHeight="1">
      <c r="A252" s="634"/>
      <c r="B252" s="634"/>
      <c r="C252" s="105" t="s">
        <v>8</v>
      </c>
      <c r="E252" s="77"/>
      <c r="I252" s="106" t="s">
        <v>221</v>
      </c>
      <c r="J252" s="231" t="s">
        <v>263</v>
      </c>
      <c r="M252" s="634"/>
      <c r="N252" s="75"/>
      <c r="O252" s="75"/>
      <c r="T252" s="75"/>
    </row>
    <row r="253" spans="1:21" ht="45" customHeight="1">
      <c r="A253" s="634"/>
      <c r="B253" s="634"/>
      <c r="C253" s="105" t="s">
        <v>8</v>
      </c>
      <c r="E253" s="77"/>
      <c r="F253" s="105" t="str">
        <f>IFERROR(IF(FIND("开",#REF!,1),"开","关"),"关")</f>
        <v>关</v>
      </c>
      <c r="G253" s="105" t="str">
        <f>IFERROR(IF(FIND("开",#REF!,1),"开","关"),"关")</f>
        <v>关</v>
      </c>
      <c r="H253" s="105" t="str">
        <f>IFERROR(IF(FIND("开",#REF!,1),"开","关"),"关")</f>
        <v>关</v>
      </c>
      <c r="I253" s="106" t="s">
        <v>110</v>
      </c>
      <c r="J253" s="101" t="s">
        <v>111</v>
      </c>
      <c r="K253" s="105" t="s">
        <v>42</v>
      </c>
      <c r="L253" s="105" t="str">
        <f>IFERROR(IF(FIND("开",#REF!,1),"开","关"),"关")</f>
        <v>关</v>
      </c>
      <c r="M253" s="634"/>
      <c r="N253" s="75"/>
      <c r="O253" s="75"/>
      <c r="T253" s="75" t="e">
        <f>IF(ISBLANK(A253),#REF!,LEFT(A253,FIND(" ",A253,1)-1))</f>
        <v>#REF!</v>
      </c>
      <c r="U253" s="74" t="b">
        <f>TEXT(O253,"0.00")=TEXT(R253,"0.00")</f>
        <v>1</v>
      </c>
    </row>
    <row r="254" spans="1:21" ht="45" customHeight="1">
      <c r="A254" s="634"/>
      <c r="B254" s="634"/>
      <c r="C254" s="105" t="s">
        <v>8</v>
      </c>
      <c r="E254" s="77"/>
      <c r="I254" s="106" t="s">
        <v>112</v>
      </c>
      <c r="J254" s="232" t="s">
        <v>113</v>
      </c>
      <c r="M254" s="635"/>
      <c r="N254" s="75"/>
      <c r="O254" s="75"/>
      <c r="T254" s="75"/>
    </row>
    <row r="255" spans="1:21" ht="45" customHeight="1">
      <c r="A255" s="595" t="s">
        <v>264</v>
      </c>
      <c r="B255" s="674" t="s">
        <v>115</v>
      </c>
      <c r="C255" s="105" t="s">
        <v>30</v>
      </c>
      <c r="D255" s="106" t="s">
        <v>31</v>
      </c>
      <c r="E255" s="233" t="s">
        <v>32</v>
      </c>
      <c r="F255" s="105" t="str">
        <f>IFERROR(IF(FIND("开",F253,1),"开","关"),"关")</f>
        <v>关</v>
      </c>
      <c r="G255" s="105" t="str">
        <f>IFERROR(IF(FIND("开",G253,1),"开","关"),"关")</f>
        <v>关</v>
      </c>
      <c r="H255" s="105" t="str">
        <f>IFERROR(IF(FIND("开",H253,1),"开","关"),"关")</f>
        <v>关</v>
      </c>
      <c r="I255" s="74"/>
      <c r="J255" s="77"/>
      <c r="K255" s="105" t="str">
        <f>IFERROR(IF(FIND("开",K253,1),"开","关"),"关")</f>
        <v>关</v>
      </c>
      <c r="L255" s="105" t="str">
        <f>IFERROR(IF(FIND("开",L253,1),"开","关"),"关")</f>
        <v>关</v>
      </c>
      <c r="M255" s="598">
        <v>1</v>
      </c>
      <c r="T255" s="75" t="str">
        <f>IF(ISBLANK(A255),T253,LEFT(A255,FIND(" ",A255,1)-1))</f>
        <v>3.10.1</v>
      </c>
    </row>
    <row r="256" spans="1:21" ht="45" customHeight="1">
      <c r="A256" s="596"/>
      <c r="B256" s="622"/>
      <c r="C256" s="105" t="s">
        <v>8</v>
      </c>
      <c r="D256" s="106"/>
      <c r="E256" s="101"/>
      <c r="I256" s="74" t="s">
        <v>116</v>
      </c>
      <c r="J256" s="234" t="s">
        <v>117</v>
      </c>
      <c r="M256" s="599"/>
      <c r="T256" s="75"/>
    </row>
    <row r="257" spans="1:21" ht="45" customHeight="1">
      <c r="A257" s="596"/>
      <c r="B257" s="622"/>
      <c r="C257" s="105" t="s">
        <v>30</v>
      </c>
      <c r="D257" s="106" t="s">
        <v>33</v>
      </c>
      <c r="E257" s="101" t="s">
        <v>34</v>
      </c>
      <c r="F257" s="105" t="str">
        <f>IFERROR(IF(FIND("开",F255,1),"开","关"),"关")</f>
        <v>关</v>
      </c>
      <c r="G257" s="105" t="str">
        <f>IFERROR(IF(FIND("开",G255,1),"开","关"),"关")</f>
        <v>关</v>
      </c>
      <c r="H257" s="105" t="str">
        <f>IFERROR(IF(FIND("开",H255,1),"开","关"),"关")</f>
        <v>关</v>
      </c>
      <c r="I257" s="74"/>
      <c r="J257" s="77"/>
      <c r="K257" s="105" t="str">
        <f>IFERROR(IF(FIND("开",K255,1),"开","关"),"关")</f>
        <v>关</v>
      </c>
      <c r="L257" s="105" t="str">
        <f>IFERROR(IF(FIND("开",L255,1),"开","关"),"关")</f>
        <v>关</v>
      </c>
      <c r="M257" s="599"/>
      <c r="T257" s="75" t="str">
        <f>IF(ISBLANK(A257),T255,LEFT(A257,FIND(" ",A257,1)-1))</f>
        <v>3.10.1</v>
      </c>
    </row>
    <row r="258" spans="1:21" ht="45" customHeight="1">
      <c r="A258" s="596"/>
      <c r="B258" s="622"/>
      <c r="C258" s="105" t="s">
        <v>8</v>
      </c>
      <c r="D258" s="105"/>
      <c r="E258" s="104"/>
      <c r="F258" s="105" t="str">
        <f>IFERROR(IF(FIND("开",F257,1),"开","关"),"关")</f>
        <v>关</v>
      </c>
      <c r="G258" s="105" t="str">
        <f>IFERROR(IF(FIND("开",G257,1),"开","关"),"关")</f>
        <v>关</v>
      </c>
      <c r="H258" s="105" t="str">
        <f>IFERROR(IF(FIND("开",H257,1),"开","关"),"关")</f>
        <v>关</v>
      </c>
      <c r="I258" s="106" t="s">
        <v>22</v>
      </c>
      <c r="J258" s="235" t="s">
        <v>118</v>
      </c>
      <c r="K258" s="105" t="str">
        <f t="shared" ref="K258:L263" si="67">IFERROR(IF(FIND("开",K257,1),"开","关"),"关")</f>
        <v>关</v>
      </c>
      <c r="L258" s="105" t="str">
        <f t="shared" si="67"/>
        <v>关</v>
      </c>
      <c r="M258" s="600"/>
      <c r="N258" s="75" t="s">
        <v>24</v>
      </c>
      <c r="O258" s="75" t="str">
        <f>MID(J258,FIND("setting",J258,1)+8,FIND("kg",J258,1)-FIND("setting",J258,1)-8)</f>
        <v xml:space="preserve"> 61.75</v>
      </c>
      <c r="Q258" s="75" t="str">
        <f>SUBSTITUTE(T258&amp;N258," ","")</f>
        <v>3.10.2DMF</v>
      </c>
      <c r="R258" s="74">
        <f>VLOOKUP(Q258,MOR投料表!A:L,9,FALSE)</f>
        <v>61.75</v>
      </c>
      <c r="T258" s="75" t="s">
        <v>265</v>
      </c>
      <c r="U258" s="74" t="b">
        <f>TEXT(O258,"0.00")=TEXT(R258,"0.00")</f>
        <v>1</v>
      </c>
    </row>
    <row r="259" spans="1:21" ht="45" customHeight="1">
      <c r="A259" s="595" t="s">
        <v>266</v>
      </c>
      <c r="B259" s="618" t="s">
        <v>267</v>
      </c>
      <c r="C259" s="105" t="s">
        <v>3</v>
      </c>
      <c r="D259" s="106" t="s">
        <v>35</v>
      </c>
      <c r="E259" s="101" t="s">
        <v>63</v>
      </c>
      <c r="F259" s="105" t="s">
        <v>37</v>
      </c>
      <c r="G259" s="105" t="str">
        <f>IFERROR(IF(FIND("开",G258,1),"开","关"),"关")</f>
        <v>关</v>
      </c>
      <c r="H259" s="105" t="str">
        <f>IFERROR(IF(FIND("开",H258,1),"开","关"),"关")</f>
        <v>关</v>
      </c>
      <c r="I259" s="106"/>
      <c r="J259" s="101"/>
      <c r="K259" s="105" t="str">
        <f t="shared" si="67"/>
        <v>关</v>
      </c>
      <c r="L259" s="105" t="str">
        <f t="shared" si="67"/>
        <v>关</v>
      </c>
      <c r="M259" s="598">
        <v>1</v>
      </c>
      <c r="T259" s="75" t="str">
        <f t="shared" ref="T259:T290" si="68">IF(ISBLANK(A259),T258,LEFT(A259,FIND(" ",A259,1)-1))</f>
        <v>3.10.3</v>
      </c>
    </row>
    <row r="260" spans="1:21" ht="45" customHeight="1">
      <c r="A260" s="596"/>
      <c r="B260" s="599"/>
      <c r="C260" s="105" t="s">
        <v>3</v>
      </c>
      <c r="D260" s="106" t="s">
        <v>64</v>
      </c>
      <c r="E260" s="101" t="s">
        <v>65</v>
      </c>
      <c r="F260" s="105" t="str">
        <f t="shared" ref="F260:F269" si="69">IFERROR(IF(FIND("开",F259,1),"开","关"),"关")</f>
        <v>开</v>
      </c>
      <c r="G260" s="105" t="s">
        <v>37</v>
      </c>
      <c r="H260" s="105" t="str">
        <f t="shared" ref="H260:H286" si="70">IFERROR(IF(FIND("开",H259,1),"开","关"),"关")</f>
        <v>关</v>
      </c>
      <c r="I260" s="106"/>
      <c r="J260" s="101"/>
      <c r="K260" s="105" t="str">
        <f t="shared" si="67"/>
        <v>关</v>
      </c>
      <c r="L260" s="105" t="str">
        <f t="shared" si="67"/>
        <v>关</v>
      </c>
      <c r="M260" s="599"/>
      <c r="T260" s="75" t="str">
        <f t="shared" si="68"/>
        <v>3.10.3</v>
      </c>
    </row>
    <row r="261" spans="1:21" ht="45" customHeight="1">
      <c r="A261" s="596"/>
      <c r="B261" s="599"/>
      <c r="C261" s="105" t="s">
        <v>8</v>
      </c>
      <c r="D261" s="105"/>
      <c r="E261" s="104"/>
      <c r="F261" s="105" t="str">
        <f t="shared" si="69"/>
        <v>开</v>
      </c>
      <c r="G261" s="105" t="str">
        <f t="shared" ref="G261:G268" si="71">IFERROR(IF(FIND("开",G260,1),"开","关"),"关")</f>
        <v>开</v>
      </c>
      <c r="H261" s="105" t="str">
        <f t="shared" si="70"/>
        <v>关</v>
      </c>
      <c r="I261" s="106" t="s">
        <v>61</v>
      </c>
      <c r="J261" s="101" t="s">
        <v>26</v>
      </c>
      <c r="K261" s="105" t="str">
        <f t="shared" si="67"/>
        <v>关</v>
      </c>
      <c r="L261" s="105" t="str">
        <f t="shared" si="67"/>
        <v>关</v>
      </c>
      <c r="M261" s="599"/>
      <c r="T261" s="75" t="str">
        <f t="shared" si="68"/>
        <v>3.10.3</v>
      </c>
    </row>
    <row r="262" spans="1:21" ht="45" customHeight="1">
      <c r="A262" s="596"/>
      <c r="B262" s="599"/>
      <c r="C262" s="105" t="s">
        <v>30</v>
      </c>
      <c r="D262" s="106" t="s">
        <v>31</v>
      </c>
      <c r="E262" s="236" t="s">
        <v>32</v>
      </c>
      <c r="F262" s="105" t="str">
        <f t="shared" si="69"/>
        <v>开</v>
      </c>
      <c r="G262" s="105" t="str">
        <f t="shared" si="71"/>
        <v>开</v>
      </c>
      <c r="H262" s="105" t="str">
        <f t="shared" si="70"/>
        <v>关</v>
      </c>
      <c r="I262" s="106"/>
      <c r="J262" s="101"/>
      <c r="K262" s="105" t="str">
        <f t="shared" si="67"/>
        <v>关</v>
      </c>
      <c r="L262" s="105" t="str">
        <f t="shared" si="67"/>
        <v>关</v>
      </c>
      <c r="M262" s="599"/>
      <c r="T262" s="75" t="str">
        <f t="shared" si="68"/>
        <v>3.10.3</v>
      </c>
    </row>
    <row r="263" spans="1:21" ht="45" customHeight="1">
      <c r="A263" s="596"/>
      <c r="B263" s="599"/>
      <c r="C263" s="105" t="s">
        <v>30</v>
      </c>
      <c r="D263" s="106" t="s">
        <v>33</v>
      </c>
      <c r="E263" s="101" t="s">
        <v>34</v>
      </c>
      <c r="F263" s="105" t="str">
        <f t="shared" si="69"/>
        <v>开</v>
      </c>
      <c r="G263" s="105" t="str">
        <f t="shared" si="71"/>
        <v>开</v>
      </c>
      <c r="H263" s="105" t="str">
        <f t="shared" si="70"/>
        <v>关</v>
      </c>
      <c r="I263" s="106"/>
      <c r="J263" s="101"/>
      <c r="K263" s="105" t="str">
        <f t="shared" si="67"/>
        <v>关</v>
      </c>
      <c r="L263" s="105" t="str">
        <f t="shared" si="67"/>
        <v>关</v>
      </c>
      <c r="M263" s="599"/>
      <c r="T263" s="75" t="str">
        <f t="shared" si="68"/>
        <v>3.10.3</v>
      </c>
    </row>
    <row r="264" spans="1:21" ht="45" customHeight="1">
      <c r="A264" s="596"/>
      <c r="B264" s="599"/>
      <c r="C264" s="105" t="s">
        <v>8</v>
      </c>
      <c r="D264" s="106"/>
      <c r="E264" s="78"/>
      <c r="F264" s="105" t="str">
        <f t="shared" si="69"/>
        <v>开</v>
      </c>
      <c r="G264" s="105" t="str">
        <f t="shared" si="71"/>
        <v>开</v>
      </c>
      <c r="H264" s="105" t="str">
        <f t="shared" si="70"/>
        <v>关</v>
      </c>
      <c r="I264" s="106" t="s">
        <v>123</v>
      </c>
      <c r="J264" s="101" t="s">
        <v>268</v>
      </c>
      <c r="K264" s="105" t="str">
        <f t="shared" ref="K264:K290" si="72">IFERROR(IF(FIND("开",K263,1),"开","关"),"关")</f>
        <v>关</v>
      </c>
      <c r="L264" s="105" t="s">
        <v>42</v>
      </c>
      <c r="M264" s="599"/>
      <c r="T264" s="75" t="str">
        <f t="shared" si="68"/>
        <v>3.10.3</v>
      </c>
    </row>
    <row r="265" spans="1:21" ht="45" customHeight="1">
      <c r="A265" s="596"/>
      <c r="B265" s="599"/>
      <c r="C265" s="105" t="s">
        <v>8</v>
      </c>
      <c r="D265" s="106"/>
      <c r="E265" s="78"/>
      <c r="F265" s="105" t="str">
        <f t="shared" si="69"/>
        <v>开</v>
      </c>
      <c r="G265" s="105" t="str">
        <f t="shared" si="71"/>
        <v>开</v>
      </c>
      <c r="H265" s="105" t="str">
        <f t="shared" si="70"/>
        <v>关</v>
      </c>
      <c r="I265" s="106" t="s">
        <v>125</v>
      </c>
      <c r="J265" s="101" t="s">
        <v>126</v>
      </c>
      <c r="K265" s="105" t="str">
        <f t="shared" si="72"/>
        <v>关</v>
      </c>
      <c r="L265" s="105" t="str">
        <f t="shared" ref="L265:L290" si="73">IFERROR(IF(FIND("开",L264,1),"开","关"),"关")</f>
        <v>关</v>
      </c>
      <c r="M265" s="599"/>
      <c r="N265" s="75"/>
      <c r="O265" s="75"/>
      <c r="T265" s="75" t="str">
        <f t="shared" si="68"/>
        <v>3.10.3</v>
      </c>
      <c r="U265" s="74" t="b">
        <f>TEXT(O265,"0.00")=TEXT(R265,"0.00")</f>
        <v>1</v>
      </c>
    </row>
    <row r="266" spans="1:21" ht="45" customHeight="1">
      <c r="A266" s="596"/>
      <c r="B266" s="599"/>
      <c r="C266" s="105" t="s">
        <v>3</v>
      </c>
      <c r="D266" s="106" t="s">
        <v>66</v>
      </c>
      <c r="E266" s="237" t="s">
        <v>127</v>
      </c>
      <c r="F266" s="105" t="str">
        <f t="shared" si="69"/>
        <v>开</v>
      </c>
      <c r="G266" s="105" t="str">
        <f t="shared" si="71"/>
        <v>开</v>
      </c>
      <c r="H266" s="105" t="str">
        <f t="shared" si="70"/>
        <v>关</v>
      </c>
      <c r="J266" s="101"/>
      <c r="K266" s="105" t="str">
        <f t="shared" si="72"/>
        <v>关</v>
      </c>
      <c r="L266" s="105" t="str">
        <f t="shared" si="73"/>
        <v>关</v>
      </c>
      <c r="M266" s="599"/>
      <c r="T266" s="75" t="str">
        <f t="shared" si="68"/>
        <v>3.10.3</v>
      </c>
    </row>
    <row r="267" spans="1:21" ht="45" customHeight="1">
      <c r="A267" s="596"/>
      <c r="B267" s="599"/>
      <c r="C267" s="105" t="s">
        <v>3</v>
      </c>
      <c r="D267" s="106" t="s">
        <v>68</v>
      </c>
      <c r="E267" s="238" t="s">
        <v>162</v>
      </c>
      <c r="F267" s="105" t="str">
        <f t="shared" si="69"/>
        <v>开</v>
      </c>
      <c r="G267" s="105" t="str">
        <f t="shared" si="71"/>
        <v>开</v>
      </c>
      <c r="H267" s="105" t="str">
        <f t="shared" si="70"/>
        <v>关</v>
      </c>
      <c r="J267" s="101"/>
      <c r="K267" s="105" t="str">
        <f t="shared" si="72"/>
        <v>关</v>
      </c>
      <c r="L267" s="105" t="str">
        <f t="shared" si="73"/>
        <v>关</v>
      </c>
      <c r="M267" s="599"/>
      <c r="T267" s="75" t="str">
        <f t="shared" si="68"/>
        <v>3.10.3</v>
      </c>
    </row>
    <row r="268" spans="1:21" ht="45" customHeight="1">
      <c r="A268" s="596"/>
      <c r="B268" s="599"/>
      <c r="C268" s="105" t="s">
        <v>3</v>
      </c>
      <c r="D268" s="106" t="s">
        <v>233</v>
      </c>
      <c r="E268" s="239" t="s">
        <v>234</v>
      </c>
      <c r="F268" s="105" t="str">
        <f t="shared" si="69"/>
        <v>开</v>
      </c>
      <c r="G268" s="105" t="str">
        <f t="shared" si="71"/>
        <v>开</v>
      </c>
      <c r="H268" s="105" t="str">
        <f t="shared" si="70"/>
        <v>关</v>
      </c>
      <c r="J268" s="101"/>
      <c r="K268" s="105" t="str">
        <f t="shared" si="72"/>
        <v>关</v>
      </c>
      <c r="L268" s="105" t="str">
        <f t="shared" si="73"/>
        <v>关</v>
      </c>
      <c r="M268" s="599"/>
      <c r="T268" s="75" t="str">
        <f t="shared" si="68"/>
        <v>3.10.3</v>
      </c>
    </row>
    <row r="269" spans="1:21" ht="45" customHeight="1">
      <c r="A269" s="596"/>
      <c r="B269" s="599"/>
      <c r="C269" s="105" t="s">
        <v>3</v>
      </c>
      <c r="D269" s="106" t="s">
        <v>70</v>
      </c>
      <c r="E269" s="101" t="s">
        <v>71</v>
      </c>
      <c r="F269" s="105" t="str">
        <f t="shared" si="69"/>
        <v>开</v>
      </c>
      <c r="G269" s="105" t="s">
        <v>42</v>
      </c>
      <c r="H269" s="105" t="str">
        <f t="shared" si="70"/>
        <v>关</v>
      </c>
      <c r="J269" s="101"/>
      <c r="K269" s="105" t="str">
        <f t="shared" si="72"/>
        <v>关</v>
      </c>
      <c r="L269" s="105" t="str">
        <f t="shared" si="73"/>
        <v>关</v>
      </c>
      <c r="M269" s="599"/>
      <c r="T269" s="75" t="str">
        <f t="shared" si="68"/>
        <v>3.10.3</v>
      </c>
    </row>
    <row r="270" spans="1:21" ht="45" customHeight="1">
      <c r="A270" s="596"/>
      <c r="B270" s="599"/>
      <c r="C270" s="105" t="s">
        <v>3</v>
      </c>
      <c r="D270" s="106" t="s">
        <v>40</v>
      </c>
      <c r="E270" s="101" t="s">
        <v>41</v>
      </c>
      <c r="F270" s="105" t="s">
        <v>42</v>
      </c>
      <c r="G270" s="105" t="str">
        <f t="shared" ref="G270:G283" si="74">IFERROR(IF(FIND("开",G269,1),"开","关"),"关")</f>
        <v>关</v>
      </c>
      <c r="H270" s="105" t="str">
        <f t="shared" si="70"/>
        <v>关</v>
      </c>
      <c r="J270" s="101"/>
      <c r="K270" s="105" t="str">
        <f t="shared" si="72"/>
        <v>关</v>
      </c>
      <c r="L270" s="105" t="str">
        <f t="shared" si="73"/>
        <v>关</v>
      </c>
      <c r="M270" s="599"/>
      <c r="N270" s="75"/>
      <c r="O270" s="75"/>
      <c r="T270" s="75" t="str">
        <f t="shared" si="68"/>
        <v>3.10.3</v>
      </c>
      <c r="U270" s="74" t="b">
        <f>TEXT(O270,"0.00")=TEXT(R270,"0.00")</f>
        <v>1</v>
      </c>
    </row>
    <row r="271" spans="1:21" ht="45" customHeight="1">
      <c r="A271" s="596"/>
      <c r="B271" s="599"/>
      <c r="C271" s="105" t="s">
        <v>3</v>
      </c>
      <c r="D271" s="106" t="s">
        <v>45</v>
      </c>
      <c r="E271" s="240" t="s">
        <v>46</v>
      </c>
      <c r="F271" s="105" t="str">
        <f t="shared" ref="F271:F282" si="75">IFERROR(IF(FIND("开",F270,1),"开","关"),"关")</f>
        <v>关</v>
      </c>
      <c r="G271" s="105" t="str">
        <f t="shared" si="74"/>
        <v>关</v>
      </c>
      <c r="H271" s="105" t="str">
        <f t="shared" si="70"/>
        <v>关</v>
      </c>
      <c r="I271" s="74"/>
      <c r="J271" s="77"/>
      <c r="K271" s="105" t="str">
        <f t="shared" si="72"/>
        <v>关</v>
      </c>
      <c r="L271" s="105" t="str">
        <f t="shared" si="73"/>
        <v>关</v>
      </c>
      <c r="M271" s="600"/>
      <c r="T271" s="75" t="str">
        <f t="shared" si="68"/>
        <v>3.10.3</v>
      </c>
    </row>
    <row r="272" spans="1:21" ht="45" customHeight="1">
      <c r="A272" s="603" t="s">
        <v>269</v>
      </c>
      <c r="B272" s="693" t="s">
        <v>134</v>
      </c>
      <c r="C272" s="105" t="s">
        <v>8</v>
      </c>
      <c r="D272" s="74"/>
      <c r="E272" s="102"/>
      <c r="F272" s="105" t="str">
        <f t="shared" si="75"/>
        <v>关</v>
      </c>
      <c r="G272" s="105" t="str">
        <f t="shared" si="74"/>
        <v>关</v>
      </c>
      <c r="H272" s="105" t="str">
        <f t="shared" si="70"/>
        <v>关</v>
      </c>
      <c r="I272" s="84" t="s">
        <v>77</v>
      </c>
      <c r="J272" s="241" t="s">
        <v>135</v>
      </c>
      <c r="K272" s="105" t="str">
        <f t="shared" si="72"/>
        <v>关</v>
      </c>
      <c r="L272" s="105" t="str">
        <f t="shared" si="73"/>
        <v>关</v>
      </c>
      <c r="M272" s="601">
        <v>3</v>
      </c>
      <c r="N272" s="75" t="s">
        <v>24</v>
      </c>
      <c r="O272" s="75" t="str">
        <f>MID(J272,FIND("setting",J272,1)+8,FIND("kg",J272,1)-FIND("setting",J272,1)-8)</f>
        <v xml:space="preserve"> 492.70</v>
      </c>
      <c r="Q272" s="75" t="str">
        <f>SUBSTITUTE(T272&amp;N272," ","")</f>
        <v>3.10.6DMF</v>
      </c>
      <c r="R272" s="74">
        <f>VLOOKUP(Q272,MOR投料表!A:L,9,FALSE)</f>
        <v>492.7</v>
      </c>
      <c r="T272" s="75" t="str">
        <f t="shared" si="68"/>
        <v>3.10.6</v>
      </c>
      <c r="U272" s="74" t="b">
        <f>TEXT(O272,"0.00")=TEXT(R272,"0.00")</f>
        <v>1</v>
      </c>
    </row>
    <row r="273" spans="1:21" ht="45" customHeight="1">
      <c r="A273" s="603"/>
      <c r="B273" s="602"/>
      <c r="C273" s="105" t="s">
        <v>8</v>
      </c>
      <c r="D273" s="74"/>
      <c r="E273" s="102"/>
      <c r="F273" s="105" t="str">
        <f t="shared" si="75"/>
        <v>关</v>
      </c>
      <c r="G273" s="105" t="str">
        <f t="shared" si="74"/>
        <v>关</v>
      </c>
      <c r="H273" s="105" t="str">
        <f t="shared" si="70"/>
        <v>关</v>
      </c>
      <c r="I273" s="84" t="s">
        <v>61</v>
      </c>
      <c r="J273" s="101" t="s">
        <v>26</v>
      </c>
      <c r="K273" s="105" t="str">
        <f t="shared" si="72"/>
        <v>关</v>
      </c>
      <c r="L273" s="105" t="str">
        <f t="shared" si="73"/>
        <v>关</v>
      </c>
      <c r="M273" s="601"/>
      <c r="T273" s="75" t="str">
        <f t="shared" si="68"/>
        <v>3.10.6</v>
      </c>
    </row>
    <row r="274" spans="1:21" ht="45" customHeight="1">
      <c r="A274" s="603"/>
      <c r="B274" s="602"/>
      <c r="C274" s="105" t="s">
        <v>8</v>
      </c>
      <c r="E274" s="102"/>
      <c r="F274" s="105" t="str">
        <f t="shared" si="75"/>
        <v>关</v>
      </c>
      <c r="G274" s="105" t="str">
        <f t="shared" si="74"/>
        <v>关</v>
      </c>
      <c r="H274" s="105" t="str">
        <f t="shared" si="70"/>
        <v>关</v>
      </c>
      <c r="I274" s="84" t="s">
        <v>137</v>
      </c>
      <c r="J274" s="101" t="s">
        <v>138</v>
      </c>
      <c r="K274" s="105" t="str">
        <f t="shared" si="72"/>
        <v>关</v>
      </c>
      <c r="L274" s="105" t="str">
        <f t="shared" si="73"/>
        <v>关</v>
      </c>
      <c r="M274" s="601"/>
      <c r="T274" s="75" t="str">
        <f t="shared" si="68"/>
        <v>3.10.6</v>
      </c>
    </row>
    <row r="275" spans="1:21" ht="45" customHeight="1">
      <c r="A275" s="603"/>
      <c r="B275" s="602"/>
      <c r="C275" s="105" t="s">
        <v>8</v>
      </c>
      <c r="E275" s="102"/>
      <c r="F275" s="105" t="str">
        <f t="shared" si="75"/>
        <v>关</v>
      </c>
      <c r="G275" s="105" t="str">
        <f t="shared" si="74"/>
        <v>关</v>
      </c>
      <c r="H275" s="105" t="str">
        <f t="shared" si="70"/>
        <v>关</v>
      </c>
      <c r="I275" s="84" t="s">
        <v>139</v>
      </c>
      <c r="J275" s="101" t="s">
        <v>140</v>
      </c>
      <c r="K275" s="105" t="str">
        <f t="shared" si="72"/>
        <v>关</v>
      </c>
      <c r="L275" s="105" t="str">
        <f t="shared" si="73"/>
        <v>关</v>
      </c>
      <c r="M275" s="601"/>
      <c r="T275" s="75" t="str">
        <f t="shared" si="68"/>
        <v>3.10.6</v>
      </c>
    </row>
    <row r="276" spans="1:21" ht="45" customHeight="1">
      <c r="A276" s="603"/>
      <c r="B276" s="602"/>
      <c r="C276" s="105" t="s">
        <v>8</v>
      </c>
      <c r="E276" s="102"/>
      <c r="F276" s="105" t="str">
        <f t="shared" si="75"/>
        <v>关</v>
      </c>
      <c r="G276" s="105" t="str">
        <f t="shared" si="74"/>
        <v>关</v>
      </c>
      <c r="H276" s="105" t="str">
        <f t="shared" si="70"/>
        <v>关</v>
      </c>
      <c r="I276" s="84" t="s">
        <v>141</v>
      </c>
      <c r="J276" s="101" t="s">
        <v>142</v>
      </c>
      <c r="K276" s="105" t="str">
        <f t="shared" si="72"/>
        <v>关</v>
      </c>
      <c r="L276" s="105" t="str">
        <f t="shared" si="73"/>
        <v>关</v>
      </c>
      <c r="M276" s="601"/>
      <c r="N276" s="75"/>
      <c r="O276" s="75"/>
      <c r="T276" s="75" t="str">
        <f t="shared" si="68"/>
        <v>3.10.6</v>
      </c>
      <c r="U276" s="74" t="b">
        <f>TEXT(O276,"0.00")=TEXT(R276,"0.00")</f>
        <v>1</v>
      </c>
    </row>
    <row r="277" spans="1:21" ht="45" customHeight="1">
      <c r="A277" s="603"/>
      <c r="B277" s="602"/>
      <c r="C277" s="105" t="s">
        <v>8</v>
      </c>
      <c r="E277" s="102"/>
      <c r="F277" s="105" t="str">
        <f t="shared" si="75"/>
        <v>关</v>
      </c>
      <c r="G277" s="105" t="str">
        <f t="shared" si="74"/>
        <v>关</v>
      </c>
      <c r="H277" s="105" t="str">
        <f t="shared" si="70"/>
        <v>关</v>
      </c>
      <c r="I277" s="84" t="s">
        <v>143</v>
      </c>
      <c r="J277" s="101" t="s">
        <v>144</v>
      </c>
      <c r="K277" s="105" t="str">
        <f t="shared" si="72"/>
        <v>关</v>
      </c>
      <c r="L277" s="105" t="str">
        <f t="shared" si="73"/>
        <v>关</v>
      </c>
      <c r="M277" s="601"/>
      <c r="T277" s="75" t="str">
        <f t="shared" si="68"/>
        <v>3.10.6</v>
      </c>
    </row>
    <row r="278" spans="1:21" ht="45" customHeight="1">
      <c r="A278" s="603"/>
      <c r="B278" s="602"/>
      <c r="C278" s="105" t="s">
        <v>8</v>
      </c>
      <c r="E278" s="102"/>
      <c r="F278" s="105" t="str">
        <f t="shared" si="75"/>
        <v>关</v>
      </c>
      <c r="G278" s="105" t="str">
        <f t="shared" si="74"/>
        <v>关</v>
      </c>
      <c r="H278" s="105" t="str">
        <f t="shared" si="70"/>
        <v>关</v>
      </c>
      <c r="I278" s="84" t="s">
        <v>145</v>
      </c>
      <c r="J278" s="101" t="s">
        <v>146</v>
      </c>
      <c r="K278" s="105" t="str">
        <f t="shared" si="72"/>
        <v>关</v>
      </c>
      <c r="L278" s="105" t="str">
        <f t="shared" si="73"/>
        <v>关</v>
      </c>
      <c r="M278" s="601"/>
      <c r="T278" s="75" t="str">
        <f t="shared" si="68"/>
        <v>3.10.6</v>
      </c>
    </row>
    <row r="279" spans="1:21" ht="45" customHeight="1">
      <c r="A279" s="603"/>
      <c r="B279" s="602"/>
      <c r="C279" s="105" t="s">
        <v>8</v>
      </c>
      <c r="E279" s="102"/>
      <c r="F279" s="105" t="str">
        <f t="shared" si="75"/>
        <v>关</v>
      </c>
      <c r="G279" s="105" t="str">
        <f t="shared" si="74"/>
        <v>关</v>
      </c>
      <c r="H279" s="105" t="str">
        <f t="shared" si="70"/>
        <v>关</v>
      </c>
      <c r="I279" s="84" t="s">
        <v>147</v>
      </c>
      <c r="J279" s="101" t="s">
        <v>148</v>
      </c>
      <c r="K279" s="105" t="str">
        <f t="shared" si="72"/>
        <v>关</v>
      </c>
      <c r="L279" s="105" t="str">
        <f t="shared" si="73"/>
        <v>关</v>
      </c>
      <c r="M279" s="601"/>
      <c r="T279" s="75" t="str">
        <f t="shared" si="68"/>
        <v>3.10.6</v>
      </c>
    </row>
    <row r="280" spans="1:21" ht="45" customHeight="1">
      <c r="A280" s="603"/>
      <c r="B280" s="602"/>
      <c r="C280" s="105" t="s">
        <v>30</v>
      </c>
      <c r="D280" s="106" t="s">
        <v>31</v>
      </c>
      <c r="E280" s="242" t="s">
        <v>32</v>
      </c>
      <c r="F280" s="105" t="str">
        <f t="shared" si="75"/>
        <v>关</v>
      </c>
      <c r="G280" s="105" t="str">
        <f t="shared" si="74"/>
        <v>关</v>
      </c>
      <c r="H280" s="105" t="str">
        <f t="shared" si="70"/>
        <v>关</v>
      </c>
      <c r="I280" s="106"/>
      <c r="J280" s="101"/>
      <c r="K280" s="105" t="str">
        <f t="shared" si="72"/>
        <v>关</v>
      </c>
      <c r="L280" s="105" t="str">
        <f t="shared" si="73"/>
        <v>关</v>
      </c>
      <c r="M280" s="601"/>
      <c r="T280" s="75" t="str">
        <f t="shared" si="68"/>
        <v>3.10.6</v>
      </c>
    </row>
    <row r="281" spans="1:21" ht="45" customHeight="1">
      <c r="A281" s="603"/>
      <c r="B281" s="602"/>
      <c r="C281" s="105" t="s">
        <v>30</v>
      </c>
      <c r="D281" s="106" t="s">
        <v>33</v>
      </c>
      <c r="E281" s="101" t="s">
        <v>34</v>
      </c>
      <c r="F281" s="105" t="str">
        <f t="shared" si="75"/>
        <v>关</v>
      </c>
      <c r="G281" s="105" t="str">
        <f t="shared" si="74"/>
        <v>关</v>
      </c>
      <c r="H281" s="105" t="str">
        <f t="shared" si="70"/>
        <v>关</v>
      </c>
      <c r="J281" s="101"/>
      <c r="K281" s="105" t="str">
        <f t="shared" si="72"/>
        <v>关</v>
      </c>
      <c r="L281" s="105" t="str">
        <f t="shared" si="73"/>
        <v>关</v>
      </c>
      <c r="M281" s="601"/>
      <c r="T281" s="75" t="str">
        <f t="shared" si="68"/>
        <v>3.10.6</v>
      </c>
    </row>
    <row r="282" spans="1:21" ht="45" customHeight="1">
      <c r="A282" s="603"/>
      <c r="B282" s="602"/>
      <c r="C282" s="105" t="s">
        <v>8</v>
      </c>
      <c r="D282" s="106"/>
      <c r="E282" s="78"/>
      <c r="F282" s="105" t="str">
        <f t="shared" si="75"/>
        <v>关</v>
      </c>
      <c r="G282" s="105" t="str">
        <f t="shared" si="74"/>
        <v>关</v>
      </c>
      <c r="H282" s="105" t="str">
        <f t="shared" si="70"/>
        <v>关</v>
      </c>
      <c r="I282" s="106" t="s">
        <v>54</v>
      </c>
      <c r="J282" s="243" t="s">
        <v>271</v>
      </c>
      <c r="K282" s="105" t="str">
        <f t="shared" si="72"/>
        <v>关</v>
      </c>
      <c r="L282" s="105" t="str">
        <f t="shared" si="73"/>
        <v>关</v>
      </c>
      <c r="M282" s="601"/>
      <c r="T282" s="75" t="str">
        <f t="shared" si="68"/>
        <v>3.10.6</v>
      </c>
    </row>
    <row r="283" spans="1:21" ht="45" customHeight="1">
      <c r="A283" s="603"/>
      <c r="B283" s="602"/>
      <c r="C283" s="105" t="s">
        <v>3</v>
      </c>
      <c r="D283" s="106" t="s">
        <v>35</v>
      </c>
      <c r="E283" s="101" t="s">
        <v>63</v>
      </c>
      <c r="F283" s="105" t="s">
        <v>37</v>
      </c>
      <c r="G283" s="105" t="str">
        <f t="shared" si="74"/>
        <v>关</v>
      </c>
      <c r="H283" s="105" t="str">
        <f t="shared" si="70"/>
        <v>关</v>
      </c>
      <c r="J283" s="101"/>
      <c r="K283" s="105" t="str">
        <f t="shared" si="72"/>
        <v>关</v>
      </c>
      <c r="L283" s="105" t="str">
        <f t="shared" si="73"/>
        <v>关</v>
      </c>
      <c r="M283" s="601"/>
      <c r="T283" s="75" t="str">
        <f t="shared" si="68"/>
        <v>3.10.6</v>
      </c>
    </row>
    <row r="284" spans="1:21" ht="45" customHeight="1">
      <c r="A284" s="603"/>
      <c r="B284" s="602"/>
      <c r="C284" s="105" t="s">
        <v>3</v>
      </c>
      <c r="D284" s="106" t="s">
        <v>38</v>
      </c>
      <c r="E284" s="101" t="s">
        <v>101</v>
      </c>
      <c r="F284" s="105" t="str">
        <f>IFERROR(IF(FIND("开",F283,1),"开","关"),"关")</f>
        <v>开</v>
      </c>
      <c r="G284" s="105" t="s">
        <v>29</v>
      </c>
      <c r="H284" s="105" t="str">
        <f t="shared" si="70"/>
        <v>关</v>
      </c>
      <c r="I284" s="106"/>
      <c r="J284" s="101"/>
      <c r="K284" s="105" t="str">
        <f t="shared" si="72"/>
        <v>关</v>
      </c>
      <c r="L284" s="105" t="str">
        <f t="shared" si="73"/>
        <v>关</v>
      </c>
      <c r="M284" s="601"/>
      <c r="T284" s="75" t="str">
        <f t="shared" si="68"/>
        <v>3.10.6</v>
      </c>
    </row>
    <row r="285" spans="1:21" ht="45" customHeight="1">
      <c r="A285" s="603"/>
      <c r="B285" s="602"/>
      <c r="C285" s="105" t="s">
        <v>3</v>
      </c>
      <c r="D285" s="106" t="s">
        <v>40</v>
      </c>
      <c r="E285" s="101" t="s">
        <v>41</v>
      </c>
      <c r="F285" s="105" t="s">
        <v>42</v>
      </c>
      <c r="G285" s="105" t="str">
        <f t="shared" ref="G285:G290" si="76">IFERROR(IF(FIND("开",G284,1),"开","关"),"关")</f>
        <v>关</v>
      </c>
      <c r="H285" s="105" t="str">
        <f t="shared" si="70"/>
        <v>关</v>
      </c>
      <c r="I285" s="106"/>
      <c r="J285" s="101"/>
      <c r="K285" s="105" t="str">
        <f t="shared" si="72"/>
        <v>关</v>
      </c>
      <c r="L285" s="105" t="str">
        <f t="shared" si="73"/>
        <v>关</v>
      </c>
      <c r="M285" s="601"/>
      <c r="T285" s="75" t="str">
        <f t="shared" si="68"/>
        <v>3.10.6</v>
      </c>
    </row>
    <row r="286" spans="1:21" ht="45" customHeight="1">
      <c r="A286" s="603"/>
      <c r="B286" s="602"/>
      <c r="C286" s="105" t="s">
        <v>3</v>
      </c>
      <c r="D286" s="106" t="s">
        <v>45</v>
      </c>
      <c r="E286" s="244" t="s">
        <v>46</v>
      </c>
      <c r="F286" s="105" t="str">
        <f>IFERROR(IF(FIND("开",F285,1),"开","关"),"关")</f>
        <v>关</v>
      </c>
      <c r="G286" s="105" t="str">
        <f t="shared" si="76"/>
        <v>关</v>
      </c>
      <c r="H286" s="105" t="str">
        <f t="shared" si="70"/>
        <v>关</v>
      </c>
      <c r="I286" s="74"/>
      <c r="J286" s="77"/>
      <c r="K286" s="105" t="str">
        <f t="shared" si="72"/>
        <v>关</v>
      </c>
      <c r="L286" s="105" t="str">
        <f t="shared" si="73"/>
        <v>关</v>
      </c>
      <c r="M286" s="601"/>
      <c r="T286" s="75" t="str">
        <f t="shared" si="68"/>
        <v>3.10.6</v>
      </c>
    </row>
    <row r="287" spans="1:21" ht="45" customHeight="1">
      <c r="A287" s="603" t="s">
        <v>168</v>
      </c>
      <c r="B287" s="602" t="s">
        <v>272</v>
      </c>
      <c r="C287" s="105" t="s">
        <v>3</v>
      </c>
      <c r="D287" s="106" t="s">
        <v>130</v>
      </c>
      <c r="E287" s="245" t="s">
        <v>131</v>
      </c>
      <c r="F287" s="105" t="str">
        <f>IFERROR(IF(FIND("开",F286,1),"开","关"),"关")</f>
        <v>关</v>
      </c>
      <c r="G287" s="105" t="str">
        <f t="shared" si="76"/>
        <v>关</v>
      </c>
      <c r="H287" s="105" t="s">
        <v>42</v>
      </c>
      <c r="I287" s="106"/>
      <c r="J287" s="101"/>
      <c r="K287" s="105" t="str">
        <f t="shared" si="72"/>
        <v>关</v>
      </c>
      <c r="L287" s="105" t="str">
        <f t="shared" si="73"/>
        <v>关</v>
      </c>
      <c r="M287" s="601">
        <v>1</v>
      </c>
      <c r="T287" s="75" t="e">
        <f t="shared" si="68"/>
        <v>#VALUE!</v>
      </c>
    </row>
    <row r="288" spans="1:21" ht="45" customHeight="1">
      <c r="A288" s="603"/>
      <c r="B288" s="602"/>
      <c r="C288" s="105" t="s">
        <v>3</v>
      </c>
      <c r="D288" s="106" t="s">
        <v>171</v>
      </c>
      <c r="E288" s="101" t="s">
        <v>44</v>
      </c>
      <c r="F288" s="105" t="str">
        <f>IFERROR(IF(FIND("开",F287,1),"开","关"),"关")</f>
        <v>关</v>
      </c>
      <c r="G288" s="105" t="str">
        <f t="shared" si="76"/>
        <v>关</v>
      </c>
      <c r="H288" s="105" t="str">
        <f>IFERROR(IF(FIND("开",H287,1),"开","关"),"关")</f>
        <v>关</v>
      </c>
      <c r="J288" s="77"/>
      <c r="K288" s="105" t="str">
        <f t="shared" si="72"/>
        <v>关</v>
      </c>
      <c r="L288" s="105" t="str">
        <f t="shared" si="73"/>
        <v>关</v>
      </c>
      <c r="M288" s="601"/>
      <c r="T288" s="75" t="e">
        <f t="shared" si="68"/>
        <v>#VALUE!</v>
      </c>
    </row>
    <row r="289" spans="1:21" ht="45" customHeight="1">
      <c r="A289" s="603"/>
      <c r="B289" s="602"/>
      <c r="C289" s="105" t="s">
        <v>8</v>
      </c>
      <c r="E289" s="77"/>
      <c r="F289" s="105" t="str">
        <f>IFERROR(IF(FIND("开",F288,1),"开","关"),"关")</f>
        <v>关</v>
      </c>
      <c r="G289" s="105" t="str">
        <f t="shared" si="76"/>
        <v>关</v>
      </c>
      <c r="H289" s="105" t="str">
        <f>IFERROR(IF(FIND("开",H288,1),"开","关"),"关")</f>
        <v>关</v>
      </c>
      <c r="I289" s="106" t="s">
        <v>172</v>
      </c>
      <c r="J289" s="101" t="s">
        <v>126</v>
      </c>
      <c r="K289" s="105" t="str">
        <f t="shared" si="72"/>
        <v>关</v>
      </c>
      <c r="L289" s="105" t="str">
        <f t="shared" si="73"/>
        <v>关</v>
      </c>
      <c r="M289" s="601"/>
      <c r="T289" s="75" t="e">
        <f t="shared" si="68"/>
        <v>#VALUE!</v>
      </c>
    </row>
    <row r="290" spans="1:21" ht="45" customHeight="1">
      <c r="A290" s="89" t="s">
        <v>273</v>
      </c>
      <c r="E290" s="102"/>
      <c r="F290" s="105" t="str">
        <f>IFERROR(IF(FIND("开",F289,1),"开","关"),"关")</f>
        <v>关</v>
      </c>
      <c r="G290" s="105" t="str">
        <f t="shared" si="76"/>
        <v>关</v>
      </c>
      <c r="H290" s="105" t="str">
        <f>IFERROR(IF(FIND("开",H289,1),"开","关"),"关")</f>
        <v>关</v>
      </c>
      <c r="I290" s="106"/>
      <c r="J290" s="101"/>
      <c r="K290" s="105" t="str">
        <f t="shared" si="72"/>
        <v>关</v>
      </c>
      <c r="L290" s="105" t="str">
        <f t="shared" si="73"/>
        <v>关</v>
      </c>
      <c r="T290" s="75" t="str">
        <f t="shared" si="68"/>
        <v>3.11</v>
      </c>
    </row>
    <row r="291" spans="1:21" ht="45" customHeight="1">
      <c r="A291" s="595" t="s">
        <v>274</v>
      </c>
      <c r="B291" s="696" t="s">
        <v>239</v>
      </c>
      <c r="C291" s="105" t="s">
        <v>3</v>
      </c>
      <c r="D291" s="106" t="s">
        <v>52</v>
      </c>
      <c r="E291" s="246" t="s">
        <v>176</v>
      </c>
      <c r="F291" s="105" t="str">
        <f>IFERROR(IF(FIND("开",#REF!,1),"开","关"),"关")</f>
        <v>关</v>
      </c>
      <c r="G291" s="105" t="str">
        <f>IFERROR(IF(FIND("开",#REF!,1),"开","关"),"关")</f>
        <v>关</v>
      </c>
      <c r="H291" s="105" t="s">
        <v>37</v>
      </c>
      <c r="J291" s="101"/>
      <c r="K291" s="105" t="str">
        <f>IFERROR(IF(FIND("开",#REF!,1),"开","关"),"关")</f>
        <v>关</v>
      </c>
      <c r="L291" s="105" t="str">
        <f>IFERROR(IF(FIND("开",#REF!,1),"开","关"),"关")</f>
        <v>关</v>
      </c>
      <c r="M291" s="598">
        <v>1</v>
      </c>
      <c r="N291" s="75"/>
      <c r="O291" s="75"/>
      <c r="Q291" s="75"/>
      <c r="T291" s="75" t="str">
        <f>IF(ISBLANK(A291),#REF!,LEFT(A291,FIND(" ",A291,1)-1))</f>
        <v>3.11.1</v>
      </c>
    </row>
    <row r="292" spans="1:21" ht="45" customHeight="1">
      <c r="A292" s="596"/>
      <c r="B292" s="599"/>
      <c r="C292" s="105" t="s">
        <v>178</v>
      </c>
      <c r="D292" s="106"/>
      <c r="E292" s="101"/>
      <c r="I292" s="84" t="s">
        <v>179</v>
      </c>
      <c r="J292" s="247" t="s">
        <v>271</v>
      </c>
      <c r="M292" s="599"/>
      <c r="N292" s="75"/>
      <c r="O292" s="75"/>
      <c r="Q292" s="75"/>
      <c r="T292" s="75"/>
    </row>
    <row r="293" spans="1:21" ht="45" customHeight="1">
      <c r="A293" s="596"/>
      <c r="B293" s="599"/>
      <c r="C293" s="105" t="s">
        <v>3</v>
      </c>
      <c r="D293" s="106" t="s">
        <v>180</v>
      </c>
      <c r="E293" s="248" t="s">
        <v>181</v>
      </c>
      <c r="F293" s="105" t="str">
        <f>IFERROR(IF(FIND("开",F291,1),"开","关"),"关")</f>
        <v>关</v>
      </c>
      <c r="G293" s="105" t="str">
        <f>IFERROR(IF(FIND("开",G291,1),"开","关"),"关")</f>
        <v>关</v>
      </c>
      <c r="H293" s="105" t="str">
        <f>IFERROR(IF(FIND("开",H291,1),"开","关"),"关")</f>
        <v>开</v>
      </c>
      <c r="J293" s="101"/>
      <c r="K293" s="105" t="str">
        <f>IFERROR(IF(FIND("开",K291,1),"开","关"),"关")</f>
        <v>关</v>
      </c>
      <c r="L293" s="105" t="str">
        <f>IFERROR(IF(FIND("开",L291,1),"开","关"),"关")</f>
        <v>关</v>
      </c>
      <c r="M293" s="599"/>
      <c r="N293" s="75" t="s">
        <v>182</v>
      </c>
      <c r="O293" s="75" t="str">
        <f>MID(E293,FIND("setting",E293,1)+8,FIND("kg",E293,1)-FIND("setting",E293,1)-8)</f>
        <v xml:space="preserve"> 483.60</v>
      </c>
      <c r="Q293" s="75" t="str">
        <f>SUBSTITUTE(T293&amp;N293," ","")</f>
        <v>3.11.120%piperidinesolution</v>
      </c>
      <c r="R293" s="74">
        <f>VLOOKUP(Q293,MOR投料表!A:L,9,FALSE)</f>
        <v>483.6</v>
      </c>
      <c r="T293" s="75" t="str">
        <f>IF(ISBLANK(A293),T291,LEFT(A293,FIND(" ",A293,1)-1))</f>
        <v>3.11.1</v>
      </c>
      <c r="U293" s="74" t="b">
        <f>TEXT(O293,"0.00")=TEXT(R293,"0.00")</f>
        <v>1</v>
      </c>
    </row>
    <row r="294" spans="1:21" ht="45" customHeight="1">
      <c r="A294" s="596"/>
      <c r="B294" s="599"/>
      <c r="C294" s="105" t="s">
        <v>3</v>
      </c>
      <c r="D294" s="106" t="s">
        <v>183</v>
      </c>
      <c r="E294" s="101" t="s">
        <v>184</v>
      </c>
      <c r="F294" s="105" t="str">
        <f>IFERROR(IF(FIND("开",F293,1),"开","关"),"关")</f>
        <v>关</v>
      </c>
      <c r="G294" s="105" t="str">
        <f>IFERROR(IF(FIND("开",G293,1),"开","关"),"关")</f>
        <v>关</v>
      </c>
      <c r="H294" s="105" t="str">
        <f>IFERROR(IF(FIND("开",H293,1),"开","关"),"关")</f>
        <v>开</v>
      </c>
      <c r="J294" s="101"/>
      <c r="K294" s="105" t="str">
        <f t="shared" ref="K294:K319" si="77">IFERROR(IF(FIND("开",K293,1),"开","关"),"关")</f>
        <v>关</v>
      </c>
      <c r="L294" s="105" t="str">
        <f t="shared" ref="L294:L319" si="78">IFERROR(IF(FIND("开",L293,1),"开","关"),"关")</f>
        <v>关</v>
      </c>
      <c r="M294" s="599"/>
      <c r="N294" s="75"/>
      <c r="O294" s="75"/>
      <c r="T294" s="75" t="str">
        <f t="shared" ref="T294:T323" si="79">IF(ISBLANK(A294),T293,LEFT(A294,FIND(" ",A294,1)-1))</f>
        <v>3.11.1</v>
      </c>
      <c r="U294" s="74" t="b">
        <f>TEXT(O294,"0.00")=TEXT(R294,"0.00")</f>
        <v>1</v>
      </c>
    </row>
    <row r="295" spans="1:21" ht="45" customHeight="1">
      <c r="A295" s="596"/>
      <c r="B295" s="599"/>
      <c r="C295" s="105" t="s">
        <v>3</v>
      </c>
      <c r="D295" s="106" t="s">
        <v>35</v>
      </c>
      <c r="E295" s="101" t="s">
        <v>63</v>
      </c>
      <c r="F295" s="105" t="s">
        <v>37</v>
      </c>
      <c r="G295" s="105" t="str">
        <f>IFERROR(IF(FIND("开",G294,1),"开","关"),"关")</f>
        <v>关</v>
      </c>
      <c r="H295" s="105" t="str">
        <f>IFERROR(IF(FIND("开",H294,1),"开","关"),"关")</f>
        <v>开</v>
      </c>
      <c r="J295" s="101"/>
      <c r="K295" s="105" t="str">
        <f t="shared" si="77"/>
        <v>关</v>
      </c>
      <c r="L295" s="105" t="str">
        <f t="shared" si="78"/>
        <v>关</v>
      </c>
      <c r="M295" s="599"/>
      <c r="T295" s="75" t="str">
        <f t="shared" si="79"/>
        <v>3.11.1</v>
      </c>
    </row>
    <row r="296" spans="1:21" ht="45" customHeight="1">
      <c r="A296" s="596"/>
      <c r="B296" s="599"/>
      <c r="C296" s="105" t="s">
        <v>3</v>
      </c>
      <c r="D296" s="106" t="s">
        <v>64</v>
      </c>
      <c r="E296" s="101" t="s">
        <v>65</v>
      </c>
      <c r="F296" s="105" t="str">
        <f>IFERROR(IF(FIND("开",F295,1),"开","关"),"关")</f>
        <v>开</v>
      </c>
      <c r="G296" s="105" t="s">
        <v>37</v>
      </c>
      <c r="H296" s="105" t="str">
        <f t="shared" ref="H296:H320" si="80">IFERROR(IF(FIND("开",H295,1),"开","关"),"关")</f>
        <v>开</v>
      </c>
      <c r="J296" s="101"/>
      <c r="K296" s="105" t="str">
        <f t="shared" si="77"/>
        <v>关</v>
      </c>
      <c r="L296" s="105" t="str">
        <f t="shared" si="78"/>
        <v>关</v>
      </c>
      <c r="M296" s="599"/>
      <c r="T296" s="75" t="str">
        <f t="shared" si="79"/>
        <v>3.11.1</v>
      </c>
    </row>
    <row r="297" spans="1:21" ht="45" customHeight="1">
      <c r="A297" s="596"/>
      <c r="B297" s="599"/>
      <c r="C297" s="105" t="s">
        <v>3</v>
      </c>
      <c r="D297" s="106" t="s">
        <v>66</v>
      </c>
      <c r="E297" s="249" t="s">
        <v>67</v>
      </c>
      <c r="F297" s="105" t="str">
        <f>IFERROR(IF(FIND("开",F296,1),"开","关"),"关")</f>
        <v>开</v>
      </c>
      <c r="G297" s="105" t="str">
        <f>IFERROR(IF(FIND("开",G296,1),"开","关"),"关")</f>
        <v>开</v>
      </c>
      <c r="H297" s="105" t="str">
        <f t="shared" si="80"/>
        <v>开</v>
      </c>
      <c r="J297" s="101"/>
      <c r="K297" s="105" t="str">
        <f t="shared" si="77"/>
        <v>关</v>
      </c>
      <c r="L297" s="105" t="str">
        <f t="shared" si="78"/>
        <v>关</v>
      </c>
      <c r="M297" s="599"/>
      <c r="T297" s="75" t="str">
        <f t="shared" si="79"/>
        <v>3.11.1</v>
      </c>
    </row>
    <row r="298" spans="1:21" ht="45" customHeight="1">
      <c r="A298" s="596"/>
      <c r="B298" s="599"/>
      <c r="C298" s="105" t="s">
        <v>3</v>
      </c>
      <c r="D298" s="106" t="s">
        <v>68</v>
      </c>
      <c r="E298" s="250" t="s">
        <v>185</v>
      </c>
      <c r="F298" s="105" t="str">
        <f>IFERROR(IF(FIND("开",F297,1),"开","关"),"关")</f>
        <v>开</v>
      </c>
      <c r="G298" s="105" t="str">
        <f>IFERROR(IF(FIND("开",G297,1),"开","关"),"关")</f>
        <v>开</v>
      </c>
      <c r="H298" s="105" t="str">
        <f t="shared" si="80"/>
        <v>开</v>
      </c>
      <c r="J298" s="101"/>
      <c r="K298" s="105" t="str">
        <f t="shared" si="77"/>
        <v>关</v>
      </c>
      <c r="L298" s="105" t="str">
        <f t="shared" si="78"/>
        <v>关</v>
      </c>
      <c r="M298" s="599"/>
      <c r="T298" s="75" t="str">
        <f t="shared" si="79"/>
        <v>3.11.1</v>
      </c>
    </row>
    <row r="299" spans="1:21" ht="45" customHeight="1">
      <c r="A299" s="596"/>
      <c r="B299" s="599"/>
      <c r="C299" s="105" t="s">
        <v>3</v>
      </c>
      <c r="D299" s="106" t="s">
        <v>70</v>
      </c>
      <c r="E299" s="101" t="s">
        <v>71</v>
      </c>
      <c r="F299" s="105" t="str">
        <f>IFERROR(IF(FIND("开",F298,1),"开","关"),"关")</f>
        <v>开</v>
      </c>
      <c r="G299" s="105" t="s">
        <v>42</v>
      </c>
      <c r="H299" s="105" t="str">
        <f t="shared" si="80"/>
        <v>开</v>
      </c>
      <c r="J299" s="101"/>
      <c r="K299" s="105" t="str">
        <f t="shared" si="77"/>
        <v>关</v>
      </c>
      <c r="L299" s="105" t="str">
        <f t="shared" si="78"/>
        <v>关</v>
      </c>
      <c r="M299" s="599"/>
      <c r="T299" s="75" t="str">
        <f t="shared" si="79"/>
        <v>3.11.1</v>
      </c>
    </row>
    <row r="300" spans="1:21" ht="45" customHeight="1">
      <c r="A300" s="596"/>
      <c r="B300" s="599"/>
      <c r="C300" s="105" t="s">
        <v>3</v>
      </c>
      <c r="D300" s="106" t="s">
        <v>40</v>
      </c>
      <c r="E300" s="101" t="s">
        <v>41</v>
      </c>
      <c r="F300" s="105" t="s">
        <v>42</v>
      </c>
      <c r="G300" s="105" t="str">
        <f>IFERROR(IF(FIND("开",G299,1),"开","关"),"关")</f>
        <v>关</v>
      </c>
      <c r="H300" s="105" t="str">
        <f t="shared" si="80"/>
        <v>开</v>
      </c>
      <c r="J300" s="101"/>
      <c r="K300" s="105" t="str">
        <f t="shared" si="77"/>
        <v>关</v>
      </c>
      <c r="L300" s="105" t="str">
        <f t="shared" si="78"/>
        <v>关</v>
      </c>
      <c r="M300" s="599"/>
      <c r="T300" s="75" t="str">
        <f t="shared" si="79"/>
        <v>3.11.1</v>
      </c>
    </row>
    <row r="301" spans="1:21" ht="45" customHeight="1">
      <c r="A301" s="597"/>
      <c r="B301" s="600"/>
      <c r="C301" s="105" t="s">
        <v>3</v>
      </c>
      <c r="D301" s="106" t="s">
        <v>45</v>
      </c>
      <c r="E301" s="251" t="s">
        <v>46</v>
      </c>
      <c r="F301" s="105" t="str">
        <f>IFERROR(IF(FIND("开",F300,1),"开","关"),"关")</f>
        <v>关</v>
      </c>
      <c r="G301" s="105" t="str">
        <f>IFERROR(IF(FIND("开",G300,1),"开","关"),"关")</f>
        <v>关</v>
      </c>
      <c r="H301" s="105" t="str">
        <f t="shared" si="80"/>
        <v>开</v>
      </c>
      <c r="J301" s="101"/>
      <c r="K301" s="105" t="str">
        <f t="shared" si="77"/>
        <v>关</v>
      </c>
      <c r="L301" s="105" t="str">
        <f t="shared" si="78"/>
        <v>关</v>
      </c>
      <c r="M301" s="600"/>
      <c r="T301" s="75" t="str">
        <f t="shared" si="79"/>
        <v>3.11.1</v>
      </c>
    </row>
    <row r="302" spans="1:21" ht="45" customHeight="1">
      <c r="A302" s="603" t="s">
        <v>276</v>
      </c>
      <c r="B302" s="664" t="s">
        <v>277</v>
      </c>
      <c r="C302" s="105" t="s">
        <v>3</v>
      </c>
      <c r="D302" s="106" t="s">
        <v>188</v>
      </c>
      <c r="E302" s="252" t="s">
        <v>189</v>
      </c>
      <c r="F302" s="105" t="str">
        <f>IFERROR(IF(FIND("开",F301,1),"开","关"),"关")</f>
        <v>关</v>
      </c>
      <c r="G302" s="105" t="str">
        <f>IFERROR(IF(FIND("开",G301,1),"开","关"),"关")</f>
        <v>关</v>
      </c>
      <c r="H302" s="105" t="str">
        <f t="shared" si="80"/>
        <v>开</v>
      </c>
      <c r="J302" s="101"/>
      <c r="K302" s="105" t="str">
        <f t="shared" si="77"/>
        <v>关</v>
      </c>
      <c r="L302" s="105" t="str">
        <f t="shared" si="78"/>
        <v>关</v>
      </c>
      <c r="M302" s="601">
        <v>4</v>
      </c>
      <c r="N302" s="75" t="str">
        <f>MID(E302,FIND("线路-》",E302,1)+4,FIND("-&gt;",E302,1)-13)</f>
        <v>IPAC</v>
      </c>
      <c r="O302" s="75" t="str">
        <f>MID(E302,FIND("setting",E302,1)+8,FIND("kg",E302,1)-FIND("setting",E302,1)-8)</f>
        <v xml:space="preserve"> 453.70</v>
      </c>
      <c r="Q302" s="75" t="str">
        <f>SUBSTITUTE(T302&amp;N302," ","")</f>
        <v>3.11.4IPAC</v>
      </c>
      <c r="R302" s="74">
        <f>VLOOKUP(Q302,MOR投料表!A:L,9,FALSE)</f>
        <v>453.7</v>
      </c>
      <c r="T302" s="75" t="str">
        <f t="shared" si="79"/>
        <v>3.11.4</v>
      </c>
      <c r="U302" s="74" t="b">
        <f>TEXT(O302,"0.00")=TEXT(R302,"0.00")</f>
        <v>1</v>
      </c>
    </row>
    <row r="303" spans="1:21" ht="45" customHeight="1">
      <c r="A303" s="603"/>
      <c r="B303" s="602"/>
      <c r="C303" s="105" t="s">
        <v>3</v>
      </c>
      <c r="D303" s="106" t="s">
        <v>191</v>
      </c>
      <c r="E303" s="101" t="s">
        <v>192</v>
      </c>
      <c r="F303" s="105" t="str">
        <f>IFERROR(IF(FIND("开",F302,1),"开","关"),"关")</f>
        <v>关</v>
      </c>
      <c r="G303" s="105" t="str">
        <f>IFERROR(IF(FIND("开",G302,1),"开","关"),"关")</f>
        <v>关</v>
      </c>
      <c r="H303" s="105" t="str">
        <f t="shared" si="80"/>
        <v>开</v>
      </c>
      <c r="J303" s="101"/>
      <c r="K303" s="105" t="str">
        <f t="shared" si="77"/>
        <v>关</v>
      </c>
      <c r="L303" s="105" t="str">
        <f t="shared" si="78"/>
        <v>关</v>
      </c>
      <c r="M303" s="601"/>
      <c r="N303" s="75"/>
      <c r="O303" s="75"/>
      <c r="T303" s="75" t="str">
        <f t="shared" si="79"/>
        <v>3.11.4</v>
      </c>
      <c r="U303" s="74" t="b">
        <f>TEXT(O303,"0.00")=TEXT(R303,"0.00")</f>
        <v>1</v>
      </c>
    </row>
    <row r="304" spans="1:21" ht="45" customHeight="1">
      <c r="A304" s="603"/>
      <c r="B304" s="602"/>
      <c r="C304" s="105" t="s">
        <v>3</v>
      </c>
      <c r="D304" s="106" t="s">
        <v>35</v>
      </c>
      <c r="E304" s="101" t="s">
        <v>63</v>
      </c>
      <c r="F304" s="105" t="s">
        <v>37</v>
      </c>
      <c r="G304" s="105" t="str">
        <f>IFERROR(IF(FIND("开",G303,1),"开","关"),"关")</f>
        <v>关</v>
      </c>
      <c r="H304" s="105" t="str">
        <f t="shared" si="80"/>
        <v>开</v>
      </c>
      <c r="J304" s="101"/>
      <c r="K304" s="105" t="str">
        <f t="shared" si="77"/>
        <v>关</v>
      </c>
      <c r="L304" s="105" t="str">
        <f t="shared" si="78"/>
        <v>关</v>
      </c>
      <c r="M304" s="601"/>
      <c r="T304" s="75" t="str">
        <f t="shared" si="79"/>
        <v>3.11.4</v>
      </c>
    </row>
    <row r="305" spans="1:21" ht="45" customHeight="1">
      <c r="A305" s="603"/>
      <c r="B305" s="602"/>
      <c r="C305" s="105" t="s">
        <v>3</v>
      </c>
      <c r="D305" s="106" t="s">
        <v>38</v>
      </c>
      <c r="E305" s="101" t="s">
        <v>101</v>
      </c>
      <c r="F305" s="105" t="str">
        <f>IFERROR(IF(FIND("开",F304,1),"开","关"),"关")</f>
        <v>开</v>
      </c>
      <c r="G305" s="105" t="s">
        <v>29</v>
      </c>
      <c r="H305" s="105" t="str">
        <f t="shared" si="80"/>
        <v>开</v>
      </c>
      <c r="J305" s="101"/>
      <c r="K305" s="105" t="str">
        <f t="shared" si="77"/>
        <v>关</v>
      </c>
      <c r="L305" s="105" t="str">
        <f t="shared" si="78"/>
        <v>关</v>
      </c>
      <c r="M305" s="601"/>
      <c r="T305" s="75" t="str">
        <f t="shared" si="79"/>
        <v>3.11.4</v>
      </c>
    </row>
    <row r="306" spans="1:21" ht="45" customHeight="1">
      <c r="A306" s="603"/>
      <c r="B306" s="602"/>
      <c r="C306" s="105" t="s">
        <v>3</v>
      </c>
      <c r="D306" s="106" t="s">
        <v>40</v>
      </c>
      <c r="E306" s="101" t="s">
        <v>41</v>
      </c>
      <c r="F306" s="105" t="s">
        <v>42</v>
      </c>
      <c r="G306" s="105" t="str">
        <f>IFERROR(IF(FIND("开",G305,1),"开","关"),"关")</f>
        <v>关</v>
      </c>
      <c r="H306" s="105" t="str">
        <f t="shared" si="80"/>
        <v>开</v>
      </c>
      <c r="J306" s="101"/>
      <c r="K306" s="105" t="str">
        <f t="shared" si="77"/>
        <v>关</v>
      </c>
      <c r="L306" s="105" t="str">
        <f t="shared" si="78"/>
        <v>关</v>
      </c>
      <c r="M306" s="601"/>
      <c r="T306" s="75" t="str">
        <f t="shared" si="79"/>
        <v>3.11.4</v>
      </c>
    </row>
    <row r="307" spans="1:21" ht="45" customHeight="1">
      <c r="A307" s="603"/>
      <c r="B307" s="602"/>
      <c r="C307" s="105" t="s">
        <v>3</v>
      </c>
      <c r="D307" s="106" t="s">
        <v>193</v>
      </c>
      <c r="E307" s="253" t="s">
        <v>194</v>
      </c>
      <c r="F307" s="105" t="str">
        <f>IFERROR(IF(FIND("开",F306,1),"开","关"),"关")</f>
        <v>关</v>
      </c>
      <c r="G307" s="105" t="str">
        <f>IFERROR(IF(FIND("开",G306,1),"开","关"),"关")</f>
        <v>关</v>
      </c>
      <c r="H307" s="105" t="str">
        <f t="shared" si="80"/>
        <v>开</v>
      </c>
      <c r="J307" s="101"/>
      <c r="K307" s="105" t="str">
        <f t="shared" si="77"/>
        <v>关</v>
      </c>
      <c r="L307" s="105" t="str">
        <f t="shared" si="78"/>
        <v>关</v>
      </c>
      <c r="M307" s="601"/>
      <c r="T307" s="75" t="str">
        <f t="shared" si="79"/>
        <v>3.11.4</v>
      </c>
    </row>
    <row r="308" spans="1:21" ht="45" customHeight="1">
      <c r="A308" s="603" t="s">
        <v>279</v>
      </c>
      <c r="B308" s="668" t="s">
        <v>196</v>
      </c>
      <c r="C308" s="105" t="s">
        <v>3</v>
      </c>
      <c r="D308" s="106" t="s">
        <v>58</v>
      </c>
      <c r="E308" s="254" t="s">
        <v>59</v>
      </c>
      <c r="F308" s="105" t="str">
        <f>IFERROR(IF(FIND("开",F307,1),"开","关"),"关")</f>
        <v>关</v>
      </c>
      <c r="G308" s="105" t="str">
        <f>IFERROR(IF(FIND("开",G307,1),"开","关"),"关")</f>
        <v>关</v>
      </c>
      <c r="H308" s="105" t="str">
        <f t="shared" si="80"/>
        <v>开</v>
      </c>
      <c r="J308" s="101"/>
      <c r="K308" s="105" t="str">
        <f t="shared" si="77"/>
        <v>关</v>
      </c>
      <c r="L308" s="105" t="str">
        <f t="shared" si="78"/>
        <v>关</v>
      </c>
      <c r="M308" s="601">
        <v>1</v>
      </c>
      <c r="N308" s="75" t="s">
        <v>24</v>
      </c>
      <c r="O308" s="75" t="str">
        <f>MID(E308,FIND("setting",E308,1)+8,FIND("kg",E308,1)-FIND("setting",E308,1)-8)</f>
        <v xml:space="preserve"> 492.70</v>
      </c>
      <c r="Q308" s="75" t="str">
        <f>SUBSTITUTE(T308&amp;N308," ","")</f>
        <v>3.11.5DMF</v>
      </c>
      <c r="R308" s="74">
        <f>VLOOKUP(Q308,MOR投料表!A:L,9,FALSE)</f>
        <v>492.7</v>
      </c>
      <c r="T308" s="75" t="str">
        <f t="shared" si="79"/>
        <v>3.11.5</v>
      </c>
      <c r="U308" s="74" t="b">
        <f>TEXT(O308,"0.00")=TEXT(R308,"0.00")</f>
        <v>1</v>
      </c>
    </row>
    <row r="309" spans="1:21" ht="45" customHeight="1">
      <c r="A309" s="603"/>
      <c r="B309" s="602"/>
      <c r="C309" s="105" t="s">
        <v>3</v>
      </c>
      <c r="D309" s="106" t="s">
        <v>61</v>
      </c>
      <c r="E309" s="101" t="s">
        <v>62</v>
      </c>
      <c r="F309" s="105" t="str">
        <f>IFERROR(IF(FIND("开",F308,1),"开","关"),"关")</f>
        <v>关</v>
      </c>
      <c r="G309" s="105" t="str">
        <f>IFERROR(IF(FIND("开",G308,1),"开","关"),"关")</f>
        <v>关</v>
      </c>
      <c r="H309" s="105" t="str">
        <f t="shared" si="80"/>
        <v>开</v>
      </c>
      <c r="J309" s="101"/>
      <c r="K309" s="105" t="str">
        <f t="shared" si="77"/>
        <v>关</v>
      </c>
      <c r="L309" s="105" t="str">
        <f t="shared" si="78"/>
        <v>关</v>
      </c>
      <c r="M309" s="601"/>
      <c r="T309" s="75" t="str">
        <f t="shared" si="79"/>
        <v>3.11.5</v>
      </c>
    </row>
    <row r="310" spans="1:21" ht="45" customHeight="1">
      <c r="A310" s="603"/>
      <c r="B310" s="602"/>
      <c r="C310" s="105" t="s">
        <v>3</v>
      </c>
      <c r="D310" s="106" t="s">
        <v>35</v>
      </c>
      <c r="E310" s="101" t="s">
        <v>63</v>
      </c>
      <c r="F310" s="105" t="s">
        <v>37</v>
      </c>
      <c r="G310" s="105" t="str">
        <f>IFERROR(IF(FIND("开",G309,1),"开","关"),"关")</f>
        <v>关</v>
      </c>
      <c r="H310" s="105" t="str">
        <f t="shared" si="80"/>
        <v>开</v>
      </c>
      <c r="J310" s="101"/>
      <c r="K310" s="105" t="str">
        <f t="shared" si="77"/>
        <v>关</v>
      </c>
      <c r="L310" s="105" t="str">
        <f t="shared" si="78"/>
        <v>关</v>
      </c>
      <c r="M310" s="601"/>
      <c r="T310" s="75" t="str">
        <f t="shared" si="79"/>
        <v>3.11.5</v>
      </c>
    </row>
    <row r="311" spans="1:21" ht="45" customHeight="1">
      <c r="A311" s="603"/>
      <c r="B311" s="602"/>
      <c r="C311" s="105" t="s">
        <v>3</v>
      </c>
      <c r="D311" s="106" t="s">
        <v>38</v>
      </c>
      <c r="E311" s="101" t="s">
        <v>167</v>
      </c>
      <c r="F311" s="105" t="str">
        <f>IFERROR(IF(FIND("开",F310,1),"开","关"),"关")</f>
        <v>开</v>
      </c>
      <c r="G311" s="105" t="s">
        <v>29</v>
      </c>
      <c r="H311" s="105" t="str">
        <f t="shared" si="80"/>
        <v>开</v>
      </c>
      <c r="J311" s="101"/>
      <c r="K311" s="105" t="str">
        <f t="shared" si="77"/>
        <v>关</v>
      </c>
      <c r="L311" s="105" t="str">
        <f t="shared" si="78"/>
        <v>关</v>
      </c>
      <c r="M311" s="601"/>
      <c r="T311" s="75" t="str">
        <f t="shared" si="79"/>
        <v>3.11.5</v>
      </c>
    </row>
    <row r="312" spans="1:21" ht="45" customHeight="1">
      <c r="A312" s="603"/>
      <c r="B312" s="602"/>
      <c r="C312" s="105" t="s">
        <v>3</v>
      </c>
      <c r="D312" s="106" t="s">
        <v>40</v>
      </c>
      <c r="E312" s="101" t="s">
        <v>41</v>
      </c>
      <c r="F312" s="105" t="s">
        <v>42</v>
      </c>
      <c r="G312" s="105" t="str">
        <f>IFERROR(IF(FIND("开",G311,1),"开","关"),"关")</f>
        <v>关</v>
      </c>
      <c r="H312" s="105" t="str">
        <f t="shared" si="80"/>
        <v>开</v>
      </c>
      <c r="J312" s="101"/>
      <c r="K312" s="105" t="str">
        <f t="shared" si="77"/>
        <v>关</v>
      </c>
      <c r="L312" s="105" t="str">
        <f t="shared" si="78"/>
        <v>关</v>
      </c>
      <c r="M312" s="601"/>
      <c r="T312" s="75" t="str">
        <f t="shared" si="79"/>
        <v>3.11.5</v>
      </c>
    </row>
    <row r="313" spans="1:21" ht="45" customHeight="1">
      <c r="A313" s="603"/>
      <c r="B313" s="602"/>
      <c r="C313" s="105" t="s">
        <v>3</v>
      </c>
      <c r="D313" s="106" t="s">
        <v>198</v>
      </c>
      <c r="E313" s="255" t="s">
        <v>194</v>
      </c>
      <c r="F313" s="105" t="str">
        <f>IFERROR(IF(FIND("开",F312,1),"开","关"),"关")</f>
        <v>关</v>
      </c>
      <c r="G313" s="105" t="str">
        <f>IFERROR(IF(FIND("开",G312,1),"开","关"),"关")</f>
        <v>关</v>
      </c>
      <c r="H313" s="105" t="str">
        <f t="shared" si="80"/>
        <v>开</v>
      </c>
      <c r="J313" s="101"/>
      <c r="K313" s="105" t="str">
        <f t="shared" si="77"/>
        <v>关</v>
      </c>
      <c r="L313" s="105" t="str">
        <f t="shared" si="78"/>
        <v>关</v>
      </c>
      <c r="M313" s="601"/>
      <c r="T313" s="75" t="str">
        <f t="shared" si="79"/>
        <v>3.11.5</v>
      </c>
    </row>
    <row r="314" spans="1:21" ht="45" customHeight="1">
      <c r="A314" s="603" t="s">
        <v>281</v>
      </c>
      <c r="B314" s="669" t="s">
        <v>196</v>
      </c>
      <c r="C314" s="105" t="s">
        <v>3</v>
      </c>
      <c r="D314" s="106" t="s">
        <v>58</v>
      </c>
      <c r="E314" s="256" t="s">
        <v>59</v>
      </c>
      <c r="F314" s="105" t="str">
        <f>IFERROR(IF(FIND("开",F313,1),"开","关"),"关")</f>
        <v>关</v>
      </c>
      <c r="G314" s="105" t="str">
        <f>IFERROR(IF(FIND("开",G313,1),"开","关"),"关")</f>
        <v>关</v>
      </c>
      <c r="H314" s="105" t="str">
        <f t="shared" si="80"/>
        <v>开</v>
      </c>
      <c r="J314" s="101"/>
      <c r="K314" s="105" t="str">
        <f t="shared" si="77"/>
        <v>关</v>
      </c>
      <c r="L314" s="105" t="str">
        <f t="shared" si="78"/>
        <v>关</v>
      </c>
      <c r="M314" s="601">
        <v>1</v>
      </c>
      <c r="N314" s="75" t="s">
        <v>24</v>
      </c>
      <c r="O314" s="75" t="str">
        <f>MID(E314,FIND("setting",E314,1)+8,FIND("kg",E314,1)-FIND("setting",E314,1)-8)</f>
        <v xml:space="preserve"> 492.70</v>
      </c>
      <c r="Q314" s="75" t="str">
        <f>SUBSTITUTE(T314&amp;N314," ","")</f>
        <v>3.11.7DMF</v>
      </c>
      <c r="R314" s="74">
        <f>VLOOKUP(Q314,MOR投料表!A:L,9,FALSE)</f>
        <v>492.7</v>
      </c>
      <c r="T314" s="75" t="str">
        <f t="shared" si="79"/>
        <v>3.11.7</v>
      </c>
      <c r="U314" s="74" t="b">
        <f>TEXT(O314,"0.00")=TEXT(R314,"0.00")</f>
        <v>1</v>
      </c>
    </row>
    <row r="315" spans="1:21" ht="45" customHeight="1">
      <c r="A315" s="603"/>
      <c r="B315" s="602"/>
      <c r="C315" s="105" t="s">
        <v>3</v>
      </c>
      <c r="D315" s="106" t="s">
        <v>61</v>
      </c>
      <c r="E315" s="101" t="s">
        <v>62</v>
      </c>
      <c r="F315" s="105" t="str">
        <f>IFERROR(IF(FIND("开",F314,1),"开","关"),"关")</f>
        <v>关</v>
      </c>
      <c r="G315" s="105" t="str">
        <f>IFERROR(IF(FIND("开",G314,1),"开","关"),"关")</f>
        <v>关</v>
      </c>
      <c r="H315" s="105" t="str">
        <f t="shared" si="80"/>
        <v>开</v>
      </c>
      <c r="J315" s="101"/>
      <c r="K315" s="105" t="str">
        <f t="shared" si="77"/>
        <v>关</v>
      </c>
      <c r="L315" s="105" t="str">
        <f t="shared" si="78"/>
        <v>关</v>
      </c>
      <c r="M315" s="601"/>
      <c r="T315" s="75" t="str">
        <f t="shared" si="79"/>
        <v>3.11.7</v>
      </c>
    </row>
    <row r="316" spans="1:21" ht="45" customHeight="1">
      <c r="A316" s="603"/>
      <c r="B316" s="602"/>
      <c r="C316" s="105" t="s">
        <v>3</v>
      </c>
      <c r="D316" s="106" t="s">
        <v>35</v>
      </c>
      <c r="E316" s="101" t="s">
        <v>63</v>
      </c>
      <c r="F316" s="105" t="s">
        <v>37</v>
      </c>
      <c r="G316" s="105" t="str">
        <f>IFERROR(IF(FIND("开",G315,1),"开","关"),"关")</f>
        <v>关</v>
      </c>
      <c r="H316" s="105" t="str">
        <f t="shared" si="80"/>
        <v>开</v>
      </c>
      <c r="J316" s="101"/>
      <c r="K316" s="105" t="str">
        <f t="shared" si="77"/>
        <v>关</v>
      </c>
      <c r="L316" s="105" t="str">
        <f t="shared" si="78"/>
        <v>关</v>
      </c>
      <c r="M316" s="601"/>
      <c r="T316" s="75" t="str">
        <f t="shared" si="79"/>
        <v>3.11.7</v>
      </c>
    </row>
    <row r="317" spans="1:21" ht="45" customHeight="1">
      <c r="A317" s="603"/>
      <c r="B317" s="602"/>
      <c r="C317" s="105" t="s">
        <v>3</v>
      </c>
      <c r="D317" s="106" t="s">
        <v>38</v>
      </c>
      <c r="E317" s="101" t="s">
        <v>167</v>
      </c>
      <c r="F317" s="105" t="str">
        <f>IFERROR(IF(FIND("开",F316,1),"开","关"),"关")</f>
        <v>开</v>
      </c>
      <c r="G317" s="105" t="s">
        <v>29</v>
      </c>
      <c r="H317" s="105" t="str">
        <f t="shared" si="80"/>
        <v>开</v>
      </c>
      <c r="J317" s="101"/>
      <c r="K317" s="105" t="str">
        <f t="shared" si="77"/>
        <v>关</v>
      </c>
      <c r="L317" s="105" t="str">
        <f t="shared" si="78"/>
        <v>关</v>
      </c>
      <c r="M317" s="601"/>
      <c r="T317" s="75" t="str">
        <f t="shared" si="79"/>
        <v>3.11.7</v>
      </c>
    </row>
    <row r="318" spans="1:21" ht="45" customHeight="1">
      <c r="A318" s="603"/>
      <c r="B318" s="602"/>
      <c r="C318" s="105" t="s">
        <v>3</v>
      </c>
      <c r="D318" s="106" t="s">
        <v>40</v>
      </c>
      <c r="E318" s="101" t="s">
        <v>41</v>
      </c>
      <c r="F318" s="105" t="s">
        <v>42</v>
      </c>
      <c r="G318" s="105" t="str">
        <f>IFERROR(IF(FIND("开",G317,1),"开","关"),"关")</f>
        <v>关</v>
      </c>
      <c r="H318" s="105" t="str">
        <f t="shared" si="80"/>
        <v>开</v>
      </c>
      <c r="J318" s="101"/>
      <c r="K318" s="105" t="str">
        <f t="shared" si="77"/>
        <v>关</v>
      </c>
      <c r="L318" s="105" t="str">
        <f t="shared" si="78"/>
        <v>关</v>
      </c>
      <c r="M318" s="601"/>
      <c r="T318" s="75" t="str">
        <f t="shared" si="79"/>
        <v>3.11.7</v>
      </c>
    </row>
    <row r="319" spans="1:21" ht="45" customHeight="1">
      <c r="A319" s="603"/>
      <c r="B319" s="602"/>
      <c r="C319" s="105" t="s">
        <v>3</v>
      </c>
      <c r="D319" s="106" t="s">
        <v>45</v>
      </c>
      <c r="E319" s="257" t="s">
        <v>46</v>
      </c>
      <c r="F319" s="105" t="str">
        <f>IFERROR(IF(FIND("开",F318,1),"开","关"),"关")</f>
        <v>关</v>
      </c>
      <c r="G319" s="105" t="str">
        <f>IFERROR(IF(FIND("开",G318,1),"开","关"),"关")</f>
        <v>关</v>
      </c>
      <c r="H319" s="105" t="str">
        <f t="shared" si="80"/>
        <v>开</v>
      </c>
      <c r="J319" s="101"/>
      <c r="K319" s="105" t="str">
        <f t="shared" si="77"/>
        <v>关</v>
      </c>
      <c r="L319" s="105" t="str">
        <f t="shared" si="78"/>
        <v>关</v>
      </c>
      <c r="M319" s="601"/>
      <c r="T319" s="75" t="str">
        <f t="shared" si="79"/>
        <v>3.11.7</v>
      </c>
    </row>
    <row r="320" spans="1:21" ht="45" customHeight="1">
      <c r="A320" s="595" t="s">
        <v>283</v>
      </c>
      <c r="B320" s="640" t="s">
        <v>284</v>
      </c>
      <c r="C320" s="105" t="s">
        <v>8</v>
      </c>
      <c r="D320" s="76"/>
      <c r="E320" s="76"/>
      <c r="F320" s="105" t="str">
        <f>IFERROR(IF(FIND("开",F319,1),"开","关"),"关")</f>
        <v>关</v>
      </c>
      <c r="G320" s="105" t="str">
        <f>IFERROR(IF(FIND("开",G319,1),"开","关"),"关")</f>
        <v>关</v>
      </c>
      <c r="H320" s="105" t="str">
        <f t="shared" si="80"/>
        <v>开</v>
      </c>
      <c r="I320" s="106" t="s">
        <v>203</v>
      </c>
      <c r="J320" s="258" t="s">
        <v>204</v>
      </c>
      <c r="K320" s="105" t="str">
        <f>IFERROR(IF(FIND("开",K319,1),"开","关"),"关")</f>
        <v>关</v>
      </c>
      <c r="L320" s="105" t="s">
        <v>37</v>
      </c>
      <c r="M320" s="598">
        <v>1</v>
      </c>
      <c r="T320" s="75" t="str">
        <f t="shared" si="79"/>
        <v>3.12.1</v>
      </c>
    </row>
    <row r="321" spans="1:22" ht="45" customHeight="1">
      <c r="A321" s="634"/>
      <c r="B321" s="634"/>
      <c r="C321" s="105" t="s">
        <v>8</v>
      </c>
      <c r="E321" s="84"/>
      <c r="F321" s="105" t="str">
        <f>IFERROR(IF(FIND("开",#REF!,1),"开","关"),"关")</f>
        <v>关</v>
      </c>
      <c r="G321" s="105" t="str">
        <f>IFERROR(IF(FIND("开",#REF!,1),"开","关"),"关")</f>
        <v>关</v>
      </c>
      <c r="H321" s="105" t="str">
        <f>IFERROR(IF(FIND("开",#REF!,1),"开","关"),"关")</f>
        <v>关</v>
      </c>
      <c r="I321" s="106" t="s">
        <v>77</v>
      </c>
      <c r="J321" s="259" t="s">
        <v>23</v>
      </c>
      <c r="K321" s="105" t="str">
        <f>IFERROR(IF(FIND("开",#REF!,1),"开","关"),"关")</f>
        <v>关</v>
      </c>
      <c r="L321" s="105" t="str">
        <f>IFERROR(IF(FIND("开",#REF!,1),"开","关"),"关")</f>
        <v>关</v>
      </c>
      <c r="M321" s="634"/>
      <c r="N321" s="75" t="s">
        <v>24</v>
      </c>
      <c r="O321" s="75" t="str">
        <f>MID(J321,FIND("setting",J321,1)+8,FIND("kg",J321,1)-FIND("setting",J321,1)-8)</f>
        <v xml:space="preserve"> 369.85</v>
      </c>
      <c r="Q321" s="75" t="str">
        <f>SUBSTITUTE(T321&amp;N321," ","")</f>
        <v>3.12.1DMF</v>
      </c>
      <c r="R321" s="74">
        <f>VLOOKUP(Q321,MOR投料表!A:L,9,FALSE)</f>
        <v>369.85</v>
      </c>
      <c r="T321" s="75" t="str">
        <f t="shared" si="79"/>
        <v>3.12.1</v>
      </c>
      <c r="U321" s="74" t="b">
        <f>TEXT(O321,"0.00")=TEXT(R321,"0.00")</f>
        <v>1</v>
      </c>
    </row>
    <row r="322" spans="1:22" ht="45" customHeight="1">
      <c r="A322" s="634"/>
      <c r="B322" s="634"/>
      <c r="C322" s="105" t="s">
        <v>8</v>
      </c>
      <c r="E322" s="77"/>
      <c r="F322" s="105" t="str">
        <f t="shared" ref="F322:H327" si="81">IFERROR(IF(FIND("开",F321,1),"开","关"),"关")</f>
        <v>关</v>
      </c>
      <c r="G322" s="105" t="str">
        <f t="shared" si="81"/>
        <v>关</v>
      </c>
      <c r="H322" s="105" t="str">
        <f t="shared" si="81"/>
        <v>关</v>
      </c>
      <c r="I322" s="106" t="s">
        <v>61</v>
      </c>
      <c r="J322" s="101" t="s">
        <v>26</v>
      </c>
      <c r="K322" s="105" t="str">
        <f>IFERROR(IF(FIND("开",K321,1),"开","关"),"关")</f>
        <v>关</v>
      </c>
      <c r="L322" s="105" t="str">
        <f>IFERROR(IF(FIND("开",L321,1),"开","关"),"关")</f>
        <v>关</v>
      </c>
      <c r="M322" s="634"/>
      <c r="T322" s="75" t="str">
        <f t="shared" si="79"/>
        <v>3.12.1</v>
      </c>
    </row>
    <row r="323" spans="1:22" ht="45" customHeight="1">
      <c r="A323" s="634"/>
      <c r="B323" s="634"/>
      <c r="C323" s="105" t="s">
        <v>8</v>
      </c>
      <c r="E323" s="77"/>
      <c r="F323" s="105" t="str">
        <f t="shared" si="81"/>
        <v>关</v>
      </c>
      <c r="G323" s="105" t="str">
        <f t="shared" si="81"/>
        <v>关</v>
      </c>
      <c r="H323" s="105" t="str">
        <f t="shared" si="81"/>
        <v>关</v>
      </c>
      <c r="I323" s="106" t="s">
        <v>78</v>
      </c>
      <c r="J323" s="101" t="s">
        <v>79</v>
      </c>
      <c r="K323" s="105" t="s">
        <v>37</v>
      </c>
      <c r="L323" s="105" t="str">
        <f>IFERROR(IF(FIND("开",L322,1),"开","关"),"关")</f>
        <v>关</v>
      </c>
      <c r="M323" s="634"/>
      <c r="T323" s="75" t="str">
        <f t="shared" si="79"/>
        <v>3.12.1</v>
      </c>
    </row>
    <row r="324" spans="1:22" ht="56.25" customHeight="1">
      <c r="A324" s="634"/>
      <c r="B324" s="634"/>
      <c r="C324" s="105" t="s">
        <v>8</v>
      </c>
      <c r="E324" s="77"/>
      <c r="F324" s="105" t="str">
        <f t="shared" si="81"/>
        <v>关</v>
      </c>
      <c r="G324" s="105" t="str">
        <f t="shared" si="81"/>
        <v>关</v>
      </c>
      <c r="H324" s="105" t="str">
        <f t="shared" si="81"/>
        <v>关</v>
      </c>
      <c r="I324" s="106" t="s">
        <v>286</v>
      </c>
      <c r="J324" s="260" t="s">
        <v>287</v>
      </c>
      <c r="K324" s="105" t="str">
        <f>IFERROR(IF(FIND("开",K323,1),"开","关"),"关")</f>
        <v>开</v>
      </c>
      <c r="L324" s="105" t="str">
        <f>IFERROR(IF(FIND("开",L323,1),"开","关"),"关")</f>
        <v>关</v>
      </c>
      <c r="M324" s="634"/>
      <c r="N324" s="75" t="str">
        <f>MID(J324,FIND("物料",J324,1)+3,FIND("投料重量",J324,1)-FIND("物料",J324,1)-4)</f>
        <v>Fmoc-L-Cys(Trt)-OH</v>
      </c>
      <c r="O324" s="75" t="e">
        <f>MID(J324,FIND("投料重量",J324,1)+5,FIND("kg",J324,1)-FIND("投料重量",J324,1)-5)</f>
        <v>#VALUE!</v>
      </c>
      <c r="P324" s="75" t="str">
        <f>SUBSTITUTE(RIGHT(J324,LEN(J324)-FIND("重量误差",J324,1)-4),"kg","")</f>
        <v>______</v>
      </c>
      <c r="Q324" s="75" t="str">
        <f>SUBSTITUTE(T324&amp;N324," ","")</f>
        <v>3.11.7Fmoc-L-Cys(Trt)-OH</v>
      </c>
      <c r="R324" s="74" t="e">
        <f>VLOOKUP(Q324,氨基酸和溶剂信息!A:P,8,FALSE)</f>
        <v>#N/A</v>
      </c>
      <c r="T324" s="75" t="str">
        <f>IF(ISBLANK(A324),T319,LEFT(A324,FIND(" ",A324,1)-1))</f>
        <v>3.11.7</v>
      </c>
      <c r="U324" s="74" t="e">
        <f>TEXT(O324,"0.00")=TEXT(R324,"0.00")</f>
        <v>#VALUE!</v>
      </c>
    </row>
    <row r="325" spans="1:22" ht="45" customHeight="1">
      <c r="A325" s="634"/>
      <c r="B325" s="634"/>
      <c r="C325" s="105" t="s">
        <v>8</v>
      </c>
      <c r="E325" s="77"/>
      <c r="F325" s="105" t="str">
        <f t="shared" si="81"/>
        <v>关</v>
      </c>
      <c r="G325" s="105" t="str">
        <f t="shared" si="81"/>
        <v>关</v>
      </c>
      <c r="H325" s="105" t="str">
        <f t="shared" si="81"/>
        <v>关</v>
      </c>
      <c r="I325" s="106" t="s">
        <v>217</v>
      </c>
      <c r="J325" s="101" t="s">
        <v>218</v>
      </c>
      <c r="K325" s="105" t="str">
        <f>IFERROR(IF(FIND("开",K324,1),"开","关"),"关")</f>
        <v>开</v>
      </c>
      <c r="L325" s="105" t="str">
        <f>IFERROR(IF(FIND("开",L324,1),"开","关"),"关")</f>
        <v>关</v>
      </c>
      <c r="M325" s="634"/>
      <c r="N325" s="75" t="str">
        <f>MID(J325,FIND("物料",J325,1)+3,FIND("投料重量",J325,1)-FIND("物料",J325,1)-4)</f>
        <v>OxymaPure</v>
      </c>
      <c r="O325" s="75" t="e">
        <f>MID(J325,FIND("投料重量",J325,1)+5,FIND("kg",J325,1)-FIND("投料重量",J325,1)-5)</f>
        <v>#VALUE!</v>
      </c>
      <c r="P325" s="75" t="str">
        <f>SUBSTITUTE(RIGHT(J325,LEN(J325)-FIND("重量误差",J325,1)-4),"kg","")</f>
        <v>______</v>
      </c>
      <c r="Q325" s="75" t="str">
        <f>SUBSTITUTE(T325&amp;N325," ","")</f>
        <v>3.11.7OxymaPure</v>
      </c>
      <c r="R325" s="74" t="e">
        <f>VLOOKUP(Q325,氨基酸和溶剂信息!A:P,8,FALSE)</f>
        <v>#N/A</v>
      </c>
      <c r="T325" s="75" t="str">
        <f>IF(ISBLANK(A325),T324,LEFT(A325,FIND(" ",A325,1)-1))</f>
        <v>3.11.7</v>
      </c>
      <c r="U325" s="74" t="e">
        <f>TEXT(O325,"0.00")=TEXT(R325,"0.00")</f>
        <v>#VALUE!</v>
      </c>
    </row>
    <row r="326" spans="1:22" ht="45" customHeight="1">
      <c r="A326" s="634"/>
      <c r="B326" s="634"/>
      <c r="C326" s="105" t="s">
        <v>8</v>
      </c>
      <c r="E326" s="77"/>
      <c r="F326" s="105" t="str">
        <f t="shared" si="81"/>
        <v>关</v>
      </c>
      <c r="G326" s="105" t="str">
        <f t="shared" si="81"/>
        <v>关</v>
      </c>
      <c r="H326" s="105" t="str">
        <f t="shared" si="81"/>
        <v>关</v>
      </c>
      <c r="I326" s="106" t="s">
        <v>82</v>
      </c>
      <c r="J326" s="261" t="s">
        <v>83</v>
      </c>
      <c r="K326" s="105" t="str">
        <f>IFERROR(IF(FIND("开",K325,1),"开","关"),"关")</f>
        <v>开</v>
      </c>
      <c r="L326" s="105" t="str">
        <f>IFERROR(IF(FIND("开",L325,1),"开","关"),"关")</f>
        <v>关</v>
      </c>
      <c r="M326" s="634"/>
      <c r="N326" s="75" t="s">
        <v>24</v>
      </c>
      <c r="O326" s="75" t="str">
        <f>MID(J326,FIND("setting",J326,1)+8,FIND("kg",J326,1)-FIND("setting",J326,1)-8)</f>
        <v xml:space="preserve"> 61.75</v>
      </c>
      <c r="Q326" s="75" t="str">
        <f>SUBSTITUTE(T326&amp;N326," ","")</f>
        <v>3.12.4DMF</v>
      </c>
      <c r="R326" s="74">
        <f>VLOOKUP(Q326,MOR投料表!A:L,9,FALSE)</f>
        <v>61.75</v>
      </c>
      <c r="T326" s="75" t="s">
        <v>288</v>
      </c>
      <c r="U326" s="74" t="b">
        <f>TEXT(O326,"0.00")=TEXT(R326,"0.00")</f>
        <v>1</v>
      </c>
    </row>
    <row r="327" spans="1:22" ht="45" customHeight="1">
      <c r="A327" s="634"/>
      <c r="B327" s="634"/>
      <c r="C327" s="105" t="s">
        <v>8</v>
      </c>
      <c r="E327" s="77"/>
      <c r="F327" s="105" t="str">
        <f t="shared" si="81"/>
        <v>关</v>
      </c>
      <c r="G327" s="105" t="str">
        <f t="shared" si="81"/>
        <v>关</v>
      </c>
      <c r="H327" s="105" t="str">
        <f t="shared" si="81"/>
        <v>关</v>
      </c>
      <c r="I327" s="106" t="s">
        <v>85</v>
      </c>
      <c r="J327" s="101" t="s">
        <v>86</v>
      </c>
      <c r="K327" s="105" t="str">
        <f>IFERROR(IF(FIND("开",K326,1),"开","关"),"关")</f>
        <v>开</v>
      </c>
      <c r="L327" s="105" t="str">
        <f>IFERROR(IF(FIND("开",L326,1),"开","关"),"关")</f>
        <v>关</v>
      </c>
      <c r="M327" s="634"/>
      <c r="T327" s="75" t="str">
        <f>IF(ISBLANK(A327),T326,LEFT(A327,FIND(" ",A327,1)-1))</f>
        <v>3.12.4</v>
      </c>
    </row>
    <row r="328" spans="1:22" ht="45" customHeight="1">
      <c r="A328" s="634"/>
      <c r="B328" s="634"/>
      <c r="C328" s="105" t="s">
        <v>8</v>
      </c>
      <c r="E328" s="77"/>
      <c r="I328" s="106" t="s">
        <v>93</v>
      </c>
      <c r="J328" s="262" t="s">
        <v>209</v>
      </c>
      <c r="M328" s="634"/>
      <c r="T328" s="75"/>
    </row>
    <row r="329" spans="1:22" ht="45" customHeight="1">
      <c r="A329" s="634"/>
      <c r="B329" s="634"/>
      <c r="C329" s="105" t="s">
        <v>8</v>
      </c>
      <c r="E329" s="77"/>
      <c r="F329" s="105" t="str">
        <f>IFERROR(IF(FIND("开",F327,1),"开","关"),"关")</f>
        <v>关</v>
      </c>
      <c r="G329" s="105" t="str">
        <f>IFERROR(IF(FIND("开",G327,1),"开","关"),"关")</f>
        <v>关</v>
      </c>
      <c r="H329" s="105" t="str">
        <f>IFERROR(IF(FIND("开",H327,1),"开","关"),"关")</f>
        <v>关</v>
      </c>
      <c r="I329" s="106" t="s">
        <v>95</v>
      </c>
      <c r="J329" s="263" t="s">
        <v>210</v>
      </c>
      <c r="K329" s="105" t="str">
        <f>IFERROR(IF(FIND("开",K327,1),"开","关"),"关")</f>
        <v>开</v>
      </c>
      <c r="L329" s="105" t="str">
        <f>IFERROR(IF(FIND("开",L327,1),"开","关"),"关")</f>
        <v>关</v>
      </c>
      <c r="M329" s="634"/>
      <c r="T329" s="75" t="str">
        <f>IF(ISBLANK(A329),T327,LEFT(A329,FIND(" ",A329,1)-1))</f>
        <v>3.12.4</v>
      </c>
    </row>
    <row r="330" spans="1:22" ht="45" customHeight="1">
      <c r="A330" s="634"/>
      <c r="B330" s="634"/>
      <c r="C330" s="105" t="s">
        <v>8</v>
      </c>
      <c r="E330" s="77"/>
      <c r="F330" s="105" t="str">
        <f t="shared" ref="F330:H335" si="82">IFERROR(IF(FIND("开",F329,1),"开","关"),"关")</f>
        <v>关</v>
      </c>
      <c r="G330" s="105" t="str">
        <f t="shared" si="82"/>
        <v>关</v>
      </c>
      <c r="H330" s="105" t="str">
        <f t="shared" si="82"/>
        <v>关</v>
      </c>
      <c r="I330" s="84" t="s">
        <v>254</v>
      </c>
      <c r="J330" s="264" t="s">
        <v>211</v>
      </c>
      <c r="K330" s="105" t="str">
        <f>IFERROR(IF(FIND("开",K329,1),"开","关"),"关")</f>
        <v>开</v>
      </c>
      <c r="L330" s="105" t="s">
        <v>42</v>
      </c>
      <c r="M330" s="634"/>
      <c r="N330" s="75"/>
      <c r="O330" s="75"/>
      <c r="P330" s="75"/>
      <c r="T330" s="75" t="str">
        <f t="shared" ref="T330:T335" si="83">IF(ISBLANK(A330),T329,LEFT(A330,FIND(" ",A330,1)-1))</f>
        <v>3.12.4</v>
      </c>
    </row>
    <row r="331" spans="1:22" ht="45" customHeight="1">
      <c r="A331" s="634"/>
      <c r="B331" s="634"/>
      <c r="C331" s="105" t="s">
        <v>8</v>
      </c>
      <c r="E331" s="77"/>
      <c r="F331" s="105" t="str">
        <f t="shared" si="82"/>
        <v>关</v>
      </c>
      <c r="G331" s="105" t="str">
        <f t="shared" si="82"/>
        <v>关</v>
      </c>
      <c r="H331" s="105" t="str">
        <f t="shared" si="82"/>
        <v>关</v>
      </c>
      <c r="I331" s="84" t="s">
        <v>89</v>
      </c>
      <c r="J331" s="101" t="s">
        <v>212</v>
      </c>
      <c r="K331" s="105" t="str">
        <f>IFERROR(IF(FIND("开",K330,1),"开","关"),"关")</f>
        <v>开</v>
      </c>
      <c r="L331" s="105" t="s">
        <v>37</v>
      </c>
      <c r="M331" s="634"/>
      <c r="N331" s="75"/>
      <c r="O331" s="75"/>
      <c r="P331" s="75"/>
      <c r="S331" s="74">
        <f>ROUND(R331*0.03,2)</f>
        <v>0</v>
      </c>
      <c r="T331" s="75" t="str">
        <f t="shared" si="83"/>
        <v>3.12.4</v>
      </c>
      <c r="U331" s="74" t="b">
        <f>TEXT(O331,"0.00")=TEXT(R331,"0.00")</f>
        <v>1</v>
      </c>
      <c r="V331" s="74">
        <f>S331-P331</f>
        <v>0</v>
      </c>
    </row>
    <row r="332" spans="1:22" ht="45" customHeight="1">
      <c r="A332" s="634"/>
      <c r="B332" s="634"/>
      <c r="C332" s="105" t="s">
        <v>8</v>
      </c>
      <c r="E332" s="77"/>
      <c r="F332" s="105" t="str">
        <f t="shared" si="82"/>
        <v>关</v>
      </c>
      <c r="G332" s="105" t="str">
        <f t="shared" si="82"/>
        <v>关</v>
      </c>
      <c r="H332" s="105" t="str">
        <f t="shared" si="82"/>
        <v>关</v>
      </c>
      <c r="I332" s="106" t="s">
        <v>91</v>
      </c>
      <c r="J332" s="265" t="s">
        <v>213</v>
      </c>
      <c r="K332" s="105" t="str">
        <f>IFERROR(IF(FIND("开",K331,1),"开","关"),"关")</f>
        <v>开</v>
      </c>
      <c r="L332" s="105" t="str">
        <f>IFERROR(IF(FIND("开",L331,1),"开","关"),"关")</f>
        <v>开</v>
      </c>
      <c r="M332" s="634"/>
      <c r="N332" s="75"/>
      <c r="O332" s="75"/>
      <c r="P332" s="75"/>
      <c r="S332" s="74">
        <f>ROUND(R332*0.03,2)</f>
        <v>0</v>
      </c>
      <c r="T332" s="75" t="str">
        <f t="shared" si="83"/>
        <v>3.12.4</v>
      </c>
      <c r="U332" s="74" t="b">
        <f>TEXT(O332,"0.00")=TEXT(R332,"0.00")</f>
        <v>1</v>
      </c>
      <c r="V332" s="74">
        <f>S332-P332</f>
        <v>0</v>
      </c>
    </row>
    <row r="333" spans="1:22" ht="45" customHeight="1">
      <c r="A333" s="634"/>
      <c r="B333" s="634"/>
      <c r="C333" s="105" t="s">
        <v>8</v>
      </c>
      <c r="D333" s="106"/>
      <c r="E333" s="78"/>
      <c r="F333" s="105" t="str">
        <f t="shared" si="82"/>
        <v>关</v>
      </c>
      <c r="G333" s="105" t="str">
        <f t="shared" si="82"/>
        <v>关</v>
      </c>
      <c r="H333" s="105" t="str">
        <f t="shared" si="82"/>
        <v>关</v>
      </c>
      <c r="I333" s="106" t="s">
        <v>108</v>
      </c>
      <c r="J333" s="266" t="s">
        <v>289</v>
      </c>
      <c r="K333" s="105" t="str">
        <f>IFERROR(IF(FIND("开",K332,1),"开","关"),"关")</f>
        <v>开</v>
      </c>
      <c r="L333" s="105" t="str">
        <f>IFERROR(IF(FIND("开",L332,1),"开","关"),"关")</f>
        <v>开</v>
      </c>
      <c r="M333" s="634"/>
      <c r="N333" s="75"/>
      <c r="O333" s="75"/>
      <c r="T333" s="75" t="str">
        <f t="shared" si="83"/>
        <v>3.12.4</v>
      </c>
    </row>
    <row r="334" spans="1:22" ht="45" customHeight="1">
      <c r="A334" s="634"/>
      <c r="B334" s="634"/>
      <c r="C334" s="105" t="s">
        <v>30</v>
      </c>
      <c r="D334" s="106" t="s">
        <v>128</v>
      </c>
      <c r="E334" s="267" t="s">
        <v>258</v>
      </c>
      <c r="F334" s="105" t="str">
        <f t="shared" si="82"/>
        <v>关</v>
      </c>
      <c r="G334" s="105" t="str">
        <f t="shared" si="82"/>
        <v>关</v>
      </c>
      <c r="H334" s="105" t="str">
        <f t="shared" si="82"/>
        <v>关</v>
      </c>
      <c r="I334" s="106"/>
      <c r="J334" s="101"/>
      <c r="K334" s="105" t="str">
        <f>IFERROR(IF(FIND("开",K333,1),"开","关"),"关")</f>
        <v>开</v>
      </c>
      <c r="L334" s="105" t="str">
        <f>IFERROR(IF(FIND("开",L333,1),"开","关"),"关")</f>
        <v>开</v>
      </c>
      <c r="M334" s="634"/>
      <c r="N334" s="75"/>
      <c r="O334" s="75"/>
      <c r="T334" s="75" t="str">
        <f t="shared" si="83"/>
        <v>3.12.4</v>
      </c>
    </row>
    <row r="335" spans="1:22" ht="45" customHeight="1">
      <c r="A335" s="634"/>
      <c r="B335" s="634"/>
      <c r="C335" s="105" t="s">
        <v>8</v>
      </c>
      <c r="E335" s="77"/>
      <c r="F335" s="105" t="str">
        <f t="shared" si="82"/>
        <v>关</v>
      </c>
      <c r="G335" s="105" t="str">
        <f t="shared" si="82"/>
        <v>关</v>
      </c>
      <c r="H335" s="105" t="str">
        <f t="shared" si="82"/>
        <v>关</v>
      </c>
      <c r="I335" s="106" t="s">
        <v>110</v>
      </c>
      <c r="J335" s="101" t="s">
        <v>111</v>
      </c>
      <c r="K335" s="105" t="s">
        <v>42</v>
      </c>
      <c r="L335" s="105" t="str">
        <f>IFERROR(IF(FIND("开",L334,1),"开","关"),"关")</f>
        <v>开</v>
      </c>
      <c r="M335" s="634"/>
      <c r="N335" s="75"/>
      <c r="O335" s="75"/>
      <c r="T335" s="75" t="str">
        <f t="shared" si="83"/>
        <v>3.12.4</v>
      </c>
      <c r="U335" s="74" t="b">
        <f>TEXT(O335,"0.00")=TEXT(R335,"0.00")</f>
        <v>1</v>
      </c>
    </row>
    <row r="336" spans="1:22" ht="45" customHeight="1">
      <c r="A336" s="634"/>
      <c r="B336" s="634"/>
      <c r="C336" s="105" t="s">
        <v>8</v>
      </c>
      <c r="E336" s="77"/>
      <c r="I336" s="106" t="s">
        <v>112</v>
      </c>
      <c r="J336" s="268" t="s">
        <v>113</v>
      </c>
      <c r="M336" s="635"/>
      <c r="N336" s="75"/>
      <c r="O336" s="75"/>
      <c r="T336" s="75"/>
    </row>
    <row r="337" spans="1:21" ht="45" customHeight="1">
      <c r="A337" s="595" t="s">
        <v>290</v>
      </c>
      <c r="B337" s="675" t="s">
        <v>115</v>
      </c>
      <c r="C337" s="105" t="s">
        <v>30</v>
      </c>
      <c r="D337" s="106" t="s">
        <v>31</v>
      </c>
      <c r="E337" s="269" t="s">
        <v>32</v>
      </c>
      <c r="F337" s="105" t="str">
        <f>IFERROR(IF(FIND("开",F335,1),"开","关"),"关")</f>
        <v>关</v>
      </c>
      <c r="G337" s="105" t="str">
        <f>IFERROR(IF(FIND("开",G335,1),"开","关"),"关")</f>
        <v>关</v>
      </c>
      <c r="H337" s="105" t="str">
        <f>IFERROR(IF(FIND("开",H335,1),"开","关"),"关")</f>
        <v>关</v>
      </c>
      <c r="I337" s="106"/>
      <c r="J337" s="101"/>
      <c r="K337" s="105" t="str">
        <f>IFERROR(IF(FIND("开",K335,1),"开","关"),"关")</f>
        <v>关</v>
      </c>
      <c r="L337" s="105" t="str">
        <f>IFERROR(IF(FIND("开",L335,1),"开","关"),"关")</f>
        <v>开</v>
      </c>
      <c r="M337" s="601">
        <v>1</v>
      </c>
      <c r="T337" s="75" t="str">
        <f>IF(ISBLANK(A337),T335,LEFT(A337,FIND(" ",A337,1)-1))</f>
        <v>3.13.1</v>
      </c>
    </row>
    <row r="338" spans="1:21" ht="45" customHeight="1">
      <c r="A338" s="596"/>
      <c r="B338" s="622"/>
      <c r="C338" s="105" t="s">
        <v>8</v>
      </c>
      <c r="D338" s="106"/>
      <c r="E338" s="101"/>
      <c r="I338" s="106" t="s">
        <v>116</v>
      </c>
      <c r="J338" s="270" t="s">
        <v>117</v>
      </c>
      <c r="M338" s="601"/>
      <c r="T338" s="75"/>
    </row>
    <row r="339" spans="1:21" ht="45" customHeight="1">
      <c r="A339" s="596"/>
      <c r="B339" s="622"/>
      <c r="C339" s="105" t="s">
        <v>30</v>
      </c>
      <c r="D339" s="106" t="s">
        <v>33</v>
      </c>
      <c r="E339" s="101" t="s">
        <v>34</v>
      </c>
      <c r="F339" s="105" t="str">
        <f>IFERROR(IF(FIND("开",F337,1),"开","关"),"关")</f>
        <v>关</v>
      </c>
      <c r="G339" s="105" t="str">
        <f>IFERROR(IF(FIND("开",G337,1),"开","关"),"关")</f>
        <v>关</v>
      </c>
      <c r="H339" s="105" t="str">
        <f>IFERROR(IF(FIND("开",H337,1),"开","关"),"关")</f>
        <v>关</v>
      </c>
      <c r="I339" s="106"/>
      <c r="J339" s="101"/>
      <c r="K339" s="105" t="str">
        <f>IFERROR(IF(FIND("开",K337,1),"开","关"),"关")</f>
        <v>关</v>
      </c>
      <c r="L339" s="105" t="str">
        <f>IFERROR(IF(FIND("开",L337,1),"开","关"),"关")</f>
        <v>开</v>
      </c>
      <c r="M339" s="601"/>
      <c r="T339" s="75" t="str">
        <f>IF(ISBLANK(A339),T337,LEFT(A339,FIND(" ",A339,1)-1))</f>
        <v>3.13.1</v>
      </c>
    </row>
    <row r="340" spans="1:21" ht="45" customHeight="1">
      <c r="A340" s="596"/>
      <c r="B340" s="622"/>
      <c r="C340" s="105" t="s">
        <v>8</v>
      </c>
      <c r="D340" s="105"/>
      <c r="E340" s="104"/>
      <c r="F340" s="105" t="str">
        <f t="shared" ref="F340:H341" si="84">IFERROR(IF(FIND("开",F339,1),"开","关"),"关")</f>
        <v>关</v>
      </c>
      <c r="G340" s="105" t="str">
        <f t="shared" si="84"/>
        <v>关</v>
      </c>
      <c r="H340" s="105" t="str">
        <f t="shared" si="84"/>
        <v>关</v>
      </c>
      <c r="I340" s="106" t="s">
        <v>22</v>
      </c>
      <c r="J340" s="271" t="s">
        <v>118</v>
      </c>
      <c r="K340" s="105" t="str">
        <f t="shared" ref="K340:L346" si="85">IFERROR(IF(FIND("开",K339,1),"开","关"),"关")</f>
        <v>关</v>
      </c>
      <c r="L340" s="105" t="str">
        <f t="shared" si="85"/>
        <v>开</v>
      </c>
      <c r="M340" s="601"/>
      <c r="N340" s="75" t="s">
        <v>24</v>
      </c>
      <c r="O340" s="75" t="str">
        <f>MID(J340,FIND("setting",J340,1)+8,FIND("kg",J340,1)-FIND("setting",J340,1)-8)</f>
        <v xml:space="preserve"> 61.75</v>
      </c>
      <c r="Q340" s="75" t="str">
        <f>SUBSTITUTE(T340&amp;N340," ","")</f>
        <v>3.13.2DMF</v>
      </c>
      <c r="R340" s="74">
        <f>VLOOKUP(Q340,MOR投料表!A:L,9,FALSE)</f>
        <v>61.75</v>
      </c>
      <c r="T340" s="75" t="s">
        <v>291</v>
      </c>
      <c r="U340" s="74" t="b">
        <f>TEXT(O340,"0.00")=TEXT(R340,"0.00")</f>
        <v>1</v>
      </c>
    </row>
    <row r="341" spans="1:21" ht="112.5" customHeight="1">
      <c r="A341" s="90" t="s">
        <v>292</v>
      </c>
      <c r="B341" s="272" t="s">
        <v>293</v>
      </c>
      <c r="C341" s="76"/>
      <c r="D341" s="273" t="s">
        <v>294</v>
      </c>
      <c r="E341" s="105"/>
      <c r="F341" s="105" t="str">
        <f t="shared" si="84"/>
        <v>关</v>
      </c>
      <c r="G341" s="105" t="str">
        <f t="shared" si="84"/>
        <v>关</v>
      </c>
      <c r="H341" s="105" t="str">
        <f t="shared" si="84"/>
        <v>关</v>
      </c>
      <c r="I341" s="106"/>
      <c r="J341" s="101"/>
      <c r="K341" s="105" t="str">
        <f t="shared" si="85"/>
        <v>关</v>
      </c>
      <c r="L341" s="105" t="str">
        <f t="shared" si="85"/>
        <v>开</v>
      </c>
      <c r="T341" s="75" t="str">
        <f t="shared" ref="T341:T361" si="86">IF(ISBLANK(A341),T340,LEFT(A341,FIND(" ",A341,1)-1))</f>
        <v>3.13.3</v>
      </c>
    </row>
    <row r="342" spans="1:21" ht="45" customHeight="1">
      <c r="A342" s="595" t="s">
        <v>296</v>
      </c>
      <c r="B342" s="625" t="s">
        <v>297</v>
      </c>
      <c r="C342" s="105" t="s">
        <v>3</v>
      </c>
      <c r="D342" s="106" t="s">
        <v>35</v>
      </c>
      <c r="E342" s="101" t="s">
        <v>63</v>
      </c>
      <c r="F342" s="105" t="s">
        <v>37</v>
      </c>
      <c r="G342" s="105" t="str">
        <f>IFERROR(IF(FIND("开",G341,1),"开","关"),"关")</f>
        <v>关</v>
      </c>
      <c r="H342" s="105" t="str">
        <f>IFERROR(IF(FIND("开",H341,1),"开","关"),"关")</f>
        <v>关</v>
      </c>
      <c r="I342" s="106"/>
      <c r="J342" s="101"/>
      <c r="K342" s="105" t="str">
        <f t="shared" si="85"/>
        <v>关</v>
      </c>
      <c r="L342" s="105" t="str">
        <f t="shared" si="85"/>
        <v>开</v>
      </c>
      <c r="M342" s="598">
        <v>1</v>
      </c>
      <c r="T342" s="75" t="str">
        <f t="shared" si="86"/>
        <v>3.13.5</v>
      </c>
    </row>
    <row r="343" spans="1:21" ht="45" customHeight="1">
      <c r="A343" s="596"/>
      <c r="B343" s="599"/>
      <c r="C343" s="105" t="s">
        <v>3</v>
      </c>
      <c r="D343" s="106" t="s">
        <v>64</v>
      </c>
      <c r="E343" s="101" t="s">
        <v>65</v>
      </c>
      <c r="F343" s="105" t="str">
        <f t="shared" ref="F343:F360" si="87">IFERROR(IF(FIND("开",F342,1),"开","关"),"关")</f>
        <v>开</v>
      </c>
      <c r="G343" s="105" t="s">
        <v>37</v>
      </c>
      <c r="H343" s="105" t="str">
        <f t="shared" ref="H343:H348" si="88">IFERROR(IF(FIND("开",H342,1),"开","关"),"关")</f>
        <v>关</v>
      </c>
      <c r="I343" s="106"/>
      <c r="J343" s="101"/>
      <c r="K343" s="105" t="str">
        <f t="shared" si="85"/>
        <v>关</v>
      </c>
      <c r="L343" s="105" t="str">
        <f t="shared" si="85"/>
        <v>开</v>
      </c>
      <c r="M343" s="599"/>
      <c r="T343" s="75" t="str">
        <f t="shared" si="86"/>
        <v>3.13.5</v>
      </c>
    </row>
    <row r="344" spans="1:21" ht="45" customHeight="1">
      <c r="A344" s="596"/>
      <c r="B344" s="599"/>
      <c r="C344" s="105" t="s">
        <v>8</v>
      </c>
      <c r="D344" s="105"/>
      <c r="E344" s="104"/>
      <c r="F344" s="105" t="str">
        <f t="shared" si="87"/>
        <v>开</v>
      </c>
      <c r="G344" s="105" t="str">
        <f t="shared" ref="G344:G359" si="89">IFERROR(IF(FIND("开",G343,1),"开","关"),"关")</f>
        <v>开</v>
      </c>
      <c r="H344" s="105" t="str">
        <f t="shared" si="88"/>
        <v>关</v>
      </c>
      <c r="I344" s="106" t="s">
        <v>61</v>
      </c>
      <c r="J344" s="101" t="s">
        <v>26</v>
      </c>
      <c r="K344" s="105" t="str">
        <f t="shared" si="85"/>
        <v>关</v>
      </c>
      <c r="L344" s="105" t="str">
        <f t="shared" si="85"/>
        <v>开</v>
      </c>
      <c r="M344" s="599"/>
      <c r="T344" s="75" t="str">
        <f t="shared" si="86"/>
        <v>3.13.5</v>
      </c>
    </row>
    <row r="345" spans="1:21" ht="45" customHeight="1">
      <c r="A345" s="596"/>
      <c r="B345" s="599"/>
      <c r="C345" s="105" t="s">
        <v>30</v>
      </c>
      <c r="D345" s="106" t="s">
        <v>31</v>
      </c>
      <c r="E345" s="274" t="s">
        <v>32</v>
      </c>
      <c r="F345" s="105" t="str">
        <f t="shared" si="87"/>
        <v>开</v>
      </c>
      <c r="G345" s="105" t="str">
        <f t="shared" si="89"/>
        <v>开</v>
      </c>
      <c r="H345" s="105" t="str">
        <f t="shared" si="88"/>
        <v>关</v>
      </c>
      <c r="I345" s="106"/>
      <c r="J345" s="101"/>
      <c r="K345" s="105" t="str">
        <f t="shared" si="85"/>
        <v>关</v>
      </c>
      <c r="L345" s="105" t="str">
        <f t="shared" si="85"/>
        <v>开</v>
      </c>
      <c r="M345" s="599"/>
      <c r="T345" s="75" t="str">
        <f t="shared" si="86"/>
        <v>3.13.5</v>
      </c>
    </row>
    <row r="346" spans="1:21" ht="45" customHeight="1">
      <c r="A346" s="596"/>
      <c r="B346" s="599"/>
      <c r="C346" s="105" t="s">
        <v>30</v>
      </c>
      <c r="D346" s="106" t="s">
        <v>33</v>
      </c>
      <c r="E346" s="101" t="s">
        <v>34</v>
      </c>
      <c r="F346" s="105" t="str">
        <f t="shared" si="87"/>
        <v>开</v>
      </c>
      <c r="G346" s="105" t="str">
        <f t="shared" si="89"/>
        <v>开</v>
      </c>
      <c r="H346" s="105" t="str">
        <f t="shared" si="88"/>
        <v>关</v>
      </c>
      <c r="I346" s="106"/>
      <c r="J346" s="101"/>
      <c r="K346" s="105" t="str">
        <f t="shared" si="85"/>
        <v>关</v>
      </c>
      <c r="L346" s="105" t="str">
        <f t="shared" si="85"/>
        <v>开</v>
      </c>
      <c r="M346" s="599"/>
      <c r="N346" s="75"/>
      <c r="O346" s="75"/>
      <c r="T346" s="75" t="str">
        <f t="shared" si="86"/>
        <v>3.13.5</v>
      </c>
      <c r="U346" s="74" t="b">
        <f>TEXT(O346,"0.00")=TEXT(R346,"0.00")</f>
        <v>1</v>
      </c>
    </row>
    <row r="347" spans="1:21" ht="45" customHeight="1">
      <c r="A347" s="596"/>
      <c r="B347" s="599"/>
      <c r="C347" s="105" t="s">
        <v>8</v>
      </c>
      <c r="D347" s="106"/>
      <c r="E347" s="78"/>
      <c r="F347" s="105" t="str">
        <f t="shared" si="87"/>
        <v>开</v>
      </c>
      <c r="G347" s="105" t="str">
        <f t="shared" si="89"/>
        <v>开</v>
      </c>
      <c r="H347" s="105" t="str">
        <f t="shared" si="88"/>
        <v>关</v>
      </c>
      <c r="I347" s="106" t="s">
        <v>123</v>
      </c>
      <c r="J347" s="101" t="s">
        <v>232</v>
      </c>
      <c r="K347" s="105" t="str">
        <f t="shared" ref="K347:K361" si="90">IFERROR(IF(FIND("开",K346,1),"开","关"),"关")</f>
        <v>关</v>
      </c>
      <c r="L347" s="105" t="s">
        <v>42</v>
      </c>
      <c r="M347" s="599"/>
      <c r="T347" s="75" t="str">
        <f t="shared" si="86"/>
        <v>3.13.5</v>
      </c>
    </row>
    <row r="348" spans="1:21" ht="45" customHeight="1">
      <c r="A348" s="596"/>
      <c r="B348" s="599"/>
      <c r="C348" s="105" t="s">
        <v>8</v>
      </c>
      <c r="D348" s="106"/>
      <c r="E348" s="78"/>
      <c r="F348" s="105" t="str">
        <f t="shared" si="87"/>
        <v>开</v>
      </c>
      <c r="G348" s="105" t="str">
        <f t="shared" si="89"/>
        <v>开</v>
      </c>
      <c r="H348" s="105" t="str">
        <f t="shared" si="88"/>
        <v>关</v>
      </c>
      <c r="I348" s="106" t="s">
        <v>125</v>
      </c>
      <c r="J348" s="101" t="s">
        <v>126</v>
      </c>
      <c r="K348" s="105" t="str">
        <f t="shared" si="90"/>
        <v>关</v>
      </c>
      <c r="L348" s="105" t="str">
        <f t="shared" ref="L348:L361" si="91">IFERROR(IF(FIND("开",L347,1),"开","关"),"关")</f>
        <v>关</v>
      </c>
      <c r="M348" s="599"/>
      <c r="T348" s="75" t="str">
        <f t="shared" si="86"/>
        <v>3.13.5</v>
      </c>
    </row>
    <row r="349" spans="1:21" ht="45" customHeight="1">
      <c r="A349" s="596"/>
      <c r="B349" s="599"/>
      <c r="C349" s="105" t="s">
        <v>3</v>
      </c>
      <c r="D349" s="106" t="s">
        <v>130</v>
      </c>
      <c r="E349" s="275" t="s">
        <v>131</v>
      </c>
      <c r="F349" s="105" t="str">
        <f t="shared" si="87"/>
        <v>开</v>
      </c>
      <c r="G349" s="105" t="str">
        <f t="shared" si="89"/>
        <v>开</v>
      </c>
      <c r="H349" s="105" t="s">
        <v>42</v>
      </c>
      <c r="I349" s="74"/>
      <c r="J349" s="77"/>
      <c r="K349" s="105" t="str">
        <f t="shared" si="90"/>
        <v>关</v>
      </c>
      <c r="L349" s="105" t="str">
        <f t="shared" si="91"/>
        <v>关</v>
      </c>
      <c r="M349" s="599"/>
      <c r="T349" s="75" t="str">
        <f t="shared" si="86"/>
        <v>3.13.5</v>
      </c>
    </row>
    <row r="350" spans="1:21" ht="45" customHeight="1">
      <c r="A350" s="596"/>
      <c r="B350" s="599"/>
      <c r="C350" s="105" t="s">
        <v>3</v>
      </c>
      <c r="D350" s="106" t="s">
        <v>52</v>
      </c>
      <c r="E350" s="101" t="s">
        <v>298</v>
      </c>
      <c r="F350" s="105" t="str">
        <f t="shared" si="87"/>
        <v>开</v>
      </c>
      <c r="G350" s="105" t="str">
        <f t="shared" si="89"/>
        <v>开</v>
      </c>
      <c r="H350" s="105" t="s">
        <v>37</v>
      </c>
      <c r="I350" s="74"/>
      <c r="J350" s="77"/>
      <c r="K350" s="105" t="str">
        <f t="shared" si="90"/>
        <v>关</v>
      </c>
      <c r="L350" s="105" t="str">
        <f t="shared" si="91"/>
        <v>关</v>
      </c>
      <c r="M350" s="599"/>
      <c r="T350" s="75" t="str">
        <f t="shared" si="86"/>
        <v>3.13.5</v>
      </c>
    </row>
    <row r="351" spans="1:21" ht="45" customHeight="1">
      <c r="A351" s="596"/>
      <c r="B351" s="599"/>
      <c r="C351" s="105" t="s">
        <v>3</v>
      </c>
      <c r="D351" s="106" t="s">
        <v>66</v>
      </c>
      <c r="E351" s="276" t="s">
        <v>299</v>
      </c>
      <c r="F351" s="105" t="str">
        <f t="shared" si="87"/>
        <v>开</v>
      </c>
      <c r="G351" s="105" t="str">
        <f t="shared" si="89"/>
        <v>开</v>
      </c>
      <c r="H351" s="105" t="str">
        <f>IFERROR(IF(FIND("开",H350,1),"开","关"),"关")</f>
        <v>开</v>
      </c>
      <c r="I351" s="74"/>
      <c r="J351" s="77"/>
      <c r="K351" s="105" t="str">
        <f t="shared" si="90"/>
        <v>关</v>
      </c>
      <c r="L351" s="105" t="str">
        <f t="shared" si="91"/>
        <v>关</v>
      </c>
      <c r="M351" s="599"/>
      <c r="T351" s="75" t="str">
        <f t="shared" si="86"/>
        <v>3.13.5</v>
      </c>
    </row>
    <row r="352" spans="1:21" ht="45" customHeight="1">
      <c r="A352" s="596"/>
      <c r="B352" s="599"/>
      <c r="C352" s="105" t="s">
        <v>3</v>
      </c>
      <c r="D352" s="106" t="s">
        <v>130</v>
      </c>
      <c r="E352" s="101" t="s">
        <v>300</v>
      </c>
      <c r="F352" s="105" t="str">
        <f t="shared" si="87"/>
        <v>开</v>
      </c>
      <c r="G352" s="105" t="str">
        <f t="shared" si="89"/>
        <v>开</v>
      </c>
      <c r="H352" s="105" t="s">
        <v>42</v>
      </c>
      <c r="I352" s="74"/>
      <c r="J352" s="77"/>
      <c r="K352" s="105" t="str">
        <f t="shared" si="90"/>
        <v>关</v>
      </c>
      <c r="L352" s="105" t="str">
        <f t="shared" si="91"/>
        <v>关</v>
      </c>
      <c r="M352" s="599"/>
      <c r="T352" s="75" t="str">
        <f t="shared" si="86"/>
        <v>3.13.5</v>
      </c>
    </row>
    <row r="353" spans="1:21" ht="45" customHeight="1">
      <c r="A353" s="596"/>
      <c r="B353" s="599"/>
      <c r="C353" s="105" t="s">
        <v>3</v>
      </c>
      <c r="D353" s="106" t="s">
        <v>52</v>
      </c>
      <c r="E353" s="101" t="s">
        <v>301</v>
      </c>
      <c r="F353" s="105" t="str">
        <f t="shared" si="87"/>
        <v>开</v>
      </c>
      <c r="G353" s="105" t="str">
        <f t="shared" si="89"/>
        <v>开</v>
      </c>
      <c r="H353" s="105" t="s">
        <v>37</v>
      </c>
      <c r="I353" s="74"/>
      <c r="J353" s="77"/>
      <c r="K353" s="105" t="str">
        <f t="shared" si="90"/>
        <v>关</v>
      </c>
      <c r="L353" s="105" t="str">
        <f t="shared" si="91"/>
        <v>关</v>
      </c>
      <c r="M353" s="599"/>
      <c r="T353" s="75" t="str">
        <f t="shared" si="86"/>
        <v>3.13.5</v>
      </c>
    </row>
    <row r="354" spans="1:21" ht="45" customHeight="1">
      <c r="A354" s="596"/>
      <c r="B354" s="599"/>
      <c r="C354" s="105" t="s">
        <v>3</v>
      </c>
      <c r="D354" s="106" t="s">
        <v>302</v>
      </c>
      <c r="E354" s="277" t="s">
        <v>303</v>
      </c>
      <c r="F354" s="105" t="str">
        <f t="shared" si="87"/>
        <v>开</v>
      </c>
      <c r="G354" s="105" t="str">
        <f t="shared" si="89"/>
        <v>开</v>
      </c>
      <c r="H354" s="105" t="str">
        <f>IFERROR(IF(FIND("开",H353,1),"开","关"),"关")</f>
        <v>开</v>
      </c>
      <c r="I354" s="74"/>
      <c r="J354" s="77"/>
      <c r="K354" s="105" t="str">
        <f t="shared" si="90"/>
        <v>关</v>
      </c>
      <c r="L354" s="105" t="str">
        <f t="shared" si="91"/>
        <v>关</v>
      </c>
      <c r="M354" s="599"/>
      <c r="T354" s="75" t="str">
        <f t="shared" si="86"/>
        <v>3.13.5</v>
      </c>
    </row>
    <row r="355" spans="1:21" ht="45" customHeight="1">
      <c r="A355" s="596"/>
      <c r="B355" s="599"/>
      <c r="C355" s="105" t="s">
        <v>3</v>
      </c>
      <c r="D355" s="106" t="s">
        <v>130</v>
      </c>
      <c r="E355" s="101" t="s">
        <v>304</v>
      </c>
      <c r="F355" s="105" t="str">
        <f t="shared" si="87"/>
        <v>开</v>
      </c>
      <c r="G355" s="105" t="str">
        <f t="shared" si="89"/>
        <v>开</v>
      </c>
      <c r="H355" s="105" t="s">
        <v>42</v>
      </c>
      <c r="I355" s="74"/>
      <c r="J355" s="77"/>
      <c r="K355" s="105" t="str">
        <f t="shared" si="90"/>
        <v>关</v>
      </c>
      <c r="L355" s="105" t="str">
        <f t="shared" si="91"/>
        <v>关</v>
      </c>
      <c r="M355" s="599"/>
      <c r="N355" s="75"/>
      <c r="O355" s="75"/>
      <c r="T355" s="75" t="str">
        <f t="shared" si="86"/>
        <v>3.13.5</v>
      </c>
      <c r="U355" s="74" t="b">
        <f>TEXT(O355,"0.00")=TEXT(R355,"0.00")</f>
        <v>1</v>
      </c>
    </row>
    <row r="356" spans="1:21" ht="45" customHeight="1">
      <c r="A356" s="596"/>
      <c r="B356" s="599"/>
      <c r="C356" s="105" t="s">
        <v>3</v>
      </c>
      <c r="D356" s="106" t="s">
        <v>52</v>
      </c>
      <c r="E356" s="278" t="s">
        <v>305</v>
      </c>
      <c r="F356" s="105" t="str">
        <f t="shared" si="87"/>
        <v>开</v>
      </c>
      <c r="G356" s="105" t="str">
        <f t="shared" si="89"/>
        <v>开</v>
      </c>
      <c r="H356" s="105" t="s">
        <v>37</v>
      </c>
      <c r="I356" s="74"/>
      <c r="J356" s="77"/>
      <c r="K356" s="105" t="str">
        <f t="shared" si="90"/>
        <v>关</v>
      </c>
      <c r="L356" s="105" t="str">
        <f t="shared" si="91"/>
        <v>关</v>
      </c>
      <c r="M356" s="599"/>
      <c r="N356" s="76"/>
      <c r="O356" s="76"/>
      <c r="P356" s="76"/>
      <c r="Q356" s="76"/>
      <c r="T356" s="75" t="str">
        <f t="shared" si="86"/>
        <v>3.13.5</v>
      </c>
    </row>
    <row r="357" spans="1:21" ht="45" customHeight="1">
      <c r="A357" s="596"/>
      <c r="B357" s="599"/>
      <c r="C357" s="105" t="s">
        <v>3</v>
      </c>
      <c r="D357" s="106" t="s">
        <v>66</v>
      </c>
      <c r="E357" s="279" t="s">
        <v>306</v>
      </c>
      <c r="F357" s="105" t="str">
        <f t="shared" si="87"/>
        <v>开</v>
      </c>
      <c r="G357" s="105" t="str">
        <f t="shared" si="89"/>
        <v>开</v>
      </c>
      <c r="H357" s="105" t="str">
        <f>IFERROR(IF(FIND("开",H356,1),"开","关"),"关")</f>
        <v>开</v>
      </c>
      <c r="I357" s="74"/>
      <c r="J357" s="77"/>
      <c r="K357" s="105" t="str">
        <f t="shared" si="90"/>
        <v>关</v>
      </c>
      <c r="L357" s="105" t="str">
        <f t="shared" si="91"/>
        <v>关</v>
      </c>
      <c r="M357" s="599"/>
      <c r="T357" s="75" t="str">
        <f t="shared" si="86"/>
        <v>3.13.5</v>
      </c>
    </row>
    <row r="358" spans="1:21" ht="45" customHeight="1">
      <c r="A358" s="596"/>
      <c r="B358" s="599"/>
      <c r="C358" s="105" t="s">
        <v>3</v>
      </c>
      <c r="D358" s="106" t="s">
        <v>128</v>
      </c>
      <c r="E358" s="280" t="s">
        <v>307</v>
      </c>
      <c r="F358" s="105" t="str">
        <f t="shared" si="87"/>
        <v>开</v>
      </c>
      <c r="G358" s="105" t="str">
        <f t="shared" si="89"/>
        <v>开</v>
      </c>
      <c r="H358" s="105" t="str">
        <f>IFERROR(IF(FIND("开",H357,1),"开","关"),"关")</f>
        <v>开</v>
      </c>
      <c r="I358" s="74"/>
      <c r="J358" s="77"/>
      <c r="K358" s="105" t="str">
        <f t="shared" si="90"/>
        <v>关</v>
      </c>
      <c r="L358" s="105" t="str">
        <f t="shared" si="91"/>
        <v>关</v>
      </c>
      <c r="M358" s="599"/>
      <c r="T358" s="75" t="str">
        <f t="shared" si="86"/>
        <v>3.13.5</v>
      </c>
    </row>
    <row r="359" spans="1:21" ht="45" customHeight="1">
      <c r="A359" s="596"/>
      <c r="B359" s="599"/>
      <c r="C359" s="105" t="s">
        <v>3</v>
      </c>
      <c r="D359" s="106" t="s">
        <v>233</v>
      </c>
      <c r="E359" s="281" t="s">
        <v>308</v>
      </c>
      <c r="F359" s="105" t="str">
        <f t="shared" si="87"/>
        <v>开</v>
      </c>
      <c r="G359" s="105" t="str">
        <f t="shared" si="89"/>
        <v>开</v>
      </c>
      <c r="H359" s="105" t="str">
        <f>IFERROR(IF(FIND("开",H358,1),"开","关"),"关")</f>
        <v>开</v>
      </c>
      <c r="J359" s="101"/>
      <c r="K359" s="105" t="str">
        <f t="shared" si="90"/>
        <v>关</v>
      </c>
      <c r="L359" s="105" t="str">
        <f t="shared" si="91"/>
        <v>关</v>
      </c>
      <c r="M359" s="599"/>
      <c r="T359" s="75" t="str">
        <f t="shared" si="86"/>
        <v>3.13.5</v>
      </c>
    </row>
    <row r="360" spans="1:21" ht="45" customHeight="1">
      <c r="A360" s="596"/>
      <c r="B360" s="599"/>
      <c r="C360" s="105" t="s">
        <v>3</v>
      </c>
      <c r="D360" s="106" t="s">
        <v>70</v>
      </c>
      <c r="E360" s="101" t="s">
        <v>71</v>
      </c>
      <c r="F360" s="105" t="str">
        <f t="shared" si="87"/>
        <v>开</v>
      </c>
      <c r="G360" s="105" t="s">
        <v>42</v>
      </c>
      <c r="H360" s="105" t="str">
        <f>IFERROR(IF(FIND("开",H359,1),"开","关"),"关")</f>
        <v>开</v>
      </c>
      <c r="J360" s="101"/>
      <c r="K360" s="105" t="str">
        <f t="shared" si="90"/>
        <v>关</v>
      </c>
      <c r="L360" s="105" t="str">
        <f t="shared" si="91"/>
        <v>关</v>
      </c>
      <c r="M360" s="599"/>
      <c r="T360" s="75" t="str">
        <f t="shared" si="86"/>
        <v>3.13.5</v>
      </c>
    </row>
    <row r="361" spans="1:21" ht="45" customHeight="1">
      <c r="A361" s="596"/>
      <c r="B361" s="599"/>
      <c r="C361" s="105" t="s">
        <v>3</v>
      </c>
      <c r="D361" s="106" t="s">
        <v>40</v>
      </c>
      <c r="E361" s="101" t="s">
        <v>41</v>
      </c>
      <c r="F361" s="105" t="s">
        <v>42</v>
      </c>
      <c r="G361" s="105" t="str">
        <f>IFERROR(IF(FIND("开",G360,1),"开","关"),"关")</f>
        <v>关</v>
      </c>
      <c r="H361" s="105" t="str">
        <f>IFERROR(IF(FIND("开",H360,1),"开","关"),"关")</f>
        <v>开</v>
      </c>
      <c r="J361" s="101"/>
      <c r="K361" s="105" t="str">
        <f t="shared" si="90"/>
        <v>关</v>
      </c>
      <c r="L361" s="105" t="str">
        <f t="shared" si="91"/>
        <v>关</v>
      </c>
      <c r="M361" s="599"/>
      <c r="T361" s="75" t="str">
        <f t="shared" si="86"/>
        <v>3.13.5</v>
      </c>
    </row>
    <row r="362" spans="1:21" ht="45" customHeight="1">
      <c r="A362" s="597"/>
      <c r="B362" s="600"/>
      <c r="C362" s="105" t="s">
        <v>3</v>
      </c>
      <c r="D362" s="106" t="s">
        <v>45</v>
      </c>
      <c r="E362" s="282" t="s">
        <v>46</v>
      </c>
      <c r="J362" s="101"/>
      <c r="M362" s="600"/>
      <c r="T362" s="75"/>
    </row>
    <row r="363" spans="1:21" ht="45" customHeight="1">
      <c r="A363" s="597"/>
      <c r="B363" s="600"/>
      <c r="C363" s="105" t="s">
        <v>3</v>
      </c>
      <c r="D363" s="106" t="s">
        <v>130</v>
      </c>
      <c r="E363" s="283" t="s">
        <v>309</v>
      </c>
      <c r="J363" s="101"/>
      <c r="M363" s="600"/>
      <c r="T363" s="75"/>
    </row>
    <row r="364" spans="1:21" ht="45" customHeight="1">
      <c r="A364" s="597"/>
      <c r="B364" s="600"/>
      <c r="C364" s="105" t="s">
        <v>3</v>
      </c>
      <c r="D364" s="106" t="s">
        <v>52</v>
      </c>
      <c r="E364" s="284" t="s">
        <v>176</v>
      </c>
      <c r="F364" s="105" t="str">
        <f>IFERROR(IF(FIND("开",F361,1),"开","关"),"关")</f>
        <v>关</v>
      </c>
      <c r="G364" s="105" t="str">
        <f>IFERROR(IF(FIND("开",G361,1),"开","关"),"关")</f>
        <v>关</v>
      </c>
      <c r="H364" s="105" t="str">
        <f>IFERROR(IF(FIND("开",H361,1),"开","关"),"关")</f>
        <v>开</v>
      </c>
      <c r="J364" s="101"/>
      <c r="K364" s="105" t="str">
        <f>IFERROR(IF(FIND("开",K361,1),"开","关"),"关")</f>
        <v>关</v>
      </c>
      <c r="L364" s="105" t="str">
        <f>IFERROR(IF(FIND("开",L361,1),"开","关"),"关")</f>
        <v>关</v>
      </c>
      <c r="M364" s="600"/>
      <c r="T364" s="75" t="str">
        <f>IF(ISBLANK(A364),T361,LEFT(A364,FIND(" ",A364,1)-1))</f>
        <v>3.13.5</v>
      </c>
    </row>
    <row r="365" spans="1:21" ht="45" customHeight="1">
      <c r="A365" s="603" t="s">
        <v>310</v>
      </c>
      <c r="B365" s="694" t="s">
        <v>134</v>
      </c>
      <c r="C365" s="105" t="s">
        <v>8</v>
      </c>
      <c r="D365" s="74"/>
      <c r="E365" s="102"/>
      <c r="F365" s="105" t="str">
        <f t="shared" ref="F365:F375" si="92">IFERROR(IF(FIND("开",F364,1),"开","关"),"关")</f>
        <v>关</v>
      </c>
      <c r="G365" s="105" t="str">
        <f t="shared" ref="G365:G375" si="93">IFERROR(IF(FIND("开",G364,1),"开","关"),"关")</f>
        <v>关</v>
      </c>
      <c r="H365" s="105" t="str">
        <f t="shared" ref="H365:H375" si="94">IFERROR(IF(FIND("开",H364,1),"开","关"),"关")</f>
        <v>开</v>
      </c>
      <c r="I365" s="84" t="s">
        <v>77</v>
      </c>
      <c r="J365" s="285" t="s">
        <v>135</v>
      </c>
      <c r="K365" s="105" t="str">
        <f t="shared" ref="K365:K383" si="95">IFERROR(IF(FIND("开",K364,1),"开","关"),"关")</f>
        <v>关</v>
      </c>
      <c r="L365" s="105" t="str">
        <f t="shared" ref="L365:L383" si="96">IFERROR(IF(FIND("开",L364,1),"开","关"),"关")</f>
        <v>关</v>
      </c>
      <c r="M365" s="601">
        <v>3</v>
      </c>
      <c r="N365" s="75" t="s">
        <v>24</v>
      </c>
      <c r="O365" s="75" t="str">
        <f>MID(J365,FIND("setting",J365,1)+8,FIND("kg",J365,1)-FIND("setting",J365,1)-8)</f>
        <v xml:space="preserve"> 492.70</v>
      </c>
      <c r="Q365" s="75" t="str">
        <f>SUBSTITUTE(T365&amp;N365," ","")</f>
        <v>3.13.10DMF</v>
      </c>
      <c r="R365" s="74">
        <f>VLOOKUP(Q365,MOR投料表!A:L,9,FALSE)</f>
        <v>492.7</v>
      </c>
      <c r="T365" s="75" t="str">
        <f t="shared" ref="T365:T383" si="97">IF(ISBLANK(A365),T364,LEFT(A365,FIND(" ",A365,1)-1))</f>
        <v>3.13.10</v>
      </c>
      <c r="U365" s="74" t="b">
        <f>TEXT(O365,"0.00")=TEXT(R365,"0.00")</f>
        <v>1</v>
      </c>
    </row>
    <row r="366" spans="1:21" ht="45" customHeight="1">
      <c r="A366" s="603"/>
      <c r="B366" s="602"/>
      <c r="C366" s="105" t="s">
        <v>8</v>
      </c>
      <c r="D366" s="74"/>
      <c r="E366" s="102"/>
      <c r="F366" s="105" t="str">
        <f t="shared" si="92"/>
        <v>关</v>
      </c>
      <c r="G366" s="105" t="str">
        <f t="shared" si="93"/>
        <v>关</v>
      </c>
      <c r="H366" s="105" t="str">
        <f t="shared" si="94"/>
        <v>开</v>
      </c>
      <c r="I366" s="84" t="s">
        <v>61</v>
      </c>
      <c r="J366" s="101" t="s">
        <v>26</v>
      </c>
      <c r="K366" s="105" t="str">
        <f t="shared" si="95"/>
        <v>关</v>
      </c>
      <c r="L366" s="105" t="str">
        <f t="shared" si="96"/>
        <v>关</v>
      </c>
      <c r="M366" s="601"/>
      <c r="T366" s="75" t="str">
        <f t="shared" si="97"/>
        <v>3.13.10</v>
      </c>
    </row>
    <row r="367" spans="1:21" ht="45" customHeight="1">
      <c r="A367" s="603"/>
      <c r="B367" s="602"/>
      <c r="C367" s="105" t="s">
        <v>8</v>
      </c>
      <c r="E367" s="102"/>
      <c r="F367" s="105" t="str">
        <f t="shared" si="92"/>
        <v>关</v>
      </c>
      <c r="G367" s="105" t="str">
        <f t="shared" si="93"/>
        <v>关</v>
      </c>
      <c r="H367" s="105" t="str">
        <f t="shared" si="94"/>
        <v>开</v>
      </c>
      <c r="I367" s="84" t="s">
        <v>137</v>
      </c>
      <c r="J367" s="101" t="s">
        <v>138</v>
      </c>
      <c r="K367" s="105" t="str">
        <f t="shared" si="95"/>
        <v>关</v>
      </c>
      <c r="L367" s="105" t="str">
        <f t="shared" si="96"/>
        <v>关</v>
      </c>
      <c r="M367" s="601"/>
      <c r="T367" s="75" t="str">
        <f t="shared" si="97"/>
        <v>3.13.10</v>
      </c>
    </row>
    <row r="368" spans="1:21" ht="45" customHeight="1">
      <c r="A368" s="603"/>
      <c r="B368" s="602"/>
      <c r="C368" s="105" t="s">
        <v>8</v>
      </c>
      <c r="E368" s="102"/>
      <c r="F368" s="105" t="str">
        <f t="shared" si="92"/>
        <v>关</v>
      </c>
      <c r="G368" s="105" t="str">
        <f t="shared" si="93"/>
        <v>关</v>
      </c>
      <c r="H368" s="105" t="str">
        <f t="shared" si="94"/>
        <v>开</v>
      </c>
      <c r="I368" s="84" t="s">
        <v>139</v>
      </c>
      <c r="J368" s="101" t="s">
        <v>140</v>
      </c>
      <c r="K368" s="105" t="str">
        <f t="shared" si="95"/>
        <v>关</v>
      </c>
      <c r="L368" s="105" t="str">
        <f t="shared" si="96"/>
        <v>关</v>
      </c>
      <c r="M368" s="601"/>
      <c r="T368" s="75" t="str">
        <f t="shared" si="97"/>
        <v>3.13.10</v>
      </c>
    </row>
    <row r="369" spans="1:20" ht="45" customHeight="1">
      <c r="A369" s="603"/>
      <c r="B369" s="602"/>
      <c r="C369" s="105" t="s">
        <v>8</v>
      </c>
      <c r="E369" s="102"/>
      <c r="F369" s="105" t="str">
        <f t="shared" si="92"/>
        <v>关</v>
      </c>
      <c r="G369" s="105" t="str">
        <f t="shared" si="93"/>
        <v>关</v>
      </c>
      <c r="H369" s="105" t="str">
        <f t="shared" si="94"/>
        <v>开</v>
      </c>
      <c r="I369" s="84" t="s">
        <v>141</v>
      </c>
      <c r="J369" s="101" t="s">
        <v>142</v>
      </c>
      <c r="K369" s="105" t="str">
        <f t="shared" si="95"/>
        <v>关</v>
      </c>
      <c r="L369" s="105" t="str">
        <f t="shared" si="96"/>
        <v>关</v>
      </c>
      <c r="M369" s="601"/>
      <c r="T369" s="75" t="str">
        <f t="shared" si="97"/>
        <v>3.13.10</v>
      </c>
    </row>
    <row r="370" spans="1:20" ht="45" customHeight="1">
      <c r="A370" s="603"/>
      <c r="B370" s="602"/>
      <c r="C370" s="105" t="s">
        <v>8</v>
      </c>
      <c r="E370" s="102"/>
      <c r="F370" s="105" t="str">
        <f t="shared" si="92"/>
        <v>关</v>
      </c>
      <c r="G370" s="105" t="str">
        <f t="shared" si="93"/>
        <v>关</v>
      </c>
      <c r="H370" s="105" t="str">
        <f t="shared" si="94"/>
        <v>开</v>
      </c>
      <c r="I370" s="84" t="s">
        <v>143</v>
      </c>
      <c r="J370" s="101" t="s">
        <v>144</v>
      </c>
      <c r="K370" s="105" t="str">
        <f t="shared" si="95"/>
        <v>关</v>
      </c>
      <c r="L370" s="105" t="str">
        <f t="shared" si="96"/>
        <v>关</v>
      </c>
      <c r="M370" s="601"/>
      <c r="N370" s="75"/>
      <c r="O370" s="75"/>
      <c r="T370" s="75" t="str">
        <f t="shared" si="97"/>
        <v>3.13.10</v>
      </c>
    </row>
    <row r="371" spans="1:20" ht="45" customHeight="1">
      <c r="A371" s="603"/>
      <c r="B371" s="602"/>
      <c r="C371" s="105" t="s">
        <v>8</v>
      </c>
      <c r="E371" s="102"/>
      <c r="F371" s="105" t="str">
        <f t="shared" si="92"/>
        <v>关</v>
      </c>
      <c r="G371" s="105" t="str">
        <f t="shared" si="93"/>
        <v>关</v>
      </c>
      <c r="H371" s="105" t="str">
        <f t="shared" si="94"/>
        <v>开</v>
      </c>
      <c r="I371" s="84" t="s">
        <v>145</v>
      </c>
      <c r="J371" s="101" t="s">
        <v>146</v>
      </c>
      <c r="K371" s="105" t="str">
        <f t="shared" si="95"/>
        <v>关</v>
      </c>
      <c r="L371" s="105" t="str">
        <f t="shared" si="96"/>
        <v>关</v>
      </c>
      <c r="M371" s="601"/>
      <c r="T371" s="75" t="str">
        <f t="shared" si="97"/>
        <v>3.13.10</v>
      </c>
    </row>
    <row r="372" spans="1:20" ht="45" customHeight="1">
      <c r="A372" s="603"/>
      <c r="B372" s="602"/>
      <c r="C372" s="105" t="s">
        <v>8</v>
      </c>
      <c r="E372" s="102"/>
      <c r="F372" s="105" t="str">
        <f t="shared" si="92"/>
        <v>关</v>
      </c>
      <c r="G372" s="105" t="str">
        <f t="shared" si="93"/>
        <v>关</v>
      </c>
      <c r="H372" s="105" t="str">
        <f t="shared" si="94"/>
        <v>开</v>
      </c>
      <c r="I372" s="84" t="s">
        <v>147</v>
      </c>
      <c r="J372" s="101" t="s">
        <v>148</v>
      </c>
      <c r="K372" s="105" t="str">
        <f t="shared" si="95"/>
        <v>关</v>
      </c>
      <c r="L372" s="105" t="str">
        <f t="shared" si="96"/>
        <v>关</v>
      </c>
      <c r="M372" s="601"/>
      <c r="T372" s="75" t="str">
        <f t="shared" si="97"/>
        <v>3.13.10</v>
      </c>
    </row>
    <row r="373" spans="1:20" ht="45" customHeight="1">
      <c r="A373" s="603"/>
      <c r="B373" s="602"/>
      <c r="C373" s="105" t="s">
        <v>30</v>
      </c>
      <c r="D373" s="106" t="s">
        <v>31</v>
      </c>
      <c r="E373" s="286" t="s">
        <v>32</v>
      </c>
      <c r="F373" s="105" t="str">
        <f t="shared" si="92"/>
        <v>关</v>
      </c>
      <c r="G373" s="105" t="str">
        <f t="shared" si="93"/>
        <v>关</v>
      </c>
      <c r="H373" s="105" t="str">
        <f t="shared" si="94"/>
        <v>开</v>
      </c>
      <c r="I373" s="106"/>
      <c r="J373" s="101"/>
      <c r="K373" s="105" t="str">
        <f t="shared" si="95"/>
        <v>关</v>
      </c>
      <c r="L373" s="105" t="str">
        <f t="shared" si="96"/>
        <v>关</v>
      </c>
      <c r="M373" s="601"/>
      <c r="T373" s="75" t="str">
        <f t="shared" si="97"/>
        <v>3.13.10</v>
      </c>
    </row>
    <row r="374" spans="1:20" ht="45" customHeight="1">
      <c r="A374" s="603"/>
      <c r="B374" s="602"/>
      <c r="C374" s="105" t="s">
        <v>30</v>
      </c>
      <c r="D374" s="106" t="s">
        <v>33</v>
      </c>
      <c r="E374" s="101" t="s">
        <v>34</v>
      </c>
      <c r="F374" s="105" t="str">
        <f t="shared" si="92"/>
        <v>关</v>
      </c>
      <c r="G374" s="105" t="str">
        <f t="shared" si="93"/>
        <v>关</v>
      </c>
      <c r="H374" s="105" t="str">
        <f t="shared" si="94"/>
        <v>开</v>
      </c>
      <c r="J374" s="101"/>
      <c r="K374" s="105" t="str">
        <f t="shared" si="95"/>
        <v>关</v>
      </c>
      <c r="L374" s="105" t="str">
        <f t="shared" si="96"/>
        <v>关</v>
      </c>
      <c r="M374" s="601"/>
      <c r="T374" s="75" t="str">
        <f t="shared" si="97"/>
        <v>3.13.10</v>
      </c>
    </row>
    <row r="375" spans="1:20" ht="45" customHeight="1">
      <c r="A375" s="603"/>
      <c r="B375" s="602"/>
      <c r="C375" s="105" t="s">
        <v>8</v>
      </c>
      <c r="D375" s="106"/>
      <c r="E375" s="78"/>
      <c r="F375" s="105" t="str">
        <f t="shared" si="92"/>
        <v>关</v>
      </c>
      <c r="G375" s="105" t="str">
        <f t="shared" si="93"/>
        <v>关</v>
      </c>
      <c r="H375" s="105" t="str">
        <f t="shared" si="94"/>
        <v>开</v>
      </c>
      <c r="I375" s="106" t="s">
        <v>54</v>
      </c>
      <c r="J375" s="287" t="s">
        <v>149</v>
      </c>
      <c r="K375" s="105" t="str">
        <f t="shared" si="95"/>
        <v>关</v>
      </c>
      <c r="L375" s="105" t="str">
        <f t="shared" si="96"/>
        <v>关</v>
      </c>
      <c r="M375" s="601"/>
      <c r="T375" s="75" t="str">
        <f t="shared" si="97"/>
        <v>3.13.10</v>
      </c>
    </row>
    <row r="376" spans="1:20" ht="45" customHeight="1">
      <c r="A376" s="603"/>
      <c r="B376" s="602"/>
      <c r="C376" s="105" t="s">
        <v>3</v>
      </c>
      <c r="D376" s="106" t="s">
        <v>35</v>
      </c>
      <c r="E376" s="101" t="s">
        <v>63</v>
      </c>
      <c r="F376" s="105" t="s">
        <v>37</v>
      </c>
      <c r="G376" s="105" t="str">
        <f>IFERROR(IF(FIND("开",G375,1),"开","关"),"关")</f>
        <v>关</v>
      </c>
      <c r="H376" s="105" t="str">
        <f>IFERROR(IF(FIND("开",H375,1),"开","关"),"关")</f>
        <v>开</v>
      </c>
      <c r="J376" s="101"/>
      <c r="K376" s="105" t="str">
        <f t="shared" si="95"/>
        <v>关</v>
      </c>
      <c r="L376" s="105" t="str">
        <f t="shared" si="96"/>
        <v>关</v>
      </c>
      <c r="M376" s="601"/>
      <c r="T376" s="75" t="str">
        <f t="shared" si="97"/>
        <v>3.13.10</v>
      </c>
    </row>
    <row r="377" spans="1:20" ht="45" customHeight="1">
      <c r="A377" s="603"/>
      <c r="B377" s="602"/>
      <c r="C377" s="105" t="s">
        <v>3</v>
      </c>
      <c r="D377" s="106" t="s">
        <v>38</v>
      </c>
      <c r="E377" s="101" t="s">
        <v>101</v>
      </c>
      <c r="F377" s="105" t="str">
        <f>IFERROR(IF(FIND("开",F376,1),"开","关"),"关")</f>
        <v>开</v>
      </c>
      <c r="G377" s="105" t="s">
        <v>29</v>
      </c>
      <c r="H377" s="105" t="str">
        <f>IFERROR(IF(FIND("开",H376,1),"开","关"),"关")</f>
        <v>开</v>
      </c>
      <c r="I377" s="106"/>
      <c r="J377" s="101"/>
      <c r="K377" s="105" t="str">
        <f t="shared" si="95"/>
        <v>关</v>
      </c>
      <c r="L377" s="105" t="str">
        <f t="shared" si="96"/>
        <v>关</v>
      </c>
      <c r="M377" s="601"/>
      <c r="T377" s="75" t="str">
        <f t="shared" si="97"/>
        <v>3.13.10</v>
      </c>
    </row>
    <row r="378" spans="1:20" ht="45" customHeight="1">
      <c r="A378" s="603"/>
      <c r="B378" s="602"/>
      <c r="C378" s="105" t="s">
        <v>3</v>
      </c>
      <c r="D378" s="106" t="s">
        <v>40</v>
      </c>
      <c r="E378" s="101" t="s">
        <v>41</v>
      </c>
      <c r="F378" s="105" t="s">
        <v>42</v>
      </c>
      <c r="G378" s="105" t="str">
        <f t="shared" ref="G378:G383" si="98">IFERROR(IF(FIND("开",G377,1),"开","关"),"关")</f>
        <v>关</v>
      </c>
      <c r="H378" s="105" t="str">
        <f>IFERROR(IF(FIND("开",H377,1),"开","关"),"关")</f>
        <v>开</v>
      </c>
      <c r="I378" s="106"/>
      <c r="J378" s="101"/>
      <c r="K378" s="105" t="str">
        <f t="shared" si="95"/>
        <v>关</v>
      </c>
      <c r="L378" s="105" t="str">
        <f t="shared" si="96"/>
        <v>关</v>
      </c>
      <c r="M378" s="601"/>
      <c r="T378" s="75" t="str">
        <f t="shared" si="97"/>
        <v>3.13.10</v>
      </c>
    </row>
    <row r="379" spans="1:20" ht="45" customHeight="1">
      <c r="A379" s="603"/>
      <c r="B379" s="602"/>
      <c r="C379" s="105" t="s">
        <v>3</v>
      </c>
      <c r="D379" s="106" t="s">
        <v>45</v>
      </c>
      <c r="E379" s="288" t="s">
        <v>46</v>
      </c>
      <c r="F379" s="105" t="str">
        <f>IFERROR(IF(FIND("开",F378,1),"开","关"),"关")</f>
        <v>关</v>
      </c>
      <c r="G379" s="105" t="str">
        <f t="shared" si="98"/>
        <v>关</v>
      </c>
      <c r="H379" s="105" t="str">
        <f>IFERROR(IF(FIND("开",H378,1),"开","关"),"关")</f>
        <v>开</v>
      </c>
      <c r="I379" s="74"/>
      <c r="J379" s="77"/>
      <c r="K379" s="105" t="str">
        <f t="shared" si="95"/>
        <v>关</v>
      </c>
      <c r="L379" s="105" t="str">
        <f t="shared" si="96"/>
        <v>关</v>
      </c>
      <c r="M379" s="601"/>
      <c r="N379" s="75"/>
      <c r="O379" s="75"/>
      <c r="T379" s="75" t="str">
        <f t="shared" si="97"/>
        <v>3.13.10</v>
      </c>
    </row>
    <row r="380" spans="1:20" ht="45" customHeight="1">
      <c r="A380" s="603" t="s">
        <v>168</v>
      </c>
      <c r="B380" s="602" t="s">
        <v>169</v>
      </c>
      <c r="C380" s="105" t="s">
        <v>3</v>
      </c>
      <c r="D380" s="106" t="s">
        <v>130</v>
      </c>
      <c r="E380" s="289" t="s">
        <v>131</v>
      </c>
      <c r="F380" s="105" t="str">
        <f>IFERROR(IF(FIND("开",F379,1),"开","关"),"关")</f>
        <v>关</v>
      </c>
      <c r="G380" s="105" t="str">
        <f t="shared" si="98"/>
        <v>关</v>
      </c>
      <c r="H380" s="105" t="s">
        <v>42</v>
      </c>
      <c r="I380" s="106"/>
      <c r="J380" s="101"/>
      <c r="K380" s="105" t="str">
        <f t="shared" si="95"/>
        <v>关</v>
      </c>
      <c r="L380" s="105" t="str">
        <f t="shared" si="96"/>
        <v>关</v>
      </c>
      <c r="M380" s="601">
        <v>1</v>
      </c>
      <c r="T380" s="75" t="e">
        <f t="shared" si="97"/>
        <v>#VALUE!</v>
      </c>
    </row>
    <row r="381" spans="1:20" ht="45" customHeight="1">
      <c r="A381" s="603"/>
      <c r="B381" s="602"/>
      <c r="C381" s="105" t="s">
        <v>3</v>
      </c>
      <c r="D381" s="106" t="s">
        <v>171</v>
      </c>
      <c r="E381" s="101" t="s">
        <v>44</v>
      </c>
      <c r="F381" s="105" t="str">
        <f>IFERROR(IF(FIND("开",F380,1),"开","关"),"关")</f>
        <v>关</v>
      </c>
      <c r="G381" s="105" t="str">
        <f t="shared" si="98"/>
        <v>关</v>
      </c>
      <c r="H381" s="105" t="str">
        <f>IFERROR(IF(FIND("开",H380,1),"开","关"),"关")</f>
        <v>关</v>
      </c>
      <c r="J381" s="77"/>
      <c r="K381" s="105" t="str">
        <f t="shared" si="95"/>
        <v>关</v>
      </c>
      <c r="L381" s="105" t="str">
        <f t="shared" si="96"/>
        <v>关</v>
      </c>
      <c r="M381" s="601"/>
      <c r="T381" s="75" t="e">
        <f t="shared" si="97"/>
        <v>#VALUE!</v>
      </c>
    </row>
    <row r="382" spans="1:20" ht="45" customHeight="1">
      <c r="A382" s="603"/>
      <c r="B382" s="602"/>
      <c r="C382" s="105" t="s">
        <v>8</v>
      </c>
      <c r="E382" s="77"/>
      <c r="F382" s="105" t="str">
        <f>IFERROR(IF(FIND("开",F381,1),"开","关"),"关")</f>
        <v>关</v>
      </c>
      <c r="G382" s="105" t="str">
        <f t="shared" si="98"/>
        <v>关</v>
      </c>
      <c r="H382" s="105" t="str">
        <f>IFERROR(IF(FIND("开",H381,1),"开","关"),"关")</f>
        <v>关</v>
      </c>
      <c r="I382" s="106" t="s">
        <v>172</v>
      </c>
      <c r="J382" s="101" t="s">
        <v>126</v>
      </c>
      <c r="K382" s="105" t="str">
        <f t="shared" si="95"/>
        <v>关</v>
      </c>
      <c r="L382" s="105" t="str">
        <f t="shared" si="96"/>
        <v>关</v>
      </c>
      <c r="M382" s="601"/>
      <c r="T382" s="75" t="e">
        <f t="shared" si="97"/>
        <v>#VALUE!</v>
      </c>
    </row>
    <row r="383" spans="1:20" ht="45" customHeight="1">
      <c r="A383" s="89" t="s">
        <v>312</v>
      </c>
      <c r="E383" s="102"/>
      <c r="F383" s="105" t="str">
        <f>IFERROR(IF(FIND("开",F382,1),"开","关"),"关")</f>
        <v>关</v>
      </c>
      <c r="G383" s="105" t="str">
        <f t="shared" si="98"/>
        <v>关</v>
      </c>
      <c r="H383" s="105" t="str">
        <f>IFERROR(IF(FIND("开",H382,1),"开","关"),"关")</f>
        <v>关</v>
      </c>
      <c r="I383" s="106"/>
      <c r="J383" s="101"/>
      <c r="K383" s="105" t="str">
        <f t="shared" si="95"/>
        <v>关</v>
      </c>
      <c r="L383" s="105" t="str">
        <f t="shared" si="96"/>
        <v>关</v>
      </c>
      <c r="T383" s="75" t="str">
        <f t="shared" si="97"/>
        <v>3.14</v>
      </c>
    </row>
    <row r="384" spans="1:20" ht="45" customHeight="1">
      <c r="A384" s="595" t="s">
        <v>313</v>
      </c>
      <c r="B384" s="697" t="s">
        <v>314</v>
      </c>
      <c r="C384" s="105" t="s">
        <v>3</v>
      </c>
      <c r="D384" s="106" t="s">
        <v>52</v>
      </c>
      <c r="E384" s="290" t="s">
        <v>176</v>
      </c>
      <c r="F384" s="105" t="str">
        <f>IFERROR(IF(FIND("开",F416,1),"开","关"),"关")</f>
        <v>关</v>
      </c>
      <c r="G384" s="105" t="str">
        <f>IFERROR(IF(FIND("开",G416,1),"开","关"),"关")</f>
        <v>关</v>
      </c>
      <c r="H384" s="105" t="s">
        <v>37</v>
      </c>
      <c r="J384" s="101"/>
      <c r="K384" s="105" t="str">
        <f>IFERROR(IF(FIND("开",K416,1),"开","关"),"关")</f>
        <v>开</v>
      </c>
      <c r="L384" s="105" t="str">
        <f>IFERROR(IF(FIND("开",L416,1),"开","关"),"关")</f>
        <v>关</v>
      </c>
      <c r="M384" s="598">
        <v>1</v>
      </c>
      <c r="N384" s="75"/>
      <c r="O384" s="75"/>
      <c r="Q384" s="75"/>
      <c r="T384" s="75" t="str">
        <f>IF(ISBLANK(A384),T416,LEFT(A384,FIND(" ",A384,1)-1))</f>
        <v>3.14.1</v>
      </c>
    </row>
    <row r="385" spans="1:21" ht="45" customHeight="1">
      <c r="A385" s="596"/>
      <c r="B385" s="599"/>
      <c r="C385" s="105" t="s">
        <v>178</v>
      </c>
      <c r="D385" s="106"/>
      <c r="E385" s="101"/>
      <c r="I385" s="84" t="s">
        <v>179</v>
      </c>
      <c r="J385" s="291" t="s">
        <v>149</v>
      </c>
      <c r="M385" s="599"/>
      <c r="N385" s="75"/>
      <c r="O385" s="75"/>
      <c r="Q385" s="75"/>
      <c r="T385" s="75"/>
    </row>
    <row r="386" spans="1:21" ht="45" customHeight="1">
      <c r="A386" s="596"/>
      <c r="B386" s="599"/>
      <c r="C386" s="105" t="s">
        <v>3</v>
      </c>
      <c r="D386" s="106" t="s">
        <v>180</v>
      </c>
      <c r="E386" s="292" t="s">
        <v>181</v>
      </c>
      <c r="F386" s="105" t="str">
        <f>IFERROR(IF(FIND("开",F384,1),"开","关"),"关")</f>
        <v>关</v>
      </c>
      <c r="G386" s="105" t="str">
        <f>IFERROR(IF(FIND("开",G384,1),"开","关"),"关")</f>
        <v>关</v>
      </c>
      <c r="H386" s="105" t="str">
        <f>IFERROR(IF(FIND("开",H384,1),"开","关"),"关")</f>
        <v>开</v>
      </c>
      <c r="J386" s="101"/>
      <c r="K386" s="105" t="str">
        <f>IFERROR(IF(FIND("开",K384,1),"开","关"),"关")</f>
        <v>开</v>
      </c>
      <c r="L386" s="105" t="str">
        <f>IFERROR(IF(FIND("开",L384,1),"开","关"),"关")</f>
        <v>关</v>
      </c>
      <c r="M386" s="599"/>
      <c r="N386" s="75" t="s">
        <v>182</v>
      </c>
      <c r="O386" s="75" t="str">
        <f>MID(E386,FIND("setting",E386,1)+8,FIND("kg",E386,1)-FIND("setting",E386,1)-8)</f>
        <v xml:space="preserve"> 483.60</v>
      </c>
      <c r="Q386" s="75" t="str">
        <f>SUBSTITUTE(T386&amp;N386," ","")</f>
        <v>3.14.120%piperidinesolution</v>
      </c>
      <c r="R386" s="74">
        <f>VLOOKUP(Q386,MOR投料表!A:L,9,FALSE)</f>
        <v>483.6</v>
      </c>
      <c r="T386" s="75" t="str">
        <f>IF(ISBLANK(A386),T384,LEFT(A386,FIND(" ",A386,1)-1))</f>
        <v>3.14.1</v>
      </c>
      <c r="U386" s="74" t="b">
        <f>TEXT(O386,"0.00")=TEXT(R386,"0.00")</f>
        <v>1</v>
      </c>
    </row>
    <row r="387" spans="1:21" ht="45" customHeight="1">
      <c r="A387" s="596"/>
      <c r="B387" s="599"/>
      <c r="C387" s="105" t="s">
        <v>3</v>
      </c>
      <c r="D387" s="106" t="s">
        <v>183</v>
      </c>
      <c r="E387" s="101" t="s">
        <v>184</v>
      </c>
      <c r="F387" s="105" t="str">
        <f>IFERROR(IF(FIND("开",F386,1),"开","关"),"关")</f>
        <v>关</v>
      </c>
      <c r="G387" s="105" t="str">
        <f>IFERROR(IF(FIND("开",G386,1),"开","关"),"关")</f>
        <v>关</v>
      </c>
      <c r="H387" s="105" t="str">
        <f>IFERROR(IF(FIND("开",H386,1),"开","关"),"关")</f>
        <v>开</v>
      </c>
      <c r="J387" s="101"/>
      <c r="K387" s="105" t="str">
        <f t="shared" ref="K387:K412" si="99">IFERROR(IF(FIND("开",K386,1),"开","关"),"关")</f>
        <v>开</v>
      </c>
      <c r="L387" s="105" t="str">
        <f t="shared" ref="L387:L412" si="100">IFERROR(IF(FIND("开",L386,1),"开","关"),"关")</f>
        <v>关</v>
      </c>
      <c r="M387" s="599"/>
      <c r="T387" s="75" t="str">
        <f t="shared" ref="T387:T412" si="101">IF(ISBLANK(A387),T386,LEFT(A387,FIND(" ",A387,1)-1))</f>
        <v>3.14.1</v>
      </c>
    </row>
    <row r="388" spans="1:21" ht="45" customHeight="1">
      <c r="A388" s="596"/>
      <c r="B388" s="599"/>
      <c r="C388" s="105" t="s">
        <v>3</v>
      </c>
      <c r="D388" s="106" t="s">
        <v>35</v>
      </c>
      <c r="E388" s="101" t="s">
        <v>63</v>
      </c>
      <c r="F388" s="105" t="s">
        <v>37</v>
      </c>
      <c r="G388" s="105" t="str">
        <f>IFERROR(IF(FIND("开",G387,1),"开","关"),"关")</f>
        <v>关</v>
      </c>
      <c r="H388" s="105" t="str">
        <f>IFERROR(IF(FIND("开",H387,1),"开","关"),"关")</f>
        <v>开</v>
      </c>
      <c r="J388" s="101"/>
      <c r="K388" s="105" t="str">
        <f t="shared" si="99"/>
        <v>开</v>
      </c>
      <c r="L388" s="105" t="str">
        <f t="shared" si="100"/>
        <v>关</v>
      </c>
      <c r="M388" s="599"/>
      <c r="T388" s="75" t="str">
        <f t="shared" si="101"/>
        <v>3.14.1</v>
      </c>
    </row>
    <row r="389" spans="1:21" ht="45" customHeight="1">
      <c r="A389" s="596"/>
      <c r="B389" s="599"/>
      <c r="C389" s="105" t="s">
        <v>3</v>
      </c>
      <c r="D389" s="106" t="s">
        <v>64</v>
      </c>
      <c r="E389" s="101" t="s">
        <v>65</v>
      </c>
      <c r="F389" s="105" t="str">
        <f>IFERROR(IF(FIND("开",F388,1),"开","关"),"关")</f>
        <v>开</v>
      </c>
      <c r="G389" s="105" t="s">
        <v>37</v>
      </c>
      <c r="H389" s="105" t="str">
        <f t="shared" ref="H389:H412" si="102">IFERROR(IF(FIND("开",H388,1),"开","关"),"关")</f>
        <v>开</v>
      </c>
      <c r="J389" s="101"/>
      <c r="K389" s="105" t="str">
        <f t="shared" si="99"/>
        <v>开</v>
      </c>
      <c r="L389" s="105" t="str">
        <f t="shared" si="100"/>
        <v>关</v>
      </c>
      <c r="M389" s="599"/>
      <c r="T389" s="75" t="str">
        <f t="shared" si="101"/>
        <v>3.14.1</v>
      </c>
    </row>
    <row r="390" spans="1:21" ht="45" customHeight="1">
      <c r="A390" s="596"/>
      <c r="B390" s="599"/>
      <c r="C390" s="105" t="s">
        <v>3</v>
      </c>
      <c r="D390" s="106" t="s">
        <v>66</v>
      </c>
      <c r="E390" s="293" t="s">
        <v>67</v>
      </c>
      <c r="F390" s="105" t="str">
        <f>IFERROR(IF(FIND("开",F389,1),"开","关"),"关")</f>
        <v>开</v>
      </c>
      <c r="G390" s="105" t="str">
        <f>IFERROR(IF(FIND("开",G389,1),"开","关"),"关")</f>
        <v>开</v>
      </c>
      <c r="H390" s="105" t="str">
        <f t="shared" si="102"/>
        <v>开</v>
      </c>
      <c r="J390" s="101"/>
      <c r="K390" s="105" t="str">
        <f t="shared" si="99"/>
        <v>开</v>
      </c>
      <c r="L390" s="105" t="str">
        <f t="shared" si="100"/>
        <v>关</v>
      </c>
      <c r="M390" s="599"/>
      <c r="T390" s="75" t="str">
        <f t="shared" si="101"/>
        <v>3.14.1</v>
      </c>
    </row>
    <row r="391" spans="1:21" ht="45" customHeight="1">
      <c r="A391" s="596"/>
      <c r="B391" s="599"/>
      <c r="C391" s="105" t="s">
        <v>3</v>
      </c>
      <c r="D391" s="106" t="s">
        <v>68</v>
      </c>
      <c r="E391" s="294" t="s">
        <v>185</v>
      </c>
      <c r="F391" s="105" t="str">
        <f>IFERROR(IF(FIND("开",F390,1),"开","关"),"关")</f>
        <v>开</v>
      </c>
      <c r="G391" s="105" t="str">
        <f>IFERROR(IF(FIND("开",G390,1),"开","关"),"关")</f>
        <v>开</v>
      </c>
      <c r="H391" s="105" t="str">
        <f t="shared" si="102"/>
        <v>开</v>
      </c>
      <c r="J391" s="101"/>
      <c r="K391" s="105" t="str">
        <f t="shared" si="99"/>
        <v>开</v>
      </c>
      <c r="L391" s="105" t="str">
        <f t="shared" si="100"/>
        <v>关</v>
      </c>
      <c r="M391" s="599"/>
      <c r="T391" s="75" t="str">
        <f t="shared" si="101"/>
        <v>3.14.1</v>
      </c>
    </row>
    <row r="392" spans="1:21" ht="45" customHeight="1">
      <c r="A392" s="596"/>
      <c r="B392" s="599"/>
      <c r="C392" s="105" t="s">
        <v>3</v>
      </c>
      <c r="D392" s="106" t="s">
        <v>70</v>
      </c>
      <c r="E392" s="101" t="s">
        <v>71</v>
      </c>
      <c r="F392" s="105" t="str">
        <f>IFERROR(IF(FIND("开",F391,1),"开","关"),"关")</f>
        <v>开</v>
      </c>
      <c r="G392" s="105" t="s">
        <v>42</v>
      </c>
      <c r="H392" s="105" t="str">
        <f t="shared" si="102"/>
        <v>开</v>
      </c>
      <c r="J392" s="101"/>
      <c r="K392" s="105" t="str">
        <f t="shared" si="99"/>
        <v>开</v>
      </c>
      <c r="L392" s="105" t="str">
        <f t="shared" si="100"/>
        <v>关</v>
      </c>
      <c r="M392" s="599"/>
      <c r="T392" s="75" t="str">
        <f t="shared" si="101"/>
        <v>3.14.1</v>
      </c>
    </row>
    <row r="393" spans="1:21" ht="45" customHeight="1">
      <c r="A393" s="596"/>
      <c r="B393" s="599"/>
      <c r="C393" s="105" t="s">
        <v>3</v>
      </c>
      <c r="D393" s="106" t="s">
        <v>40</v>
      </c>
      <c r="E393" s="101" t="s">
        <v>41</v>
      </c>
      <c r="F393" s="105" t="s">
        <v>42</v>
      </c>
      <c r="G393" s="105" t="str">
        <f>IFERROR(IF(FIND("开",G392,1),"开","关"),"关")</f>
        <v>关</v>
      </c>
      <c r="H393" s="105" t="str">
        <f t="shared" si="102"/>
        <v>开</v>
      </c>
      <c r="J393" s="101"/>
      <c r="K393" s="105" t="str">
        <f t="shared" si="99"/>
        <v>开</v>
      </c>
      <c r="L393" s="105" t="str">
        <f t="shared" si="100"/>
        <v>关</v>
      </c>
      <c r="M393" s="599"/>
      <c r="T393" s="75" t="str">
        <f t="shared" si="101"/>
        <v>3.14.1</v>
      </c>
    </row>
    <row r="394" spans="1:21" ht="45" customHeight="1">
      <c r="A394" s="597"/>
      <c r="B394" s="600"/>
      <c r="C394" s="105" t="s">
        <v>3</v>
      </c>
      <c r="D394" s="106" t="s">
        <v>45</v>
      </c>
      <c r="E394" s="295" t="s">
        <v>46</v>
      </c>
      <c r="F394" s="105" t="str">
        <f>IFERROR(IF(FIND("开",F393,1),"开","关"),"关")</f>
        <v>关</v>
      </c>
      <c r="G394" s="105" t="str">
        <f>IFERROR(IF(FIND("开",G393,1),"开","关"),"关")</f>
        <v>关</v>
      </c>
      <c r="H394" s="105" t="str">
        <f t="shared" si="102"/>
        <v>开</v>
      </c>
      <c r="J394" s="101"/>
      <c r="K394" s="105" t="str">
        <f t="shared" si="99"/>
        <v>开</v>
      </c>
      <c r="L394" s="105" t="str">
        <f t="shared" si="100"/>
        <v>关</v>
      </c>
      <c r="M394" s="600"/>
      <c r="T394" s="75" t="str">
        <f t="shared" si="101"/>
        <v>3.14.1</v>
      </c>
    </row>
    <row r="395" spans="1:21" ht="45" customHeight="1">
      <c r="A395" s="603" t="s">
        <v>316</v>
      </c>
      <c r="B395" s="665" t="s">
        <v>317</v>
      </c>
      <c r="C395" s="105" t="s">
        <v>3</v>
      </c>
      <c r="D395" s="106" t="s">
        <v>188</v>
      </c>
      <c r="E395" s="296" t="s">
        <v>189</v>
      </c>
      <c r="F395" s="105" t="str">
        <f>IFERROR(IF(FIND("开",F394,1),"开","关"),"关")</f>
        <v>关</v>
      </c>
      <c r="G395" s="105" t="str">
        <f>IFERROR(IF(FIND("开",G394,1),"开","关"),"关")</f>
        <v>关</v>
      </c>
      <c r="H395" s="105" t="str">
        <f t="shared" si="102"/>
        <v>开</v>
      </c>
      <c r="J395" s="101"/>
      <c r="K395" s="105" t="str">
        <f t="shared" si="99"/>
        <v>开</v>
      </c>
      <c r="L395" s="105" t="str">
        <f t="shared" si="100"/>
        <v>关</v>
      </c>
      <c r="M395" s="601">
        <v>4</v>
      </c>
      <c r="N395" s="75" t="str">
        <f>MID(E395,FIND("线路-》",E395,1)+4,FIND("-&gt;",E395,1)-13)</f>
        <v>IPAC</v>
      </c>
      <c r="O395" s="75" t="str">
        <f>MID(E395,FIND("setting",E395,1)+8,FIND("kg",E395,1)-FIND("setting",E395,1)-8)</f>
        <v xml:space="preserve"> 453.70</v>
      </c>
      <c r="Q395" s="75" t="str">
        <f>SUBSTITUTE(T395&amp;N395," ","")</f>
        <v>3.14.4IPAC</v>
      </c>
      <c r="R395" s="74">
        <f>VLOOKUP(Q395,MOR投料表!A:L,9,FALSE)</f>
        <v>453.7</v>
      </c>
      <c r="T395" s="75" t="str">
        <f t="shared" si="101"/>
        <v>3.14.4</v>
      </c>
      <c r="U395" s="74" t="b">
        <f>TEXT(O395,"0.00")=TEXT(R395,"0.00")</f>
        <v>1</v>
      </c>
    </row>
    <row r="396" spans="1:21" ht="45" customHeight="1">
      <c r="A396" s="603"/>
      <c r="B396" s="602"/>
      <c r="C396" s="105" t="s">
        <v>3</v>
      </c>
      <c r="D396" s="106" t="s">
        <v>191</v>
      </c>
      <c r="E396" s="101" t="s">
        <v>192</v>
      </c>
      <c r="F396" s="105" t="str">
        <f>IFERROR(IF(FIND("开",F395,1),"开","关"),"关")</f>
        <v>关</v>
      </c>
      <c r="G396" s="105" t="str">
        <f>IFERROR(IF(FIND("开",G395,1),"开","关"),"关")</f>
        <v>关</v>
      </c>
      <c r="H396" s="105" t="str">
        <f t="shared" si="102"/>
        <v>开</v>
      </c>
      <c r="J396" s="101"/>
      <c r="K396" s="105" t="str">
        <f t="shared" si="99"/>
        <v>开</v>
      </c>
      <c r="L396" s="105" t="str">
        <f t="shared" si="100"/>
        <v>关</v>
      </c>
      <c r="M396" s="601"/>
      <c r="T396" s="75" t="str">
        <f t="shared" si="101"/>
        <v>3.14.4</v>
      </c>
    </row>
    <row r="397" spans="1:21" ht="45" customHeight="1">
      <c r="A397" s="603"/>
      <c r="B397" s="602"/>
      <c r="C397" s="105" t="s">
        <v>3</v>
      </c>
      <c r="D397" s="106" t="s">
        <v>35</v>
      </c>
      <c r="E397" s="101" t="s">
        <v>63</v>
      </c>
      <c r="F397" s="105" t="s">
        <v>37</v>
      </c>
      <c r="G397" s="105" t="str">
        <f>IFERROR(IF(FIND("开",G396,1),"开","关"),"关")</f>
        <v>关</v>
      </c>
      <c r="H397" s="105" t="str">
        <f t="shared" si="102"/>
        <v>开</v>
      </c>
      <c r="J397" s="101"/>
      <c r="K397" s="105" t="str">
        <f t="shared" si="99"/>
        <v>开</v>
      </c>
      <c r="L397" s="105" t="str">
        <f t="shared" si="100"/>
        <v>关</v>
      </c>
      <c r="M397" s="601"/>
      <c r="T397" s="75" t="str">
        <f t="shared" si="101"/>
        <v>3.14.4</v>
      </c>
    </row>
    <row r="398" spans="1:21" ht="45" customHeight="1">
      <c r="A398" s="603"/>
      <c r="B398" s="602"/>
      <c r="C398" s="105" t="s">
        <v>3</v>
      </c>
      <c r="D398" s="106" t="s">
        <v>38</v>
      </c>
      <c r="E398" s="101" t="s">
        <v>101</v>
      </c>
      <c r="F398" s="105" t="str">
        <f>IFERROR(IF(FIND("开",F397,1),"开","关"),"关")</f>
        <v>开</v>
      </c>
      <c r="G398" s="105" t="s">
        <v>29</v>
      </c>
      <c r="H398" s="105" t="str">
        <f t="shared" si="102"/>
        <v>开</v>
      </c>
      <c r="J398" s="101"/>
      <c r="K398" s="105" t="str">
        <f t="shared" si="99"/>
        <v>开</v>
      </c>
      <c r="L398" s="105" t="str">
        <f t="shared" si="100"/>
        <v>关</v>
      </c>
      <c r="M398" s="601"/>
      <c r="N398" s="75"/>
      <c r="O398" s="75"/>
      <c r="T398" s="75" t="str">
        <f t="shared" si="101"/>
        <v>3.14.4</v>
      </c>
      <c r="U398" s="74" t="b">
        <f>TEXT(O398,"0.00")=TEXT(R398,"0.00")</f>
        <v>1</v>
      </c>
    </row>
    <row r="399" spans="1:21" ht="45" customHeight="1">
      <c r="A399" s="603"/>
      <c r="B399" s="602"/>
      <c r="C399" s="105" t="s">
        <v>3</v>
      </c>
      <c r="D399" s="106" t="s">
        <v>40</v>
      </c>
      <c r="E399" s="101" t="s">
        <v>41</v>
      </c>
      <c r="F399" s="105" t="s">
        <v>42</v>
      </c>
      <c r="G399" s="105" t="str">
        <f>IFERROR(IF(FIND("开",G398,1),"开","关"),"关")</f>
        <v>关</v>
      </c>
      <c r="H399" s="105" t="str">
        <f t="shared" si="102"/>
        <v>开</v>
      </c>
      <c r="J399" s="101"/>
      <c r="K399" s="105" t="str">
        <f t="shared" si="99"/>
        <v>开</v>
      </c>
      <c r="L399" s="105" t="str">
        <f t="shared" si="100"/>
        <v>关</v>
      </c>
      <c r="M399" s="601"/>
      <c r="T399" s="75" t="str">
        <f t="shared" si="101"/>
        <v>3.14.4</v>
      </c>
    </row>
    <row r="400" spans="1:21" ht="45" customHeight="1">
      <c r="A400" s="603"/>
      <c r="B400" s="602"/>
      <c r="C400" s="105" t="s">
        <v>3</v>
      </c>
      <c r="D400" s="106" t="s">
        <v>193</v>
      </c>
      <c r="E400" s="297" t="s">
        <v>194</v>
      </c>
      <c r="F400" s="105" t="str">
        <f>IFERROR(IF(FIND("开",F399,1),"开","关"),"关")</f>
        <v>关</v>
      </c>
      <c r="G400" s="105" t="str">
        <f>IFERROR(IF(FIND("开",G399,1),"开","关"),"关")</f>
        <v>关</v>
      </c>
      <c r="H400" s="105" t="str">
        <f t="shared" si="102"/>
        <v>开</v>
      </c>
      <c r="J400" s="101"/>
      <c r="K400" s="105" t="str">
        <f t="shared" si="99"/>
        <v>开</v>
      </c>
      <c r="L400" s="105" t="str">
        <f t="shared" si="100"/>
        <v>关</v>
      </c>
      <c r="M400" s="601"/>
      <c r="T400" s="75" t="str">
        <f t="shared" si="101"/>
        <v>3.14.4</v>
      </c>
    </row>
    <row r="401" spans="1:21" ht="45" customHeight="1">
      <c r="A401" s="603" t="s">
        <v>319</v>
      </c>
      <c r="B401" s="670" t="s">
        <v>196</v>
      </c>
      <c r="C401" s="105" t="s">
        <v>3</v>
      </c>
      <c r="D401" s="106" t="s">
        <v>58</v>
      </c>
      <c r="E401" s="298" t="s">
        <v>59</v>
      </c>
      <c r="F401" s="105" t="str">
        <f>IFERROR(IF(FIND("开",F400,1),"开","关"),"关")</f>
        <v>关</v>
      </c>
      <c r="G401" s="105" t="str">
        <f>IFERROR(IF(FIND("开",G400,1),"开","关"),"关")</f>
        <v>关</v>
      </c>
      <c r="H401" s="105" t="str">
        <f t="shared" si="102"/>
        <v>开</v>
      </c>
      <c r="J401" s="101"/>
      <c r="K401" s="105" t="str">
        <f t="shared" si="99"/>
        <v>开</v>
      </c>
      <c r="L401" s="105" t="str">
        <f t="shared" si="100"/>
        <v>关</v>
      </c>
      <c r="M401" s="601">
        <v>1</v>
      </c>
      <c r="N401" s="75" t="s">
        <v>24</v>
      </c>
      <c r="O401" s="75" t="str">
        <f>MID(E401,FIND("setting",E401,1)+8,FIND("kg",E401,1)-FIND("setting",E401,1)-8)</f>
        <v xml:space="preserve"> 492.70</v>
      </c>
      <c r="Q401" s="75" t="str">
        <f>SUBSTITUTE(T401&amp;N401," ","")</f>
        <v>3.14.5DMF</v>
      </c>
      <c r="R401" s="74">
        <f>VLOOKUP(Q401,MOR投料表!A:L,9,FALSE)</f>
        <v>492.7</v>
      </c>
      <c r="T401" s="75" t="str">
        <f t="shared" si="101"/>
        <v>3.14.5</v>
      </c>
      <c r="U401" s="74" t="b">
        <f>TEXT(O401,"0.00")=TEXT(R401,"0.00")</f>
        <v>1</v>
      </c>
    </row>
    <row r="402" spans="1:21" ht="45" customHeight="1">
      <c r="A402" s="603"/>
      <c r="B402" s="602"/>
      <c r="C402" s="105" t="s">
        <v>3</v>
      </c>
      <c r="D402" s="106" t="s">
        <v>61</v>
      </c>
      <c r="E402" s="101" t="s">
        <v>62</v>
      </c>
      <c r="F402" s="105" t="str">
        <f>IFERROR(IF(FIND("开",F401,1),"开","关"),"关")</f>
        <v>关</v>
      </c>
      <c r="G402" s="105" t="str">
        <f>IFERROR(IF(FIND("开",G401,1),"开","关"),"关")</f>
        <v>关</v>
      </c>
      <c r="H402" s="105" t="str">
        <f t="shared" si="102"/>
        <v>开</v>
      </c>
      <c r="J402" s="101"/>
      <c r="K402" s="105" t="str">
        <f t="shared" si="99"/>
        <v>开</v>
      </c>
      <c r="L402" s="105" t="str">
        <f t="shared" si="100"/>
        <v>关</v>
      </c>
      <c r="M402" s="601"/>
      <c r="T402" s="75" t="str">
        <f t="shared" si="101"/>
        <v>3.14.5</v>
      </c>
    </row>
    <row r="403" spans="1:21" ht="45" customHeight="1">
      <c r="A403" s="603"/>
      <c r="B403" s="602"/>
      <c r="C403" s="105" t="s">
        <v>3</v>
      </c>
      <c r="D403" s="106" t="s">
        <v>35</v>
      </c>
      <c r="E403" s="101" t="s">
        <v>63</v>
      </c>
      <c r="F403" s="105" t="s">
        <v>37</v>
      </c>
      <c r="G403" s="105" t="str">
        <f>IFERROR(IF(FIND("开",G402,1),"开","关"),"关")</f>
        <v>关</v>
      </c>
      <c r="H403" s="105" t="str">
        <f t="shared" si="102"/>
        <v>开</v>
      </c>
      <c r="J403" s="101"/>
      <c r="K403" s="105" t="str">
        <f t="shared" si="99"/>
        <v>开</v>
      </c>
      <c r="L403" s="105" t="str">
        <f t="shared" si="100"/>
        <v>关</v>
      </c>
      <c r="M403" s="601"/>
      <c r="T403" s="75" t="str">
        <f t="shared" si="101"/>
        <v>3.14.5</v>
      </c>
    </row>
    <row r="404" spans="1:21" ht="45" customHeight="1">
      <c r="A404" s="603"/>
      <c r="B404" s="602"/>
      <c r="C404" s="105" t="s">
        <v>3</v>
      </c>
      <c r="D404" s="106" t="s">
        <v>38</v>
      </c>
      <c r="E404" s="101" t="s">
        <v>167</v>
      </c>
      <c r="F404" s="105" t="str">
        <f>IFERROR(IF(FIND("开",F403,1),"开","关"),"关")</f>
        <v>开</v>
      </c>
      <c r="G404" s="105" t="s">
        <v>29</v>
      </c>
      <c r="H404" s="105" t="str">
        <f t="shared" si="102"/>
        <v>开</v>
      </c>
      <c r="J404" s="101"/>
      <c r="K404" s="105" t="str">
        <f t="shared" si="99"/>
        <v>开</v>
      </c>
      <c r="L404" s="105" t="str">
        <f t="shared" si="100"/>
        <v>关</v>
      </c>
      <c r="M404" s="601"/>
      <c r="T404" s="75" t="str">
        <f t="shared" si="101"/>
        <v>3.14.5</v>
      </c>
    </row>
    <row r="405" spans="1:21" ht="45" customHeight="1">
      <c r="A405" s="603"/>
      <c r="B405" s="602"/>
      <c r="C405" s="105" t="s">
        <v>3</v>
      </c>
      <c r="D405" s="106" t="s">
        <v>40</v>
      </c>
      <c r="E405" s="101" t="s">
        <v>41</v>
      </c>
      <c r="F405" s="105" t="s">
        <v>42</v>
      </c>
      <c r="G405" s="105" t="str">
        <f>IFERROR(IF(FIND("开",G404,1),"开","关"),"关")</f>
        <v>关</v>
      </c>
      <c r="H405" s="105" t="str">
        <f t="shared" si="102"/>
        <v>开</v>
      </c>
      <c r="J405" s="101"/>
      <c r="K405" s="105" t="str">
        <f t="shared" si="99"/>
        <v>开</v>
      </c>
      <c r="L405" s="105" t="str">
        <f t="shared" si="100"/>
        <v>关</v>
      </c>
      <c r="M405" s="601"/>
      <c r="T405" s="75" t="str">
        <f t="shared" si="101"/>
        <v>3.14.5</v>
      </c>
    </row>
    <row r="406" spans="1:21" ht="45" customHeight="1">
      <c r="A406" s="603"/>
      <c r="B406" s="602"/>
      <c r="C406" s="105" t="s">
        <v>3</v>
      </c>
      <c r="D406" s="106" t="s">
        <v>198</v>
      </c>
      <c r="E406" s="299" t="s">
        <v>194</v>
      </c>
      <c r="F406" s="105" t="str">
        <f>IFERROR(IF(FIND("开",F405,1),"开","关"),"关")</f>
        <v>关</v>
      </c>
      <c r="G406" s="105" t="str">
        <f>IFERROR(IF(FIND("开",G405,1),"开","关"),"关")</f>
        <v>关</v>
      </c>
      <c r="H406" s="105" t="str">
        <f t="shared" si="102"/>
        <v>开</v>
      </c>
      <c r="J406" s="101"/>
      <c r="K406" s="105" t="str">
        <f t="shared" si="99"/>
        <v>开</v>
      </c>
      <c r="L406" s="105" t="str">
        <f t="shared" si="100"/>
        <v>关</v>
      </c>
      <c r="M406" s="601"/>
      <c r="T406" s="75" t="str">
        <f t="shared" si="101"/>
        <v>3.14.5</v>
      </c>
    </row>
    <row r="407" spans="1:21" ht="45" customHeight="1">
      <c r="A407" s="603" t="s">
        <v>321</v>
      </c>
      <c r="B407" s="671" t="s">
        <v>196</v>
      </c>
      <c r="C407" s="105" t="s">
        <v>3</v>
      </c>
      <c r="D407" s="106" t="s">
        <v>58</v>
      </c>
      <c r="E407" s="300" t="s">
        <v>59</v>
      </c>
      <c r="F407" s="105" t="str">
        <f>IFERROR(IF(FIND("开",F406,1),"开","关"),"关")</f>
        <v>关</v>
      </c>
      <c r="G407" s="105" t="str">
        <f>IFERROR(IF(FIND("开",G406,1),"开","关"),"关")</f>
        <v>关</v>
      </c>
      <c r="H407" s="105" t="str">
        <f t="shared" si="102"/>
        <v>开</v>
      </c>
      <c r="J407" s="101"/>
      <c r="K407" s="105" t="str">
        <f t="shared" si="99"/>
        <v>开</v>
      </c>
      <c r="L407" s="105" t="str">
        <f t="shared" si="100"/>
        <v>关</v>
      </c>
      <c r="M407" s="601">
        <v>1</v>
      </c>
      <c r="N407" s="75" t="s">
        <v>24</v>
      </c>
      <c r="O407" s="75" t="str">
        <f>MID(E407,FIND("setting",E407,1)+8,FIND("kg",E407,1)-FIND("setting",E407,1)-8)</f>
        <v xml:space="preserve"> 492.70</v>
      </c>
      <c r="Q407" s="75" t="str">
        <f>SUBSTITUTE(T407&amp;N407," ","")</f>
        <v>3.14.7DMF</v>
      </c>
      <c r="R407" s="74">
        <f>VLOOKUP(Q407,MOR投料表!A:L,9,FALSE)</f>
        <v>492.7</v>
      </c>
      <c r="T407" s="75" t="str">
        <f t="shared" si="101"/>
        <v>3.14.7</v>
      </c>
      <c r="U407" s="74" t="b">
        <f>TEXT(O407,"0.00")=TEXT(R407,"0.00")</f>
        <v>1</v>
      </c>
    </row>
    <row r="408" spans="1:21" ht="45" customHeight="1">
      <c r="A408" s="603"/>
      <c r="B408" s="602"/>
      <c r="C408" s="105" t="s">
        <v>3</v>
      </c>
      <c r="D408" s="106" t="s">
        <v>61</v>
      </c>
      <c r="E408" s="101" t="s">
        <v>62</v>
      </c>
      <c r="F408" s="105" t="str">
        <f>IFERROR(IF(FIND("开",F407,1),"开","关"),"关")</f>
        <v>关</v>
      </c>
      <c r="G408" s="105" t="str">
        <f>IFERROR(IF(FIND("开",G407,1),"开","关"),"关")</f>
        <v>关</v>
      </c>
      <c r="H408" s="105" t="str">
        <f t="shared" si="102"/>
        <v>开</v>
      </c>
      <c r="J408" s="101"/>
      <c r="K408" s="105" t="str">
        <f t="shared" si="99"/>
        <v>开</v>
      </c>
      <c r="L408" s="105" t="str">
        <f t="shared" si="100"/>
        <v>关</v>
      </c>
      <c r="M408" s="601"/>
      <c r="T408" s="75" t="str">
        <f t="shared" si="101"/>
        <v>3.14.7</v>
      </c>
    </row>
    <row r="409" spans="1:21" ht="45" customHeight="1">
      <c r="A409" s="603"/>
      <c r="B409" s="602"/>
      <c r="C409" s="105" t="s">
        <v>3</v>
      </c>
      <c r="D409" s="106" t="s">
        <v>35</v>
      </c>
      <c r="E409" s="101" t="s">
        <v>63</v>
      </c>
      <c r="F409" s="105" t="s">
        <v>37</v>
      </c>
      <c r="G409" s="105" t="str">
        <f>IFERROR(IF(FIND("开",G408,1),"开","关"),"关")</f>
        <v>关</v>
      </c>
      <c r="H409" s="105" t="str">
        <f t="shared" si="102"/>
        <v>开</v>
      </c>
      <c r="J409" s="101"/>
      <c r="K409" s="105" t="str">
        <f t="shared" si="99"/>
        <v>开</v>
      </c>
      <c r="L409" s="105" t="str">
        <f t="shared" si="100"/>
        <v>关</v>
      </c>
      <c r="M409" s="601"/>
      <c r="T409" s="75" t="str">
        <f t="shared" si="101"/>
        <v>3.14.7</v>
      </c>
    </row>
    <row r="410" spans="1:21" ht="45" customHeight="1">
      <c r="A410" s="603"/>
      <c r="B410" s="602"/>
      <c r="C410" s="105" t="s">
        <v>3</v>
      </c>
      <c r="D410" s="106" t="s">
        <v>38</v>
      </c>
      <c r="E410" s="101" t="s">
        <v>167</v>
      </c>
      <c r="F410" s="105" t="str">
        <f>IFERROR(IF(FIND("开",F409,1),"开","关"),"关")</f>
        <v>开</v>
      </c>
      <c r="G410" s="105" t="s">
        <v>29</v>
      </c>
      <c r="H410" s="105" t="str">
        <f t="shared" si="102"/>
        <v>开</v>
      </c>
      <c r="J410" s="101"/>
      <c r="K410" s="105" t="str">
        <f t="shared" si="99"/>
        <v>开</v>
      </c>
      <c r="L410" s="105" t="str">
        <f t="shared" si="100"/>
        <v>关</v>
      </c>
      <c r="M410" s="601"/>
      <c r="T410" s="75" t="str">
        <f t="shared" si="101"/>
        <v>3.14.7</v>
      </c>
    </row>
    <row r="411" spans="1:21" ht="45" customHeight="1">
      <c r="A411" s="603"/>
      <c r="B411" s="602"/>
      <c r="C411" s="105" t="s">
        <v>3</v>
      </c>
      <c r="D411" s="106" t="s">
        <v>40</v>
      </c>
      <c r="E411" s="101" t="s">
        <v>41</v>
      </c>
      <c r="F411" s="105" t="s">
        <v>42</v>
      </c>
      <c r="G411" s="105" t="str">
        <f>IFERROR(IF(FIND("开",G410,1),"开","关"),"关")</f>
        <v>关</v>
      </c>
      <c r="H411" s="105" t="str">
        <f t="shared" si="102"/>
        <v>开</v>
      </c>
      <c r="J411" s="101"/>
      <c r="K411" s="105" t="str">
        <f t="shared" si="99"/>
        <v>开</v>
      </c>
      <c r="L411" s="105" t="str">
        <f t="shared" si="100"/>
        <v>关</v>
      </c>
      <c r="M411" s="601"/>
      <c r="T411" s="75" t="str">
        <f t="shared" si="101"/>
        <v>3.14.7</v>
      </c>
    </row>
    <row r="412" spans="1:21" ht="45" customHeight="1">
      <c r="A412" s="603"/>
      <c r="B412" s="602"/>
      <c r="C412" s="105" t="s">
        <v>3</v>
      </c>
      <c r="D412" s="106" t="s">
        <v>45</v>
      </c>
      <c r="E412" s="301" t="s">
        <v>46</v>
      </c>
      <c r="F412" s="105" t="str">
        <f>IFERROR(IF(FIND("开",F411,1),"开","关"),"关")</f>
        <v>关</v>
      </c>
      <c r="G412" s="105" t="str">
        <f>IFERROR(IF(FIND("开",G411,1),"开","关"),"关")</f>
        <v>关</v>
      </c>
      <c r="H412" s="105" t="str">
        <f t="shared" si="102"/>
        <v>开</v>
      </c>
      <c r="J412" s="101"/>
      <c r="K412" s="105" t="str">
        <f t="shared" si="99"/>
        <v>开</v>
      </c>
      <c r="L412" s="105" t="str">
        <f t="shared" si="100"/>
        <v>关</v>
      </c>
      <c r="M412" s="601"/>
      <c r="T412" s="75" t="str">
        <f t="shared" si="101"/>
        <v>3.14.7</v>
      </c>
    </row>
    <row r="413" spans="1:21" ht="45" customHeight="1">
      <c r="A413" s="595" t="s">
        <v>323</v>
      </c>
      <c r="B413" s="641" t="s">
        <v>324</v>
      </c>
      <c r="C413" s="105" t="s">
        <v>8</v>
      </c>
      <c r="D413" s="76"/>
      <c r="E413" s="76"/>
      <c r="F413" s="105" t="str">
        <f>IFERROR(IF(FIND("开",F383,1),"开","关"),"关")</f>
        <v>关</v>
      </c>
      <c r="G413" s="105" t="str">
        <f>IFERROR(IF(FIND("开",G383,1),"开","关"),"关")</f>
        <v>关</v>
      </c>
      <c r="H413" s="105" t="str">
        <f>IFERROR(IF(FIND("开",H383,1),"开","关"),"关")</f>
        <v>关</v>
      </c>
      <c r="I413" s="106" t="s">
        <v>203</v>
      </c>
      <c r="J413" s="302" t="s">
        <v>204</v>
      </c>
      <c r="K413" s="105" t="str">
        <f>IFERROR(IF(FIND("开",K383,1),"开","关"),"关")</f>
        <v>关</v>
      </c>
      <c r="L413" s="105" t="s">
        <v>37</v>
      </c>
      <c r="M413" s="598">
        <v>1</v>
      </c>
      <c r="T413" s="75" t="str">
        <f>IF(ISBLANK(A413),T383,LEFT(A413,FIND(" ",A413,1)-1))</f>
        <v>3.15.1</v>
      </c>
    </row>
    <row r="414" spans="1:21" ht="45" customHeight="1">
      <c r="A414" s="634"/>
      <c r="B414" s="634"/>
      <c r="C414" s="105" t="s">
        <v>8</v>
      </c>
      <c r="E414" s="84"/>
      <c r="F414" s="105" t="str">
        <f>IFERROR(IF(FIND("开",#REF!,1),"开","关"),"关")</f>
        <v>关</v>
      </c>
      <c r="G414" s="105" t="str">
        <f>IFERROR(IF(FIND("开",#REF!,1),"开","关"),"关")</f>
        <v>关</v>
      </c>
      <c r="H414" s="105" t="str">
        <f>IFERROR(IF(FIND("开",#REF!,1),"开","关"),"关")</f>
        <v>关</v>
      </c>
      <c r="I414" s="106" t="s">
        <v>77</v>
      </c>
      <c r="J414" s="303" t="s">
        <v>23</v>
      </c>
      <c r="K414" s="105" t="str">
        <f>IFERROR(IF(FIND("开",#REF!,1),"开","关"),"关")</f>
        <v>关</v>
      </c>
      <c r="L414" s="105" t="str">
        <f>IFERROR(IF(FIND("开",#REF!,1),"开","关"),"关")</f>
        <v>关</v>
      </c>
      <c r="M414" s="634"/>
      <c r="N414" s="75" t="s">
        <v>24</v>
      </c>
      <c r="O414" s="75" t="str">
        <f>MID(J414,FIND("setting",J414,1)+8,FIND("kg",J414,1)-FIND("setting",J414,1)-8)</f>
        <v xml:space="preserve"> 369.85</v>
      </c>
      <c r="Q414" s="75" t="str">
        <f>SUBSTITUTE(T414&amp;N414," ","")</f>
        <v>3.15.1DMF</v>
      </c>
      <c r="R414" s="74">
        <f>VLOOKUP(Q414,MOR投料表!A:L,9,FALSE)</f>
        <v>369.85</v>
      </c>
      <c r="T414" s="75" t="str">
        <f>IF(ISBLANK(A414),T413,LEFT(A414,FIND(" ",A414,1)-1))</f>
        <v>3.15.1</v>
      </c>
      <c r="U414" s="74" t="b">
        <f>TEXT(O414,"0.00")=TEXT(R414,"0.00")</f>
        <v>1</v>
      </c>
    </row>
    <row r="415" spans="1:21" ht="45" customHeight="1">
      <c r="A415" s="634"/>
      <c r="B415" s="634"/>
      <c r="C415" s="105" t="s">
        <v>8</v>
      </c>
      <c r="E415" s="77"/>
      <c r="F415" s="105" t="str">
        <f t="shared" ref="F415:H416" si="103">IFERROR(IF(FIND("开",F414,1),"开","关"),"关")</f>
        <v>关</v>
      </c>
      <c r="G415" s="105" t="str">
        <f t="shared" si="103"/>
        <v>关</v>
      </c>
      <c r="H415" s="105" t="str">
        <f t="shared" si="103"/>
        <v>关</v>
      </c>
      <c r="I415" s="106" t="s">
        <v>61</v>
      </c>
      <c r="J415" s="101" t="s">
        <v>26</v>
      </c>
      <c r="K415" s="105" t="str">
        <f>IFERROR(IF(FIND("开",K414,1),"开","关"),"关")</f>
        <v>关</v>
      </c>
      <c r="L415" s="105" t="str">
        <f>IFERROR(IF(FIND("开",L414,1),"开","关"),"关")</f>
        <v>关</v>
      </c>
      <c r="M415" s="634"/>
      <c r="T415" s="75" t="str">
        <f>IF(ISBLANK(A415),T414,LEFT(A415,FIND(" ",A415,1)-1))</f>
        <v>3.15.1</v>
      </c>
    </row>
    <row r="416" spans="1:21" ht="45" customHeight="1">
      <c r="A416" s="634"/>
      <c r="B416" s="634"/>
      <c r="C416" s="105" t="s">
        <v>8</v>
      </c>
      <c r="E416" s="77"/>
      <c r="F416" s="105" t="str">
        <f t="shared" si="103"/>
        <v>关</v>
      </c>
      <c r="G416" s="105" t="str">
        <f t="shared" si="103"/>
        <v>关</v>
      </c>
      <c r="H416" s="105" t="str">
        <f t="shared" si="103"/>
        <v>关</v>
      </c>
      <c r="I416" s="106" t="s">
        <v>78</v>
      </c>
      <c r="J416" s="101" t="s">
        <v>79</v>
      </c>
      <c r="K416" s="105" t="s">
        <v>37</v>
      </c>
      <c r="L416" s="105" t="str">
        <f>IFERROR(IF(FIND("开",L415,1),"开","关"),"关")</f>
        <v>关</v>
      </c>
      <c r="M416" s="634"/>
      <c r="T416" s="75" t="str">
        <f>IF(ISBLANK(A416),T415,LEFT(A416,FIND(" ",A416,1)-1))</f>
        <v>3.15.1</v>
      </c>
    </row>
    <row r="417" spans="1:21" ht="56.25" customHeight="1">
      <c r="A417" s="634"/>
      <c r="B417" s="634"/>
      <c r="C417" s="105" t="s">
        <v>8</v>
      </c>
      <c r="E417" s="77"/>
      <c r="F417" s="105" t="str">
        <f>IFERROR(IF(FIND("开",F412,1),"开","关"),"关")</f>
        <v>关</v>
      </c>
      <c r="G417" s="105" t="str">
        <f>IFERROR(IF(FIND("开",G412,1),"开","关"),"关")</f>
        <v>关</v>
      </c>
      <c r="H417" s="105" t="str">
        <f>IFERROR(IF(FIND("开",H412,1),"开","关"),"关")</f>
        <v>开</v>
      </c>
      <c r="I417" s="106" t="s">
        <v>326</v>
      </c>
      <c r="J417" s="101" t="s">
        <v>208</v>
      </c>
      <c r="K417" s="105" t="str">
        <f>IFERROR(IF(FIND("开",K412,1),"开","关"),"关")</f>
        <v>开</v>
      </c>
      <c r="L417" s="105" t="str">
        <f>IFERROR(IF(FIND("开",L412,1),"开","关"),"关")</f>
        <v>关</v>
      </c>
      <c r="M417" s="634"/>
      <c r="N417" s="75" t="str">
        <f>MID(J417,FIND("物料",J417,1)+3,FIND("投料重量",J417,1)-FIND("物料",J417,1)-4)</f>
        <v>Fmoc-L-Thr(tBu)-OH</v>
      </c>
      <c r="O417" s="75" t="e">
        <f>MID(J417,FIND("投料重量",J417,1)+5,FIND("kg",J417,1)-FIND("投料重量",J417,1)-5)</f>
        <v>#VALUE!</v>
      </c>
      <c r="P417" s="75" t="str">
        <f>SUBSTITUTE(RIGHT(J417,LEN(J417)-FIND("重量误差",J417,1)-4),"kg","")</f>
        <v>______</v>
      </c>
      <c r="Q417" s="75" t="str">
        <f>SUBSTITUTE(T417&amp;N417," ","")</f>
        <v>3.14.7Fmoc-L-Thr(tBu)-OH</v>
      </c>
      <c r="R417" s="74" t="e">
        <f>VLOOKUP(Q417,氨基酸和溶剂信息!A:P,8,FALSE)</f>
        <v>#N/A</v>
      </c>
      <c r="T417" s="75" t="str">
        <f>IF(ISBLANK(A417),T412,LEFT(A417,FIND(" ",A417,1)-1))</f>
        <v>3.14.7</v>
      </c>
      <c r="U417" s="74" t="e">
        <f>TEXT(O417,"0.00")=TEXT(R417,"0.00")</f>
        <v>#VALUE!</v>
      </c>
    </row>
    <row r="418" spans="1:21" ht="45" customHeight="1">
      <c r="A418" s="634"/>
      <c r="B418" s="634"/>
      <c r="C418" s="105" t="s">
        <v>8</v>
      </c>
      <c r="E418" s="77"/>
      <c r="I418" s="106" t="s">
        <v>93</v>
      </c>
      <c r="J418" s="304" t="s">
        <v>209</v>
      </c>
      <c r="M418" s="634"/>
      <c r="N418" s="75"/>
      <c r="O418" s="75"/>
      <c r="P418" s="75"/>
      <c r="Q418" s="75"/>
      <c r="T418" s="75"/>
    </row>
    <row r="419" spans="1:21" ht="45" customHeight="1">
      <c r="A419" s="634"/>
      <c r="B419" s="634"/>
      <c r="C419" s="105" t="s">
        <v>8</v>
      </c>
      <c r="E419" s="77"/>
      <c r="F419" s="105" t="str">
        <f>IFERROR(IF(FIND("开",F417,1),"开","关"),"关")</f>
        <v>关</v>
      </c>
      <c r="G419" s="105" t="str">
        <f>IFERROR(IF(FIND("开",G417,1),"开","关"),"关")</f>
        <v>关</v>
      </c>
      <c r="H419" s="105" t="str">
        <f>IFERROR(IF(FIND("开",H417,1),"开","关"),"关")</f>
        <v>开</v>
      </c>
      <c r="I419" s="106" t="s">
        <v>95</v>
      </c>
      <c r="J419" s="305" t="s">
        <v>210</v>
      </c>
      <c r="K419" s="105" t="str">
        <f>IFERROR(IF(FIND("开",K417,1),"开","关"),"关")</f>
        <v>开</v>
      </c>
      <c r="L419" s="105" t="str">
        <f>IFERROR(IF(FIND("开",L417,1),"开","关"),"关")</f>
        <v>关</v>
      </c>
      <c r="M419" s="634"/>
      <c r="N419" s="75"/>
      <c r="O419" s="75"/>
      <c r="P419" s="75"/>
      <c r="Q419" s="75"/>
      <c r="T419" s="75" t="str">
        <f>IF(ISBLANK(A419),T417,LEFT(A419,FIND(" ",A419,1)-1))</f>
        <v>3.14.7</v>
      </c>
    </row>
    <row r="420" spans="1:21" ht="45" customHeight="1">
      <c r="A420" s="634"/>
      <c r="B420" s="634"/>
      <c r="C420" s="105" t="s">
        <v>8</v>
      </c>
      <c r="E420" s="77"/>
      <c r="F420" s="105" t="str">
        <f t="shared" ref="F420:F430" si="104">IFERROR(IF(FIND("开",F419,1),"开","关"),"关")</f>
        <v>关</v>
      </c>
      <c r="G420" s="105" t="str">
        <f t="shared" ref="G420:G430" si="105">IFERROR(IF(FIND("开",G419,1),"开","关"),"关")</f>
        <v>关</v>
      </c>
      <c r="H420" s="105" t="str">
        <f t="shared" ref="H420:H430" si="106">IFERROR(IF(FIND("开",H419,1),"开","关"),"关")</f>
        <v>开</v>
      </c>
      <c r="I420" s="106" t="s">
        <v>123</v>
      </c>
      <c r="J420" s="306" t="s">
        <v>211</v>
      </c>
      <c r="K420" s="105" t="str">
        <f t="shared" ref="K420:K429" si="107">IFERROR(IF(FIND("开",K419,1),"开","关"),"关")</f>
        <v>开</v>
      </c>
      <c r="L420" s="105" t="s">
        <v>42</v>
      </c>
      <c r="M420" s="634"/>
      <c r="N420" s="75"/>
      <c r="O420" s="75"/>
      <c r="P420" s="75"/>
      <c r="Q420" s="75"/>
      <c r="T420" s="75" t="str">
        <f>IF(ISBLANK(A420),T419,LEFT(A420,FIND(" ",A420,1)-1))</f>
        <v>3.14.7</v>
      </c>
    </row>
    <row r="421" spans="1:21" ht="45" customHeight="1">
      <c r="A421" s="634"/>
      <c r="B421" s="634"/>
      <c r="C421" s="105" t="s">
        <v>8</v>
      </c>
      <c r="E421" s="77"/>
      <c r="F421" s="105" t="str">
        <f t="shared" si="104"/>
        <v>关</v>
      </c>
      <c r="G421" s="105" t="str">
        <f t="shared" si="105"/>
        <v>关</v>
      </c>
      <c r="H421" s="105" t="str">
        <f t="shared" si="106"/>
        <v>开</v>
      </c>
      <c r="I421" s="106" t="s">
        <v>203</v>
      </c>
      <c r="J421" s="101" t="s">
        <v>255</v>
      </c>
      <c r="K421" s="105" t="str">
        <f t="shared" si="107"/>
        <v>开</v>
      </c>
      <c r="L421" s="105" t="s">
        <v>37</v>
      </c>
      <c r="M421" s="634"/>
      <c r="N421" s="75"/>
      <c r="O421" s="75"/>
      <c r="P421" s="75"/>
      <c r="Q421" s="75"/>
      <c r="T421" s="75" t="str">
        <f>IF(ISBLANK(A421),T420,LEFT(A421,FIND(" ",A421,1)-1))</f>
        <v>3.14.7</v>
      </c>
    </row>
    <row r="422" spans="1:21" ht="45" customHeight="1">
      <c r="A422" s="634"/>
      <c r="B422" s="634"/>
      <c r="C422" s="105" t="s">
        <v>8</v>
      </c>
      <c r="E422" s="77"/>
      <c r="F422" s="105" t="str">
        <f t="shared" si="104"/>
        <v>关</v>
      </c>
      <c r="G422" s="105" t="str">
        <f t="shared" si="105"/>
        <v>关</v>
      </c>
      <c r="H422" s="105" t="str">
        <f t="shared" si="106"/>
        <v>开</v>
      </c>
      <c r="I422" s="106" t="s">
        <v>91</v>
      </c>
      <c r="J422" s="307" t="s">
        <v>256</v>
      </c>
      <c r="K422" s="105" t="str">
        <f t="shared" si="107"/>
        <v>开</v>
      </c>
      <c r="L422" s="105" t="str">
        <f t="shared" ref="L422:L430" si="108">IFERROR(IF(FIND("开",L421,1),"开","关"),"关")</f>
        <v>开</v>
      </c>
      <c r="M422" s="634"/>
      <c r="N422" s="75"/>
      <c r="O422" s="75"/>
      <c r="P422" s="75"/>
      <c r="Q422" s="75"/>
      <c r="T422" s="75" t="str">
        <f>IF(ISBLANK(A422),T421,LEFT(A422,FIND(" ",A422,1)-1))</f>
        <v>3.14.7</v>
      </c>
    </row>
    <row r="423" spans="1:21" ht="45" customHeight="1">
      <c r="A423" s="634"/>
      <c r="B423" s="634"/>
      <c r="C423" s="105" t="s">
        <v>8</v>
      </c>
      <c r="E423" s="77"/>
      <c r="F423" s="105" t="str">
        <f t="shared" si="104"/>
        <v>关</v>
      </c>
      <c r="G423" s="105" t="str">
        <f t="shared" si="105"/>
        <v>关</v>
      </c>
      <c r="H423" s="105" t="str">
        <f t="shared" si="106"/>
        <v>开</v>
      </c>
      <c r="I423" s="106" t="s">
        <v>217</v>
      </c>
      <c r="J423" s="101" t="s">
        <v>218</v>
      </c>
      <c r="K423" s="105" t="str">
        <f t="shared" si="107"/>
        <v>开</v>
      </c>
      <c r="L423" s="105" t="str">
        <f t="shared" si="108"/>
        <v>开</v>
      </c>
      <c r="M423" s="634"/>
      <c r="N423" s="75" t="str">
        <f>MID(J423,FIND("物料",J423,1)+3,FIND("投料重量",J423,1)-FIND("物料",J423,1)-4)</f>
        <v>OxymaPure</v>
      </c>
      <c r="O423" s="75" t="e">
        <f>MID(J423,FIND("投料重量",J423,1)+5,FIND("kg",J423,1)-FIND("投料重量",J423,1)-5)</f>
        <v>#VALUE!</v>
      </c>
      <c r="P423" s="75" t="str">
        <f>SUBSTITUTE(RIGHT(J423,LEN(J423)-FIND("重量误差",J423,1)-4),"kg","")</f>
        <v>______</v>
      </c>
      <c r="Q423" s="75" t="str">
        <f>SUBSTITUTE(T423&amp;N423," ","")</f>
        <v>3.14.7OxymaPure</v>
      </c>
      <c r="R423" s="74" t="e">
        <f>VLOOKUP(Q423,氨基酸和溶剂信息!A:P,8,FALSE)</f>
        <v>#N/A</v>
      </c>
      <c r="T423" s="75" t="str">
        <f>IF(ISBLANK(A423),T422,LEFT(A423,FIND(" ",A423,1)-1))</f>
        <v>3.14.7</v>
      </c>
      <c r="U423" s="74" t="e">
        <f>TEXT(O423,"0.00")=TEXT(R423,"0.00")</f>
        <v>#VALUE!</v>
      </c>
    </row>
    <row r="424" spans="1:21" ht="45" customHeight="1">
      <c r="A424" s="634"/>
      <c r="B424" s="634"/>
      <c r="C424" s="105" t="s">
        <v>8</v>
      </c>
      <c r="E424" s="77"/>
      <c r="F424" s="105" t="str">
        <f t="shared" si="104"/>
        <v>关</v>
      </c>
      <c r="G424" s="105" t="str">
        <f t="shared" si="105"/>
        <v>关</v>
      </c>
      <c r="H424" s="105" t="str">
        <f t="shared" si="106"/>
        <v>开</v>
      </c>
      <c r="I424" s="106" t="s">
        <v>82</v>
      </c>
      <c r="J424" s="308" t="s">
        <v>83</v>
      </c>
      <c r="K424" s="105" t="str">
        <f t="shared" si="107"/>
        <v>开</v>
      </c>
      <c r="L424" s="105" t="str">
        <f t="shared" si="108"/>
        <v>开</v>
      </c>
      <c r="M424" s="634"/>
      <c r="N424" s="75" t="s">
        <v>24</v>
      </c>
      <c r="O424" s="75" t="str">
        <f>MID(J424,FIND("setting",J424,1)+8,FIND("kg",J424,1)-FIND("setting",J424,1)-8)</f>
        <v xml:space="preserve"> 61.75</v>
      </c>
      <c r="Q424" s="75" t="str">
        <f>SUBSTITUTE(T424&amp;N424," ","")</f>
        <v>3.15.5DMF</v>
      </c>
      <c r="R424" s="74">
        <f>VLOOKUP(Q424,MOR投料表!A:L,9,FALSE)</f>
        <v>61.75</v>
      </c>
      <c r="T424" s="75" t="s">
        <v>327</v>
      </c>
      <c r="U424" s="74" t="b">
        <f>TEXT(O424,"0.00")=TEXT(R424,"0.00")</f>
        <v>1</v>
      </c>
    </row>
    <row r="425" spans="1:21" ht="45" customHeight="1">
      <c r="A425" s="634"/>
      <c r="B425" s="634"/>
      <c r="C425" s="105" t="s">
        <v>8</v>
      </c>
      <c r="E425" s="77"/>
      <c r="F425" s="105" t="str">
        <f t="shared" si="104"/>
        <v>关</v>
      </c>
      <c r="G425" s="105" t="str">
        <f t="shared" si="105"/>
        <v>关</v>
      </c>
      <c r="H425" s="105" t="str">
        <f t="shared" si="106"/>
        <v>开</v>
      </c>
      <c r="I425" s="106" t="s">
        <v>85</v>
      </c>
      <c r="J425" s="101" t="s">
        <v>86</v>
      </c>
      <c r="K425" s="105" t="str">
        <f t="shared" si="107"/>
        <v>开</v>
      </c>
      <c r="L425" s="105" t="str">
        <f t="shared" si="108"/>
        <v>开</v>
      </c>
      <c r="M425" s="634"/>
      <c r="N425" s="75"/>
      <c r="O425" s="75"/>
      <c r="T425" s="75" t="str">
        <f t="shared" ref="T425:T430" si="109">IF(ISBLANK(A425),T424,LEFT(A425,FIND(" ",A425,1)-1))</f>
        <v>3.15.5</v>
      </c>
      <c r="U425" s="74" t="b">
        <f>TEXT(O425,"0.00")=TEXT(R425,"0.00")</f>
        <v>1</v>
      </c>
    </row>
    <row r="426" spans="1:21" ht="60" customHeight="1">
      <c r="A426" s="634"/>
      <c r="B426" s="634"/>
      <c r="C426" s="105" t="s">
        <v>30</v>
      </c>
      <c r="D426" s="106" t="s">
        <v>68</v>
      </c>
      <c r="E426" s="309" t="s">
        <v>258</v>
      </c>
      <c r="F426" s="105" t="str">
        <f t="shared" si="104"/>
        <v>关</v>
      </c>
      <c r="G426" s="105" t="str">
        <f t="shared" si="105"/>
        <v>关</v>
      </c>
      <c r="H426" s="105" t="str">
        <f t="shared" si="106"/>
        <v>开</v>
      </c>
      <c r="I426" s="106"/>
      <c r="J426" s="101"/>
      <c r="K426" s="105" t="str">
        <f t="shared" si="107"/>
        <v>开</v>
      </c>
      <c r="L426" s="105" t="str">
        <f t="shared" si="108"/>
        <v>开</v>
      </c>
      <c r="M426" s="634"/>
      <c r="T426" s="75" t="str">
        <f t="shared" si="109"/>
        <v>3.15.5</v>
      </c>
    </row>
    <row r="427" spans="1:21" ht="45" customHeight="1">
      <c r="A427" s="634"/>
      <c r="B427" s="634"/>
      <c r="C427" s="105" t="s">
        <v>8</v>
      </c>
      <c r="E427" s="77"/>
      <c r="F427" s="105" t="str">
        <f t="shared" si="104"/>
        <v>关</v>
      </c>
      <c r="G427" s="105" t="str">
        <f t="shared" si="105"/>
        <v>关</v>
      </c>
      <c r="H427" s="105" t="str">
        <f t="shared" si="106"/>
        <v>开</v>
      </c>
      <c r="I427" s="106" t="s">
        <v>259</v>
      </c>
      <c r="J427" s="77" t="s">
        <v>260</v>
      </c>
      <c r="K427" s="105" t="str">
        <f t="shared" si="107"/>
        <v>开</v>
      </c>
      <c r="L427" s="105" t="str">
        <f t="shared" si="108"/>
        <v>开</v>
      </c>
      <c r="M427" s="634"/>
      <c r="N427" s="75" t="str">
        <f>SUBSTITUTE(MID(J427,FIND("-》",J427,1)+11,FIND(", weight",J427,1)-FIND("-》",J427,1)-11),"-喷淋-固体喷淋","")</f>
        <v xml:space="preserve"> DIC</v>
      </c>
      <c r="O427" s="75" t="e">
        <f>MID(J427,FIND("量",J427,1)+2,FIND("kg",J427,1)-FIND("量",J427,1)-2)</f>
        <v>#VALUE!</v>
      </c>
      <c r="Q427" s="75" t="str">
        <f>SUBSTITUTE(T427&amp;N427," ","")</f>
        <v>3.15.5DIC</v>
      </c>
      <c r="R427" s="74" t="e">
        <f>VLOOKUP(Q427,氨基酸和溶剂信息!A:P,8,FALSE)</f>
        <v>#N/A</v>
      </c>
      <c r="T427" s="75" t="str">
        <f t="shared" si="109"/>
        <v>3.15.5</v>
      </c>
      <c r="U427" s="74" t="e">
        <f>TEXT(O427,"0.00")=TEXT(R427,"0.00")</f>
        <v>#VALUE!</v>
      </c>
    </row>
    <row r="428" spans="1:21" ht="45" customHeight="1">
      <c r="A428" s="634"/>
      <c r="B428" s="634"/>
      <c r="C428" s="105" t="s">
        <v>8</v>
      </c>
      <c r="E428" s="77"/>
      <c r="F428" s="105" t="str">
        <f t="shared" si="104"/>
        <v>关</v>
      </c>
      <c r="G428" s="105" t="str">
        <f t="shared" si="105"/>
        <v>关</v>
      </c>
      <c r="H428" s="105" t="str">
        <f t="shared" si="106"/>
        <v>开</v>
      </c>
      <c r="I428" s="106" t="s">
        <v>261</v>
      </c>
      <c r="J428" s="77" t="s">
        <v>262</v>
      </c>
      <c r="K428" s="105" t="str">
        <f t="shared" si="107"/>
        <v>开</v>
      </c>
      <c r="L428" s="105" t="str">
        <f t="shared" si="108"/>
        <v>开</v>
      </c>
      <c r="M428" s="634"/>
      <c r="T428" s="75" t="str">
        <f t="shared" si="109"/>
        <v>3.15.5</v>
      </c>
    </row>
    <row r="429" spans="1:21" ht="45" customHeight="1">
      <c r="A429" s="634"/>
      <c r="B429" s="634"/>
      <c r="C429" s="105" t="s">
        <v>8</v>
      </c>
      <c r="E429" s="77"/>
      <c r="F429" s="105" t="str">
        <f t="shared" si="104"/>
        <v>关</v>
      </c>
      <c r="G429" s="105" t="str">
        <f t="shared" si="105"/>
        <v>关</v>
      </c>
      <c r="H429" s="105" t="str">
        <f t="shared" si="106"/>
        <v>开</v>
      </c>
      <c r="I429" s="106" t="s">
        <v>221</v>
      </c>
      <c r="J429" s="310" t="s">
        <v>263</v>
      </c>
      <c r="K429" s="105" t="str">
        <f t="shared" si="107"/>
        <v>开</v>
      </c>
      <c r="L429" s="105" t="str">
        <f t="shared" si="108"/>
        <v>开</v>
      </c>
      <c r="M429" s="634"/>
      <c r="T429" s="75" t="str">
        <f t="shared" si="109"/>
        <v>3.15.5</v>
      </c>
    </row>
    <row r="430" spans="1:21" ht="45" customHeight="1">
      <c r="A430" s="634"/>
      <c r="B430" s="634"/>
      <c r="C430" s="105" t="s">
        <v>8</v>
      </c>
      <c r="E430" s="77"/>
      <c r="F430" s="105" t="str">
        <f t="shared" si="104"/>
        <v>关</v>
      </c>
      <c r="G430" s="105" t="str">
        <f t="shared" si="105"/>
        <v>关</v>
      </c>
      <c r="H430" s="105" t="str">
        <f t="shared" si="106"/>
        <v>开</v>
      </c>
      <c r="I430" s="106" t="s">
        <v>110</v>
      </c>
      <c r="J430" s="101" t="s">
        <v>111</v>
      </c>
      <c r="K430" s="105" t="s">
        <v>42</v>
      </c>
      <c r="L430" s="105" t="str">
        <f t="shared" si="108"/>
        <v>开</v>
      </c>
      <c r="M430" s="634"/>
      <c r="T430" s="75" t="str">
        <f t="shared" si="109"/>
        <v>3.15.5</v>
      </c>
    </row>
    <row r="431" spans="1:21" ht="45" customHeight="1">
      <c r="A431" s="634"/>
      <c r="B431" s="634"/>
      <c r="C431" s="105" t="s">
        <v>8</v>
      </c>
      <c r="E431" s="77"/>
      <c r="I431" s="106" t="s">
        <v>112</v>
      </c>
      <c r="J431" s="311" t="s">
        <v>113</v>
      </c>
      <c r="M431" s="635"/>
      <c r="T431" s="75"/>
    </row>
    <row r="432" spans="1:21" ht="45" customHeight="1">
      <c r="A432" s="595" t="s">
        <v>328</v>
      </c>
      <c r="B432" s="676" t="s">
        <v>115</v>
      </c>
      <c r="C432" s="105" t="s">
        <v>30</v>
      </c>
      <c r="D432" s="106" t="s">
        <v>31</v>
      </c>
      <c r="E432" s="312" t="s">
        <v>32</v>
      </c>
      <c r="F432" s="105" t="str">
        <f>IFERROR(IF(FIND("开",F430,1),"开","关"),"关")</f>
        <v>关</v>
      </c>
      <c r="G432" s="105" t="str">
        <f>IFERROR(IF(FIND("开",G430,1),"开","关"),"关")</f>
        <v>关</v>
      </c>
      <c r="H432" s="105" t="str">
        <f>IFERROR(IF(FIND("开",H430,1),"开","关"),"关")</f>
        <v>开</v>
      </c>
      <c r="I432" s="74"/>
      <c r="J432" s="77"/>
      <c r="K432" s="105" t="str">
        <f>IFERROR(IF(FIND("开",K430,1),"开","关"),"关")</f>
        <v>关</v>
      </c>
      <c r="L432" s="105" t="str">
        <f>IFERROR(IF(FIND("开",L430,1),"开","关"),"关")</f>
        <v>开</v>
      </c>
      <c r="M432" s="598">
        <v>1</v>
      </c>
      <c r="T432" s="75" t="str">
        <f>IF(ISBLANK(A432),T430,LEFT(A432,FIND(" ",A432,1)-1))</f>
        <v>3.16.1</v>
      </c>
    </row>
    <row r="433" spans="1:22" ht="45" customHeight="1">
      <c r="A433" s="596"/>
      <c r="B433" s="622"/>
      <c r="C433" s="105" t="s">
        <v>8</v>
      </c>
      <c r="D433" s="106"/>
      <c r="E433" s="101"/>
      <c r="I433" s="74" t="s">
        <v>116</v>
      </c>
      <c r="J433" s="313" t="s">
        <v>117</v>
      </c>
      <c r="M433" s="599"/>
      <c r="T433" s="75"/>
    </row>
    <row r="434" spans="1:22" ht="45" customHeight="1">
      <c r="A434" s="596"/>
      <c r="B434" s="622"/>
      <c r="C434" s="105" t="s">
        <v>30</v>
      </c>
      <c r="D434" s="106" t="s">
        <v>33</v>
      </c>
      <c r="E434" s="101" t="s">
        <v>34</v>
      </c>
      <c r="F434" s="105" t="str">
        <f>IFERROR(IF(FIND("开",F432,1),"开","关"),"关")</f>
        <v>关</v>
      </c>
      <c r="G434" s="105" t="str">
        <f>IFERROR(IF(FIND("开",G432,1),"开","关"),"关")</f>
        <v>关</v>
      </c>
      <c r="H434" s="105" t="str">
        <f>IFERROR(IF(FIND("开",H432,1),"开","关"),"关")</f>
        <v>开</v>
      </c>
      <c r="I434" s="74"/>
      <c r="J434" s="77"/>
      <c r="K434" s="105" t="str">
        <f>IFERROR(IF(FIND("开",K432,1),"开","关"),"关")</f>
        <v>关</v>
      </c>
      <c r="L434" s="105" t="str">
        <f>IFERROR(IF(FIND("开",L432,1),"开","关"),"关")</f>
        <v>开</v>
      </c>
      <c r="M434" s="599"/>
      <c r="T434" s="75" t="str">
        <f>IF(ISBLANK(A434),T432,LEFT(A434,FIND(" ",A434,1)-1))</f>
        <v>3.16.1</v>
      </c>
    </row>
    <row r="435" spans="1:22" ht="45" customHeight="1">
      <c r="A435" s="596"/>
      <c r="B435" s="622"/>
      <c r="C435" s="105" t="s">
        <v>8</v>
      </c>
      <c r="D435" s="105"/>
      <c r="E435" s="104"/>
      <c r="F435" s="105" t="str">
        <f>IFERROR(IF(FIND("开",F434,1),"开","关"),"关")</f>
        <v>关</v>
      </c>
      <c r="G435" s="105" t="str">
        <f>IFERROR(IF(FIND("开",G434,1),"开","关"),"关")</f>
        <v>关</v>
      </c>
      <c r="H435" s="105" t="str">
        <f>IFERROR(IF(FIND("开",H434,1),"开","关"),"关")</f>
        <v>开</v>
      </c>
      <c r="I435" s="106" t="s">
        <v>22</v>
      </c>
      <c r="J435" s="314" t="s">
        <v>118</v>
      </c>
      <c r="K435" s="105" t="str">
        <f t="shared" ref="K435:L440" si="110">IFERROR(IF(FIND("开",K434,1),"开","关"),"关")</f>
        <v>关</v>
      </c>
      <c r="L435" s="105" t="str">
        <f t="shared" si="110"/>
        <v>开</v>
      </c>
      <c r="M435" s="600"/>
      <c r="N435" s="75" t="s">
        <v>24</v>
      </c>
      <c r="O435" s="75" t="str">
        <f>MID(J435,FIND("setting",J435,1)+8,FIND("kg",J435,1)-FIND("setting",J435,1)-8)</f>
        <v xml:space="preserve"> 61.75</v>
      </c>
      <c r="Q435" s="75" t="str">
        <f>SUBSTITUTE(T435&amp;N435," ","")</f>
        <v>3.16.2DMF</v>
      </c>
      <c r="R435" s="74">
        <f>VLOOKUP(Q435,MOR投料表!A:L,9,FALSE)</f>
        <v>61.75</v>
      </c>
      <c r="T435" s="75" t="s">
        <v>329</v>
      </c>
      <c r="U435" s="74" t="b">
        <f>TEXT(O435,"0.00")=TEXT(R435,"0.00")</f>
        <v>1</v>
      </c>
    </row>
    <row r="436" spans="1:22" ht="45" customHeight="1">
      <c r="A436" s="595" t="s">
        <v>330</v>
      </c>
      <c r="B436" s="620" t="s">
        <v>331</v>
      </c>
      <c r="C436" s="105" t="s">
        <v>3</v>
      </c>
      <c r="D436" s="106" t="s">
        <v>35</v>
      </c>
      <c r="E436" s="101" t="s">
        <v>63</v>
      </c>
      <c r="F436" s="105" t="s">
        <v>37</v>
      </c>
      <c r="G436" s="105" t="str">
        <f>IFERROR(IF(FIND("开",G435,1),"开","关"),"关")</f>
        <v>关</v>
      </c>
      <c r="H436" s="105" t="str">
        <f>IFERROR(IF(FIND("开",H435,1),"开","关"),"关")</f>
        <v>开</v>
      </c>
      <c r="I436" s="106"/>
      <c r="J436" s="101"/>
      <c r="K436" s="105" t="str">
        <f t="shared" si="110"/>
        <v>关</v>
      </c>
      <c r="L436" s="105" t="str">
        <f t="shared" si="110"/>
        <v>开</v>
      </c>
      <c r="M436" s="598">
        <v>1</v>
      </c>
      <c r="T436" s="75" t="str">
        <f t="shared" ref="T436:T467" si="111">IF(ISBLANK(A436),T435,LEFT(A436,FIND(" ",A436,1)-1))</f>
        <v>3.16.3</v>
      </c>
    </row>
    <row r="437" spans="1:22" ht="45" customHeight="1">
      <c r="A437" s="596"/>
      <c r="B437" s="599"/>
      <c r="C437" s="105" t="s">
        <v>3</v>
      </c>
      <c r="D437" s="106" t="s">
        <v>64</v>
      </c>
      <c r="E437" s="101" t="s">
        <v>65</v>
      </c>
      <c r="F437" s="105" t="str">
        <f t="shared" ref="F437:F446" si="112">IFERROR(IF(FIND("开",F436,1),"开","关"),"关")</f>
        <v>开</v>
      </c>
      <c r="G437" s="105" t="s">
        <v>37</v>
      </c>
      <c r="H437" s="105" t="str">
        <f t="shared" ref="H437:H463" si="113">IFERROR(IF(FIND("开",H436,1),"开","关"),"关")</f>
        <v>开</v>
      </c>
      <c r="I437" s="106"/>
      <c r="J437" s="101"/>
      <c r="K437" s="105" t="str">
        <f t="shared" si="110"/>
        <v>关</v>
      </c>
      <c r="L437" s="105" t="str">
        <f t="shared" si="110"/>
        <v>开</v>
      </c>
      <c r="M437" s="599"/>
      <c r="T437" s="75" t="str">
        <f t="shared" si="111"/>
        <v>3.16.3</v>
      </c>
    </row>
    <row r="438" spans="1:22" ht="45" customHeight="1">
      <c r="A438" s="596"/>
      <c r="B438" s="599"/>
      <c r="C438" s="105" t="s">
        <v>8</v>
      </c>
      <c r="D438" s="105"/>
      <c r="E438" s="104"/>
      <c r="F438" s="105" t="str">
        <f t="shared" si="112"/>
        <v>开</v>
      </c>
      <c r="G438" s="105" t="str">
        <f t="shared" ref="G438:G445" si="114">IFERROR(IF(FIND("开",G437,1),"开","关"),"关")</f>
        <v>开</v>
      </c>
      <c r="H438" s="105" t="str">
        <f t="shared" si="113"/>
        <v>开</v>
      </c>
      <c r="I438" s="106" t="s">
        <v>61</v>
      </c>
      <c r="J438" s="101" t="s">
        <v>26</v>
      </c>
      <c r="K438" s="105" t="str">
        <f t="shared" si="110"/>
        <v>关</v>
      </c>
      <c r="L438" s="105" t="str">
        <f t="shared" si="110"/>
        <v>开</v>
      </c>
      <c r="M438" s="599"/>
      <c r="T438" s="75" t="str">
        <f t="shared" si="111"/>
        <v>3.16.3</v>
      </c>
    </row>
    <row r="439" spans="1:22" ht="45" customHeight="1">
      <c r="A439" s="596"/>
      <c r="B439" s="599"/>
      <c r="C439" s="105" t="s">
        <v>30</v>
      </c>
      <c r="D439" s="106" t="s">
        <v>31</v>
      </c>
      <c r="E439" s="315" t="s">
        <v>32</v>
      </c>
      <c r="F439" s="105" t="str">
        <f t="shared" si="112"/>
        <v>开</v>
      </c>
      <c r="G439" s="105" t="str">
        <f t="shared" si="114"/>
        <v>开</v>
      </c>
      <c r="H439" s="105" t="str">
        <f t="shared" si="113"/>
        <v>开</v>
      </c>
      <c r="I439" s="106"/>
      <c r="J439" s="101"/>
      <c r="K439" s="105" t="str">
        <f t="shared" si="110"/>
        <v>关</v>
      </c>
      <c r="L439" s="105" t="str">
        <f t="shared" si="110"/>
        <v>开</v>
      </c>
      <c r="M439" s="599"/>
      <c r="N439" s="75"/>
      <c r="O439" s="75"/>
      <c r="T439" s="75" t="str">
        <f t="shared" si="111"/>
        <v>3.16.3</v>
      </c>
      <c r="U439" s="74" t="b">
        <f>TEXT(O439,"0.00")=TEXT(R439,"0.00")</f>
        <v>1</v>
      </c>
    </row>
    <row r="440" spans="1:22" ht="45" customHeight="1">
      <c r="A440" s="596"/>
      <c r="B440" s="599"/>
      <c r="C440" s="105" t="s">
        <v>30</v>
      </c>
      <c r="D440" s="106" t="s">
        <v>33</v>
      </c>
      <c r="E440" s="101" t="s">
        <v>34</v>
      </c>
      <c r="F440" s="105" t="str">
        <f t="shared" si="112"/>
        <v>开</v>
      </c>
      <c r="G440" s="105" t="str">
        <f t="shared" si="114"/>
        <v>开</v>
      </c>
      <c r="H440" s="105" t="str">
        <f t="shared" si="113"/>
        <v>开</v>
      </c>
      <c r="I440" s="106"/>
      <c r="J440" s="101"/>
      <c r="K440" s="105" t="str">
        <f t="shared" si="110"/>
        <v>关</v>
      </c>
      <c r="L440" s="105" t="str">
        <f t="shared" si="110"/>
        <v>开</v>
      </c>
      <c r="M440" s="599"/>
      <c r="T440" s="75" t="str">
        <f t="shared" si="111"/>
        <v>3.16.3</v>
      </c>
    </row>
    <row r="441" spans="1:22" ht="45" customHeight="1">
      <c r="A441" s="596"/>
      <c r="B441" s="599"/>
      <c r="C441" s="105" t="s">
        <v>8</v>
      </c>
      <c r="D441" s="106"/>
      <c r="E441" s="78"/>
      <c r="F441" s="105" t="str">
        <f t="shared" si="112"/>
        <v>开</v>
      </c>
      <c r="G441" s="105" t="str">
        <f t="shared" si="114"/>
        <v>开</v>
      </c>
      <c r="H441" s="105" t="str">
        <f t="shared" si="113"/>
        <v>开</v>
      </c>
      <c r="I441" s="106" t="s">
        <v>123</v>
      </c>
      <c r="J441" s="101" t="s">
        <v>268</v>
      </c>
      <c r="K441" s="105" t="str">
        <f t="shared" ref="K441:K467" si="115">IFERROR(IF(FIND("开",K440,1),"开","关"),"关")</f>
        <v>关</v>
      </c>
      <c r="L441" s="105" t="s">
        <v>42</v>
      </c>
      <c r="M441" s="599"/>
      <c r="T441" s="75" t="str">
        <f t="shared" si="111"/>
        <v>3.16.3</v>
      </c>
    </row>
    <row r="442" spans="1:22" ht="45" customHeight="1">
      <c r="A442" s="596"/>
      <c r="B442" s="599"/>
      <c r="C442" s="105" t="s">
        <v>8</v>
      </c>
      <c r="D442" s="106"/>
      <c r="E442" s="78"/>
      <c r="F442" s="105" t="str">
        <f t="shared" si="112"/>
        <v>开</v>
      </c>
      <c r="G442" s="105" t="str">
        <f t="shared" si="114"/>
        <v>开</v>
      </c>
      <c r="H442" s="105" t="str">
        <f t="shared" si="113"/>
        <v>开</v>
      </c>
      <c r="I442" s="106" t="s">
        <v>125</v>
      </c>
      <c r="J442" s="101" t="s">
        <v>126</v>
      </c>
      <c r="K442" s="105" t="str">
        <f t="shared" si="115"/>
        <v>关</v>
      </c>
      <c r="L442" s="105" t="str">
        <f t="shared" ref="L442:L467" si="116">IFERROR(IF(FIND("开",L441,1),"开","关"),"关")</f>
        <v>关</v>
      </c>
      <c r="M442" s="599"/>
      <c r="T442" s="75" t="str">
        <f t="shared" si="111"/>
        <v>3.16.3</v>
      </c>
    </row>
    <row r="443" spans="1:22" ht="45" customHeight="1">
      <c r="A443" s="596"/>
      <c r="B443" s="599"/>
      <c r="C443" s="105" t="s">
        <v>3</v>
      </c>
      <c r="D443" s="106" t="s">
        <v>66</v>
      </c>
      <c r="E443" s="316" t="s">
        <v>127</v>
      </c>
      <c r="F443" s="105" t="str">
        <f t="shared" si="112"/>
        <v>开</v>
      </c>
      <c r="G443" s="105" t="str">
        <f t="shared" si="114"/>
        <v>开</v>
      </c>
      <c r="H443" s="105" t="str">
        <f t="shared" si="113"/>
        <v>开</v>
      </c>
      <c r="J443" s="101"/>
      <c r="K443" s="105" t="str">
        <f t="shared" si="115"/>
        <v>关</v>
      </c>
      <c r="L443" s="105" t="str">
        <f t="shared" si="116"/>
        <v>关</v>
      </c>
      <c r="M443" s="599"/>
      <c r="T443" s="75" t="str">
        <f t="shared" si="111"/>
        <v>3.16.3</v>
      </c>
    </row>
    <row r="444" spans="1:22" ht="45" customHeight="1">
      <c r="A444" s="596"/>
      <c r="B444" s="599"/>
      <c r="C444" s="105" t="s">
        <v>3</v>
      </c>
      <c r="D444" s="106" t="s">
        <v>128</v>
      </c>
      <c r="E444" s="317" t="s">
        <v>162</v>
      </c>
      <c r="F444" s="105" t="str">
        <f t="shared" si="112"/>
        <v>开</v>
      </c>
      <c r="G444" s="105" t="str">
        <f t="shared" si="114"/>
        <v>开</v>
      </c>
      <c r="H444" s="105" t="str">
        <f t="shared" si="113"/>
        <v>开</v>
      </c>
      <c r="J444" s="101"/>
      <c r="K444" s="105" t="str">
        <f t="shared" si="115"/>
        <v>关</v>
      </c>
      <c r="L444" s="105" t="str">
        <f t="shared" si="116"/>
        <v>关</v>
      </c>
      <c r="M444" s="599"/>
      <c r="T444" s="75" t="str">
        <f t="shared" si="111"/>
        <v>3.16.3</v>
      </c>
    </row>
    <row r="445" spans="1:22" ht="45" customHeight="1">
      <c r="A445" s="596"/>
      <c r="B445" s="599"/>
      <c r="C445" s="105" t="s">
        <v>3</v>
      </c>
      <c r="D445" s="106" t="s">
        <v>233</v>
      </c>
      <c r="E445" s="318" t="s">
        <v>234</v>
      </c>
      <c r="F445" s="105" t="str">
        <f t="shared" si="112"/>
        <v>开</v>
      </c>
      <c r="G445" s="105" t="str">
        <f t="shared" si="114"/>
        <v>开</v>
      </c>
      <c r="H445" s="105" t="str">
        <f t="shared" si="113"/>
        <v>开</v>
      </c>
      <c r="J445" s="101"/>
      <c r="K445" s="105" t="str">
        <f t="shared" si="115"/>
        <v>关</v>
      </c>
      <c r="L445" s="105" t="str">
        <f t="shared" si="116"/>
        <v>关</v>
      </c>
      <c r="M445" s="599"/>
      <c r="N445" s="75"/>
      <c r="O445" s="75"/>
      <c r="P445" s="75"/>
      <c r="S445" s="74">
        <f>ROUND(R445*0.03,2)</f>
        <v>0</v>
      </c>
      <c r="T445" s="75" t="str">
        <f t="shared" si="111"/>
        <v>3.16.3</v>
      </c>
      <c r="U445" s="74" t="b">
        <f>TEXT(O445,"0.00")=TEXT(R445,"0.00")</f>
        <v>1</v>
      </c>
      <c r="V445" s="74">
        <f>S445-P445</f>
        <v>0</v>
      </c>
    </row>
    <row r="446" spans="1:22" ht="45" customHeight="1">
      <c r="A446" s="596"/>
      <c r="B446" s="599"/>
      <c r="C446" s="105" t="s">
        <v>3</v>
      </c>
      <c r="D446" s="106" t="s">
        <v>70</v>
      </c>
      <c r="E446" s="101" t="s">
        <v>71</v>
      </c>
      <c r="F446" s="105" t="str">
        <f t="shared" si="112"/>
        <v>开</v>
      </c>
      <c r="G446" s="105" t="s">
        <v>42</v>
      </c>
      <c r="H446" s="105" t="str">
        <f t="shared" si="113"/>
        <v>开</v>
      </c>
      <c r="J446" s="101"/>
      <c r="K446" s="105" t="str">
        <f t="shared" si="115"/>
        <v>关</v>
      </c>
      <c r="L446" s="105" t="str">
        <f t="shared" si="116"/>
        <v>关</v>
      </c>
      <c r="M446" s="599"/>
      <c r="N446" s="75"/>
      <c r="O446" s="75"/>
      <c r="P446" s="75"/>
      <c r="S446" s="74">
        <f>ROUND(R446*0.03,2)</f>
        <v>0</v>
      </c>
      <c r="T446" s="75" t="str">
        <f t="shared" si="111"/>
        <v>3.16.3</v>
      </c>
      <c r="U446" s="74" t="b">
        <f>TEXT(O446,"0.00")=TEXT(R446,"0.00")</f>
        <v>1</v>
      </c>
      <c r="V446" s="74">
        <f>S446-P446</f>
        <v>0</v>
      </c>
    </row>
    <row r="447" spans="1:22" ht="45" customHeight="1">
      <c r="A447" s="596"/>
      <c r="B447" s="599"/>
      <c r="C447" s="105" t="s">
        <v>3</v>
      </c>
      <c r="D447" s="106" t="s">
        <v>40</v>
      </c>
      <c r="E447" s="101" t="s">
        <v>41</v>
      </c>
      <c r="F447" s="105" t="s">
        <v>42</v>
      </c>
      <c r="G447" s="105" t="str">
        <f t="shared" ref="G447:G460" si="117">IFERROR(IF(FIND("开",G446,1),"开","关"),"关")</f>
        <v>关</v>
      </c>
      <c r="H447" s="105" t="str">
        <f t="shared" si="113"/>
        <v>开</v>
      </c>
      <c r="J447" s="101"/>
      <c r="K447" s="105" t="str">
        <f t="shared" si="115"/>
        <v>关</v>
      </c>
      <c r="L447" s="105" t="str">
        <f t="shared" si="116"/>
        <v>关</v>
      </c>
      <c r="M447" s="599"/>
      <c r="T447" s="75" t="str">
        <f t="shared" si="111"/>
        <v>3.16.3</v>
      </c>
    </row>
    <row r="448" spans="1:22" ht="45" customHeight="1">
      <c r="A448" s="597"/>
      <c r="B448" s="599"/>
      <c r="C448" s="105" t="s">
        <v>3</v>
      </c>
      <c r="D448" s="106" t="s">
        <v>45</v>
      </c>
      <c r="E448" s="319" t="s">
        <v>46</v>
      </c>
      <c r="F448" s="105" t="str">
        <f t="shared" ref="F448:F459" si="118">IFERROR(IF(FIND("开",F447,1),"开","关"),"关")</f>
        <v>关</v>
      </c>
      <c r="G448" s="105" t="str">
        <f t="shared" si="117"/>
        <v>关</v>
      </c>
      <c r="H448" s="105" t="str">
        <f t="shared" si="113"/>
        <v>开</v>
      </c>
      <c r="J448" s="101"/>
      <c r="K448" s="105" t="str">
        <f t="shared" si="115"/>
        <v>关</v>
      </c>
      <c r="L448" s="105" t="str">
        <f t="shared" si="116"/>
        <v>关</v>
      </c>
      <c r="M448" s="600"/>
      <c r="T448" s="75" t="str">
        <f t="shared" si="111"/>
        <v>3.16.3</v>
      </c>
    </row>
    <row r="449" spans="1:21" ht="45" customHeight="1">
      <c r="A449" s="603" t="s">
        <v>332</v>
      </c>
      <c r="B449" s="695" t="s">
        <v>134</v>
      </c>
      <c r="C449" s="105" t="s">
        <v>8</v>
      </c>
      <c r="D449" s="74"/>
      <c r="E449" s="102"/>
      <c r="F449" s="105" t="str">
        <f t="shared" si="118"/>
        <v>关</v>
      </c>
      <c r="G449" s="105" t="str">
        <f t="shared" si="117"/>
        <v>关</v>
      </c>
      <c r="H449" s="105" t="str">
        <f t="shared" si="113"/>
        <v>开</v>
      </c>
      <c r="I449" s="84" t="s">
        <v>77</v>
      </c>
      <c r="J449" s="320" t="s">
        <v>333</v>
      </c>
      <c r="K449" s="105" t="str">
        <f t="shared" si="115"/>
        <v>关</v>
      </c>
      <c r="L449" s="105" t="str">
        <f t="shared" si="116"/>
        <v>关</v>
      </c>
      <c r="M449" s="601">
        <v>3</v>
      </c>
      <c r="N449" s="75" t="s">
        <v>24</v>
      </c>
      <c r="O449" s="75" t="str">
        <f>MID(J449,FIND("setting",J449,1)+8,FIND("kg",J449,1)-FIND("setting",J449,1)-8)</f>
        <v xml:space="preserve"> 492.70</v>
      </c>
      <c r="Q449" s="75" t="str">
        <f>SUBSTITUTE(T449&amp;N449," ","")</f>
        <v>3.16.6DMF</v>
      </c>
      <c r="R449" s="74">
        <f>VLOOKUP(Q449,MOR投料表!A:L,9,FALSE)</f>
        <v>492.7</v>
      </c>
      <c r="T449" s="75" t="str">
        <f t="shared" si="111"/>
        <v>3.16.6</v>
      </c>
      <c r="U449" s="74" t="b">
        <f>TEXT(O449,"0.00")=TEXT(R449,"0.00")</f>
        <v>1</v>
      </c>
    </row>
    <row r="450" spans="1:21" ht="45" customHeight="1">
      <c r="A450" s="603"/>
      <c r="B450" s="602"/>
      <c r="C450" s="105" t="s">
        <v>8</v>
      </c>
      <c r="D450" s="74"/>
      <c r="E450" s="102"/>
      <c r="F450" s="105" t="str">
        <f t="shared" si="118"/>
        <v>关</v>
      </c>
      <c r="G450" s="105" t="str">
        <f t="shared" si="117"/>
        <v>关</v>
      </c>
      <c r="H450" s="105" t="str">
        <f t="shared" si="113"/>
        <v>开</v>
      </c>
      <c r="I450" s="84" t="s">
        <v>61</v>
      </c>
      <c r="J450" s="101" t="s">
        <v>26</v>
      </c>
      <c r="K450" s="105" t="str">
        <f t="shared" si="115"/>
        <v>关</v>
      </c>
      <c r="L450" s="105" t="str">
        <f t="shared" si="116"/>
        <v>关</v>
      </c>
      <c r="M450" s="601"/>
      <c r="T450" s="75" t="str">
        <f t="shared" si="111"/>
        <v>3.16.6</v>
      </c>
    </row>
    <row r="451" spans="1:21" ht="45" customHeight="1">
      <c r="A451" s="603"/>
      <c r="B451" s="602"/>
      <c r="C451" s="105" t="s">
        <v>8</v>
      </c>
      <c r="E451" s="102"/>
      <c r="F451" s="105" t="str">
        <f t="shared" si="118"/>
        <v>关</v>
      </c>
      <c r="G451" s="105" t="str">
        <f t="shared" si="117"/>
        <v>关</v>
      </c>
      <c r="H451" s="105" t="str">
        <f t="shared" si="113"/>
        <v>开</v>
      </c>
      <c r="I451" s="84" t="s">
        <v>137</v>
      </c>
      <c r="J451" s="101" t="s">
        <v>138</v>
      </c>
      <c r="K451" s="105" t="str">
        <f t="shared" si="115"/>
        <v>关</v>
      </c>
      <c r="L451" s="105" t="str">
        <f t="shared" si="116"/>
        <v>关</v>
      </c>
      <c r="M451" s="601"/>
      <c r="T451" s="75" t="str">
        <f t="shared" si="111"/>
        <v>3.16.6</v>
      </c>
    </row>
    <row r="452" spans="1:21" ht="45" customHeight="1">
      <c r="A452" s="603"/>
      <c r="B452" s="602"/>
      <c r="C452" s="105" t="s">
        <v>8</v>
      </c>
      <c r="E452" s="102"/>
      <c r="F452" s="105" t="str">
        <f t="shared" si="118"/>
        <v>关</v>
      </c>
      <c r="G452" s="105" t="str">
        <f t="shared" si="117"/>
        <v>关</v>
      </c>
      <c r="H452" s="105" t="str">
        <f t="shared" si="113"/>
        <v>开</v>
      </c>
      <c r="I452" s="84" t="s">
        <v>139</v>
      </c>
      <c r="J452" s="101" t="s">
        <v>140</v>
      </c>
      <c r="K452" s="105" t="str">
        <f t="shared" si="115"/>
        <v>关</v>
      </c>
      <c r="L452" s="105" t="str">
        <f t="shared" si="116"/>
        <v>关</v>
      </c>
      <c r="M452" s="601"/>
      <c r="T452" s="75" t="str">
        <f t="shared" si="111"/>
        <v>3.16.6</v>
      </c>
    </row>
    <row r="453" spans="1:21" ht="45" customHeight="1">
      <c r="A453" s="603"/>
      <c r="B453" s="602"/>
      <c r="C453" s="105" t="s">
        <v>8</v>
      </c>
      <c r="E453" s="102"/>
      <c r="F453" s="105" t="str">
        <f t="shared" si="118"/>
        <v>关</v>
      </c>
      <c r="G453" s="105" t="str">
        <f t="shared" si="117"/>
        <v>关</v>
      </c>
      <c r="H453" s="105" t="str">
        <f t="shared" si="113"/>
        <v>开</v>
      </c>
      <c r="I453" s="84" t="s">
        <v>141</v>
      </c>
      <c r="J453" s="101" t="s">
        <v>142</v>
      </c>
      <c r="K453" s="105" t="str">
        <f t="shared" si="115"/>
        <v>关</v>
      </c>
      <c r="L453" s="105" t="str">
        <f t="shared" si="116"/>
        <v>关</v>
      </c>
      <c r="M453" s="601"/>
      <c r="T453" s="75" t="str">
        <f t="shared" si="111"/>
        <v>3.16.6</v>
      </c>
    </row>
    <row r="454" spans="1:21" ht="45" customHeight="1">
      <c r="A454" s="603"/>
      <c r="B454" s="602"/>
      <c r="C454" s="105" t="s">
        <v>8</v>
      </c>
      <c r="E454" s="102"/>
      <c r="F454" s="105" t="str">
        <f t="shared" si="118"/>
        <v>关</v>
      </c>
      <c r="G454" s="105" t="str">
        <f t="shared" si="117"/>
        <v>关</v>
      </c>
      <c r="H454" s="105" t="str">
        <f t="shared" si="113"/>
        <v>开</v>
      </c>
      <c r="I454" s="84" t="s">
        <v>143</v>
      </c>
      <c r="J454" s="101" t="s">
        <v>144</v>
      </c>
      <c r="K454" s="105" t="str">
        <f t="shared" si="115"/>
        <v>关</v>
      </c>
      <c r="L454" s="105" t="str">
        <f t="shared" si="116"/>
        <v>关</v>
      </c>
      <c r="M454" s="601"/>
      <c r="T454" s="75" t="str">
        <f t="shared" si="111"/>
        <v>3.16.6</v>
      </c>
    </row>
    <row r="455" spans="1:21" ht="45" customHeight="1">
      <c r="A455" s="603"/>
      <c r="B455" s="602"/>
      <c r="C455" s="105" t="s">
        <v>8</v>
      </c>
      <c r="E455" s="102"/>
      <c r="F455" s="105" t="str">
        <f t="shared" si="118"/>
        <v>关</v>
      </c>
      <c r="G455" s="105" t="str">
        <f t="shared" si="117"/>
        <v>关</v>
      </c>
      <c r="H455" s="105" t="str">
        <f t="shared" si="113"/>
        <v>开</v>
      </c>
      <c r="I455" s="84" t="s">
        <v>145</v>
      </c>
      <c r="J455" s="101" t="s">
        <v>146</v>
      </c>
      <c r="K455" s="105" t="str">
        <f t="shared" si="115"/>
        <v>关</v>
      </c>
      <c r="L455" s="105" t="str">
        <f t="shared" si="116"/>
        <v>关</v>
      </c>
      <c r="M455" s="601"/>
      <c r="N455" s="75"/>
      <c r="O455" s="75"/>
      <c r="T455" s="75" t="str">
        <f t="shared" si="111"/>
        <v>3.16.6</v>
      </c>
      <c r="U455" s="74" t="b">
        <f>TEXT(O455,"0.00")=TEXT(R455,"0.00")</f>
        <v>1</v>
      </c>
    </row>
    <row r="456" spans="1:21" ht="45" customHeight="1">
      <c r="A456" s="603"/>
      <c r="B456" s="602"/>
      <c r="C456" s="105" t="s">
        <v>8</v>
      </c>
      <c r="E456" s="102"/>
      <c r="F456" s="105" t="str">
        <f t="shared" si="118"/>
        <v>关</v>
      </c>
      <c r="G456" s="105" t="str">
        <f t="shared" si="117"/>
        <v>关</v>
      </c>
      <c r="H456" s="105" t="str">
        <f t="shared" si="113"/>
        <v>开</v>
      </c>
      <c r="I456" s="84" t="s">
        <v>147</v>
      </c>
      <c r="J456" s="101" t="s">
        <v>148</v>
      </c>
      <c r="K456" s="105" t="str">
        <f t="shared" si="115"/>
        <v>关</v>
      </c>
      <c r="L456" s="105" t="str">
        <f t="shared" si="116"/>
        <v>关</v>
      </c>
      <c r="M456" s="601"/>
      <c r="T456" s="75" t="str">
        <f t="shared" si="111"/>
        <v>3.16.6</v>
      </c>
    </row>
    <row r="457" spans="1:21" ht="45" customHeight="1">
      <c r="A457" s="603"/>
      <c r="B457" s="602"/>
      <c r="C457" s="105" t="s">
        <v>30</v>
      </c>
      <c r="D457" s="106" t="s">
        <v>31</v>
      </c>
      <c r="E457" s="321" t="s">
        <v>32</v>
      </c>
      <c r="F457" s="105" t="str">
        <f t="shared" si="118"/>
        <v>关</v>
      </c>
      <c r="G457" s="105" t="str">
        <f t="shared" si="117"/>
        <v>关</v>
      </c>
      <c r="H457" s="105" t="str">
        <f t="shared" si="113"/>
        <v>开</v>
      </c>
      <c r="I457" s="106"/>
      <c r="J457" s="101"/>
      <c r="K457" s="105" t="str">
        <f t="shared" si="115"/>
        <v>关</v>
      </c>
      <c r="L457" s="105" t="str">
        <f t="shared" si="116"/>
        <v>关</v>
      </c>
      <c r="M457" s="601"/>
      <c r="T457" s="75" t="str">
        <f t="shared" si="111"/>
        <v>3.16.6</v>
      </c>
    </row>
    <row r="458" spans="1:21" ht="45" customHeight="1">
      <c r="A458" s="603"/>
      <c r="B458" s="602"/>
      <c r="C458" s="105" t="s">
        <v>30</v>
      </c>
      <c r="D458" s="106" t="s">
        <v>33</v>
      </c>
      <c r="E458" s="101" t="s">
        <v>34</v>
      </c>
      <c r="F458" s="105" t="str">
        <f t="shared" si="118"/>
        <v>关</v>
      </c>
      <c r="G458" s="105" t="str">
        <f t="shared" si="117"/>
        <v>关</v>
      </c>
      <c r="H458" s="105" t="str">
        <f t="shared" si="113"/>
        <v>开</v>
      </c>
      <c r="J458" s="101"/>
      <c r="K458" s="105" t="str">
        <f t="shared" si="115"/>
        <v>关</v>
      </c>
      <c r="L458" s="105" t="str">
        <f t="shared" si="116"/>
        <v>关</v>
      </c>
      <c r="M458" s="601"/>
      <c r="T458" s="75" t="str">
        <f t="shared" si="111"/>
        <v>3.16.6</v>
      </c>
    </row>
    <row r="459" spans="1:21" ht="45" customHeight="1">
      <c r="A459" s="603"/>
      <c r="B459" s="602"/>
      <c r="C459" s="105" t="s">
        <v>8</v>
      </c>
      <c r="D459" s="106"/>
      <c r="E459" s="78"/>
      <c r="F459" s="105" t="str">
        <f t="shared" si="118"/>
        <v>关</v>
      </c>
      <c r="G459" s="105" t="str">
        <f t="shared" si="117"/>
        <v>关</v>
      </c>
      <c r="H459" s="105" t="str">
        <f t="shared" si="113"/>
        <v>开</v>
      </c>
      <c r="I459" s="106" t="s">
        <v>54</v>
      </c>
      <c r="J459" s="322" t="s">
        <v>149</v>
      </c>
      <c r="K459" s="105" t="str">
        <f t="shared" si="115"/>
        <v>关</v>
      </c>
      <c r="L459" s="105" t="str">
        <f t="shared" si="116"/>
        <v>关</v>
      </c>
      <c r="M459" s="601"/>
      <c r="T459" s="75" t="str">
        <f t="shared" si="111"/>
        <v>3.16.6</v>
      </c>
    </row>
    <row r="460" spans="1:21" ht="45" customHeight="1">
      <c r="A460" s="603"/>
      <c r="B460" s="602"/>
      <c r="C460" s="105" t="s">
        <v>3</v>
      </c>
      <c r="D460" s="106" t="s">
        <v>35</v>
      </c>
      <c r="E460" s="101" t="s">
        <v>63</v>
      </c>
      <c r="F460" s="105" t="s">
        <v>37</v>
      </c>
      <c r="G460" s="105" t="str">
        <f t="shared" si="117"/>
        <v>关</v>
      </c>
      <c r="H460" s="105" t="str">
        <f t="shared" si="113"/>
        <v>开</v>
      </c>
      <c r="J460" s="101"/>
      <c r="K460" s="105" t="str">
        <f t="shared" si="115"/>
        <v>关</v>
      </c>
      <c r="L460" s="105" t="str">
        <f t="shared" si="116"/>
        <v>关</v>
      </c>
      <c r="M460" s="601"/>
      <c r="T460" s="75" t="str">
        <f t="shared" si="111"/>
        <v>3.16.6</v>
      </c>
    </row>
    <row r="461" spans="1:21" ht="45" customHeight="1">
      <c r="A461" s="603"/>
      <c r="B461" s="602"/>
      <c r="C461" s="105" t="s">
        <v>3</v>
      </c>
      <c r="D461" s="106" t="s">
        <v>38</v>
      </c>
      <c r="E461" s="101" t="s">
        <v>101</v>
      </c>
      <c r="F461" s="105" t="str">
        <f>IFERROR(IF(FIND("开",F460,1),"开","关"),"关")</f>
        <v>开</v>
      </c>
      <c r="G461" s="105" t="s">
        <v>29</v>
      </c>
      <c r="H461" s="105" t="str">
        <f t="shared" si="113"/>
        <v>开</v>
      </c>
      <c r="I461" s="106"/>
      <c r="J461" s="101"/>
      <c r="K461" s="105" t="str">
        <f t="shared" si="115"/>
        <v>关</v>
      </c>
      <c r="L461" s="105" t="str">
        <f t="shared" si="116"/>
        <v>关</v>
      </c>
      <c r="M461" s="601"/>
      <c r="T461" s="75" t="str">
        <f t="shared" si="111"/>
        <v>3.16.6</v>
      </c>
    </row>
    <row r="462" spans="1:21" ht="45" customHeight="1">
      <c r="A462" s="603"/>
      <c r="B462" s="602"/>
      <c r="C462" s="105" t="s">
        <v>3</v>
      </c>
      <c r="D462" s="106" t="s">
        <v>40</v>
      </c>
      <c r="E462" s="101" t="s">
        <v>41</v>
      </c>
      <c r="F462" s="105" t="s">
        <v>42</v>
      </c>
      <c r="G462" s="105" t="str">
        <f t="shared" ref="G462:G467" si="119">IFERROR(IF(FIND("开",G461,1),"开","关"),"关")</f>
        <v>关</v>
      </c>
      <c r="H462" s="105" t="str">
        <f t="shared" si="113"/>
        <v>开</v>
      </c>
      <c r="I462" s="106"/>
      <c r="J462" s="101"/>
      <c r="K462" s="105" t="str">
        <f t="shared" si="115"/>
        <v>关</v>
      </c>
      <c r="L462" s="105" t="str">
        <f t="shared" si="116"/>
        <v>关</v>
      </c>
      <c r="M462" s="601"/>
      <c r="T462" s="75" t="str">
        <f t="shared" si="111"/>
        <v>3.16.6</v>
      </c>
    </row>
    <row r="463" spans="1:21" ht="45" customHeight="1">
      <c r="A463" s="595"/>
      <c r="B463" s="602"/>
      <c r="C463" s="105" t="s">
        <v>3</v>
      </c>
      <c r="D463" s="106" t="s">
        <v>45</v>
      </c>
      <c r="E463" s="323" t="s">
        <v>46</v>
      </c>
      <c r="F463" s="105" t="str">
        <f>IFERROR(IF(FIND("开",F462,1),"开","关"),"关")</f>
        <v>关</v>
      </c>
      <c r="G463" s="105" t="str">
        <f t="shared" si="119"/>
        <v>关</v>
      </c>
      <c r="H463" s="105" t="str">
        <f t="shared" si="113"/>
        <v>开</v>
      </c>
      <c r="I463" s="74"/>
      <c r="J463" s="77"/>
      <c r="K463" s="105" t="str">
        <f t="shared" si="115"/>
        <v>关</v>
      </c>
      <c r="L463" s="105" t="str">
        <f t="shared" si="116"/>
        <v>关</v>
      </c>
      <c r="M463" s="601"/>
      <c r="T463" s="75" t="str">
        <f t="shared" si="111"/>
        <v>3.16.6</v>
      </c>
    </row>
    <row r="464" spans="1:21" ht="45" customHeight="1">
      <c r="A464" s="603" t="s">
        <v>168</v>
      </c>
      <c r="B464" s="602" t="s">
        <v>169</v>
      </c>
      <c r="C464" s="105" t="s">
        <v>3</v>
      </c>
      <c r="D464" s="106" t="s">
        <v>130</v>
      </c>
      <c r="E464" s="324" t="s">
        <v>131</v>
      </c>
      <c r="F464" s="105" t="str">
        <f>IFERROR(IF(FIND("开",F463,1),"开","关"),"关")</f>
        <v>关</v>
      </c>
      <c r="G464" s="105" t="str">
        <f t="shared" si="119"/>
        <v>关</v>
      </c>
      <c r="H464" s="105" t="s">
        <v>42</v>
      </c>
      <c r="I464" s="106"/>
      <c r="J464" s="101"/>
      <c r="K464" s="105" t="str">
        <f t="shared" si="115"/>
        <v>关</v>
      </c>
      <c r="L464" s="105" t="str">
        <f t="shared" si="116"/>
        <v>关</v>
      </c>
      <c r="M464" s="601">
        <v>1</v>
      </c>
      <c r="N464" s="75"/>
      <c r="O464" s="75"/>
      <c r="T464" s="75" t="e">
        <f t="shared" si="111"/>
        <v>#VALUE!</v>
      </c>
    </row>
    <row r="465" spans="1:21" ht="45" customHeight="1">
      <c r="A465" s="603"/>
      <c r="B465" s="602"/>
      <c r="C465" s="105" t="s">
        <v>3</v>
      </c>
      <c r="D465" s="106" t="s">
        <v>171</v>
      </c>
      <c r="E465" s="101" t="s">
        <v>44</v>
      </c>
      <c r="F465" s="105" t="str">
        <f>IFERROR(IF(FIND("开",F464,1),"开","关"),"关")</f>
        <v>关</v>
      </c>
      <c r="G465" s="105" t="str">
        <f t="shared" si="119"/>
        <v>关</v>
      </c>
      <c r="H465" s="105" t="str">
        <f>IFERROR(IF(FIND("开",H464,1),"开","关"),"关")</f>
        <v>关</v>
      </c>
      <c r="J465" s="77"/>
      <c r="K465" s="105" t="str">
        <f t="shared" si="115"/>
        <v>关</v>
      </c>
      <c r="L465" s="105" t="str">
        <f t="shared" si="116"/>
        <v>关</v>
      </c>
      <c r="M465" s="601"/>
      <c r="N465" s="75"/>
      <c r="O465" s="75"/>
      <c r="T465" s="75" t="e">
        <f t="shared" si="111"/>
        <v>#VALUE!</v>
      </c>
      <c r="U465" s="74" t="b">
        <f>TEXT(O465,"0.00")=TEXT(R465,"0.00")</f>
        <v>1</v>
      </c>
    </row>
    <row r="466" spans="1:21" ht="45" customHeight="1">
      <c r="A466" s="603"/>
      <c r="B466" s="602"/>
      <c r="C466" s="105" t="s">
        <v>8</v>
      </c>
      <c r="E466" s="77"/>
      <c r="F466" s="105" t="str">
        <f>IFERROR(IF(FIND("开",F465,1),"开","关"),"关")</f>
        <v>关</v>
      </c>
      <c r="G466" s="105" t="str">
        <f t="shared" si="119"/>
        <v>关</v>
      </c>
      <c r="H466" s="105" t="str">
        <f>IFERROR(IF(FIND("开",H465,1),"开","关"),"关")</f>
        <v>关</v>
      </c>
      <c r="I466" s="106" t="s">
        <v>172</v>
      </c>
      <c r="J466" s="101" t="s">
        <v>126</v>
      </c>
      <c r="K466" s="105" t="str">
        <f t="shared" si="115"/>
        <v>关</v>
      </c>
      <c r="L466" s="105" t="str">
        <f t="shared" si="116"/>
        <v>关</v>
      </c>
      <c r="M466" s="601"/>
      <c r="T466" s="75" t="e">
        <f t="shared" si="111"/>
        <v>#VALUE!</v>
      </c>
    </row>
    <row r="467" spans="1:21" ht="45" customHeight="1">
      <c r="A467" s="91" t="s">
        <v>335</v>
      </c>
      <c r="B467" s="120"/>
      <c r="E467" s="102"/>
      <c r="F467" s="105" t="str">
        <f>IFERROR(IF(FIND("开",F466,1),"开","关"),"关")</f>
        <v>关</v>
      </c>
      <c r="G467" s="105" t="str">
        <f t="shared" si="119"/>
        <v>关</v>
      </c>
      <c r="H467" s="105" t="str">
        <f>IFERROR(IF(FIND("开",H466,1),"开","关"),"关")</f>
        <v>关</v>
      </c>
      <c r="I467" s="106"/>
      <c r="J467" s="101"/>
      <c r="K467" s="105" t="str">
        <f t="shared" si="115"/>
        <v>关</v>
      </c>
      <c r="L467" s="105" t="str">
        <f t="shared" si="116"/>
        <v>关</v>
      </c>
      <c r="T467" s="75" t="str">
        <f t="shared" si="111"/>
        <v>3.17</v>
      </c>
    </row>
    <row r="468" spans="1:21" ht="45" customHeight="1">
      <c r="A468" s="595" t="s">
        <v>336</v>
      </c>
      <c r="B468" s="698" t="s">
        <v>239</v>
      </c>
      <c r="C468" s="105" t="s">
        <v>3</v>
      </c>
      <c r="D468" s="106" t="s">
        <v>52</v>
      </c>
      <c r="E468" s="325" t="s">
        <v>176</v>
      </c>
      <c r="F468" s="105" t="str">
        <f>IFERROR(IF(FIND("开",#REF!,1),"开","关"),"关")</f>
        <v>关</v>
      </c>
      <c r="G468" s="105" t="str">
        <f>IFERROR(IF(FIND("开",#REF!,1),"开","关"),"关")</f>
        <v>关</v>
      </c>
      <c r="H468" s="105" t="s">
        <v>37</v>
      </c>
      <c r="J468" s="101"/>
      <c r="K468" s="105" t="str">
        <f>IFERROR(IF(FIND("开",#REF!,1),"开","关"),"关")</f>
        <v>关</v>
      </c>
      <c r="L468" s="105" t="str">
        <f>IFERROR(IF(FIND("开",#REF!,1),"开","关"),"关")</f>
        <v>关</v>
      </c>
      <c r="M468" s="598">
        <v>1</v>
      </c>
      <c r="N468" s="75"/>
      <c r="O468" s="75"/>
      <c r="Q468" s="75"/>
      <c r="T468" s="75" t="str">
        <f>IF(ISBLANK(A468),#REF!,LEFT(A468,FIND(" ",A468,1)-1))</f>
        <v>3.17.1</v>
      </c>
    </row>
    <row r="469" spans="1:21" ht="45" customHeight="1">
      <c r="A469" s="596"/>
      <c r="B469" s="599"/>
      <c r="C469" s="105" t="s">
        <v>178</v>
      </c>
      <c r="D469" s="106"/>
      <c r="E469" s="101"/>
      <c r="I469" s="84" t="s">
        <v>179</v>
      </c>
      <c r="J469" s="326" t="s">
        <v>149</v>
      </c>
      <c r="M469" s="599"/>
      <c r="N469" s="75"/>
      <c r="O469" s="75"/>
      <c r="Q469" s="75"/>
      <c r="T469" s="75"/>
    </row>
    <row r="470" spans="1:21" ht="45" customHeight="1">
      <c r="A470" s="596"/>
      <c r="B470" s="599"/>
      <c r="C470" s="105" t="s">
        <v>3</v>
      </c>
      <c r="D470" s="106" t="s">
        <v>180</v>
      </c>
      <c r="E470" s="327" t="s">
        <v>181</v>
      </c>
      <c r="F470" s="105" t="str">
        <f>IFERROR(IF(FIND("开",F468,1),"开","关"),"关")</f>
        <v>关</v>
      </c>
      <c r="G470" s="105" t="str">
        <f>IFERROR(IF(FIND("开",G468,1),"开","关"),"关")</f>
        <v>关</v>
      </c>
      <c r="H470" s="105" t="str">
        <f>IFERROR(IF(FIND("开",H468,1),"开","关"),"关")</f>
        <v>开</v>
      </c>
      <c r="J470" s="101"/>
      <c r="K470" s="105" t="str">
        <f>IFERROR(IF(FIND("开",K468,1),"开","关"),"关")</f>
        <v>关</v>
      </c>
      <c r="L470" s="105" t="str">
        <f>IFERROR(IF(FIND("开",L468,1),"开","关"),"关")</f>
        <v>关</v>
      </c>
      <c r="M470" s="599"/>
      <c r="N470" s="75" t="s">
        <v>182</v>
      </c>
      <c r="O470" s="75" t="str">
        <f>MID(E470,FIND("setting",E470,1)+8,FIND("kg",E470,1)-FIND("setting",E470,1)-8)</f>
        <v xml:space="preserve"> 483.60</v>
      </c>
      <c r="Q470" s="75" t="str">
        <f>SUBSTITUTE(T470&amp;N470," ","")</f>
        <v>3.17.120%piperidinesolution</v>
      </c>
      <c r="R470" s="74">
        <f>VLOOKUP(Q470,MOR投料表!A:L,9,FALSE)</f>
        <v>483.6</v>
      </c>
      <c r="T470" s="75" t="str">
        <f>IF(ISBLANK(A470),T468,LEFT(A470,FIND(" ",A470,1)-1))</f>
        <v>3.17.1</v>
      </c>
      <c r="U470" s="74" t="b">
        <f>TEXT(O470,"0.00")=TEXT(R470,"0.00")</f>
        <v>1</v>
      </c>
    </row>
    <row r="471" spans="1:21" ht="45" customHeight="1">
      <c r="A471" s="596"/>
      <c r="B471" s="599"/>
      <c r="C471" s="105" t="s">
        <v>3</v>
      </c>
      <c r="D471" s="106" t="s">
        <v>183</v>
      </c>
      <c r="E471" s="101" t="s">
        <v>184</v>
      </c>
      <c r="F471" s="105" t="str">
        <f>IFERROR(IF(FIND("开",F470,1),"开","关"),"关")</f>
        <v>关</v>
      </c>
      <c r="G471" s="105" t="str">
        <f>IFERROR(IF(FIND("开",G470,1),"开","关"),"关")</f>
        <v>关</v>
      </c>
      <c r="H471" s="105" t="str">
        <f>IFERROR(IF(FIND("开",H470,1),"开","关"),"关")</f>
        <v>开</v>
      </c>
      <c r="J471" s="101"/>
      <c r="K471" s="105" t="str">
        <f t="shared" ref="K471:K496" si="120">IFERROR(IF(FIND("开",K470,1),"开","关"),"关")</f>
        <v>关</v>
      </c>
      <c r="L471" s="105" t="str">
        <f t="shared" ref="L471:L496" si="121">IFERROR(IF(FIND("开",L470,1),"开","关"),"关")</f>
        <v>关</v>
      </c>
      <c r="M471" s="599"/>
      <c r="T471" s="75" t="str">
        <f t="shared" ref="T471:T500" si="122">IF(ISBLANK(A471),T470,LEFT(A471,FIND(" ",A471,1)-1))</f>
        <v>3.17.1</v>
      </c>
    </row>
    <row r="472" spans="1:21" ht="45" customHeight="1">
      <c r="A472" s="596"/>
      <c r="B472" s="599"/>
      <c r="C472" s="105" t="s">
        <v>3</v>
      </c>
      <c r="D472" s="106" t="s">
        <v>35</v>
      </c>
      <c r="E472" s="101" t="s">
        <v>63</v>
      </c>
      <c r="F472" s="105" t="s">
        <v>37</v>
      </c>
      <c r="G472" s="105" t="str">
        <f>IFERROR(IF(FIND("开",G471,1),"开","关"),"关")</f>
        <v>关</v>
      </c>
      <c r="H472" s="105" t="str">
        <f>IFERROR(IF(FIND("开",H471,1),"开","关"),"关")</f>
        <v>开</v>
      </c>
      <c r="J472" s="101"/>
      <c r="K472" s="105" t="str">
        <f t="shared" si="120"/>
        <v>关</v>
      </c>
      <c r="L472" s="105" t="str">
        <f t="shared" si="121"/>
        <v>关</v>
      </c>
      <c r="M472" s="599"/>
      <c r="T472" s="75" t="str">
        <f t="shared" si="122"/>
        <v>3.17.1</v>
      </c>
    </row>
    <row r="473" spans="1:21" ht="45" customHeight="1">
      <c r="A473" s="596"/>
      <c r="B473" s="599"/>
      <c r="C473" s="105" t="s">
        <v>3</v>
      </c>
      <c r="D473" s="106" t="s">
        <v>64</v>
      </c>
      <c r="E473" s="101" t="s">
        <v>65</v>
      </c>
      <c r="F473" s="105" t="str">
        <f>IFERROR(IF(FIND("开",F472,1),"开","关"),"关")</f>
        <v>开</v>
      </c>
      <c r="G473" s="105" t="s">
        <v>37</v>
      </c>
      <c r="H473" s="105" t="str">
        <f t="shared" ref="H473:H497" si="123">IFERROR(IF(FIND("开",H472,1),"开","关"),"关")</f>
        <v>开</v>
      </c>
      <c r="J473" s="101"/>
      <c r="K473" s="105" t="str">
        <f t="shared" si="120"/>
        <v>关</v>
      </c>
      <c r="L473" s="105" t="str">
        <f t="shared" si="121"/>
        <v>关</v>
      </c>
      <c r="M473" s="599"/>
      <c r="T473" s="75" t="str">
        <f t="shared" si="122"/>
        <v>3.17.1</v>
      </c>
    </row>
    <row r="474" spans="1:21" ht="45" customHeight="1">
      <c r="A474" s="596"/>
      <c r="B474" s="599"/>
      <c r="C474" s="105" t="s">
        <v>3</v>
      </c>
      <c r="D474" s="106" t="s">
        <v>66</v>
      </c>
      <c r="E474" s="328" t="s">
        <v>67</v>
      </c>
      <c r="F474" s="105" t="str">
        <f>IFERROR(IF(FIND("开",F473,1),"开","关"),"关")</f>
        <v>开</v>
      </c>
      <c r="G474" s="105" t="str">
        <f>IFERROR(IF(FIND("开",G473,1),"开","关"),"关")</f>
        <v>开</v>
      </c>
      <c r="H474" s="105" t="str">
        <f t="shared" si="123"/>
        <v>开</v>
      </c>
      <c r="J474" s="101"/>
      <c r="K474" s="105" t="str">
        <f t="shared" si="120"/>
        <v>关</v>
      </c>
      <c r="L474" s="105" t="str">
        <f t="shared" si="121"/>
        <v>关</v>
      </c>
      <c r="M474" s="599"/>
      <c r="T474" s="75" t="str">
        <f t="shared" si="122"/>
        <v>3.17.1</v>
      </c>
    </row>
    <row r="475" spans="1:21" ht="45" customHeight="1">
      <c r="A475" s="596"/>
      <c r="B475" s="599"/>
      <c r="C475" s="105" t="s">
        <v>3</v>
      </c>
      <c r="D475" s="106" t="s">
        <v>68</v>
      </c>
      <c r="E475" s="329" t="s">
        <v>185</v>
      </c>
      <c r="F475" s="105" t="str">
        <f>IFERROR(IF(FIND("开",F474,1),"开","关"),"关")</f>
        <v>开</v>
      </c>
      <c r="G475" s="105" t="str">
        <f>IFERROR(IF(FIND("开",G474,1),"开","关"),"关")</f>
        <v>开</v>
      </c>
      <c r="H475" s="105" t="str">
        <f t="shared" si="123"/>
        <v>开</v>
      </c>
      <c r="J475" s="101"/>
      <c r="K475" s="105" t="str">
        <f t="shared" si="120"/>
        <v>关</v>
      </c>
      <c r="L475" s="105" t="str">
        <f t="shared" si="121"/>
        <v>关</v>
      </c>
      <c r="M475" s="599"/>
      <c r="T475" s="75" t="str">
        <f t="shared" si="122"/>
        <v>3.17.1</v>
      </c>
    </row>
    <row r="476" spans="1:21" ht="45" customHeight="1">
      <c r="A476" s="596"/>
      <c r="B476" s="599"/>
      <c r="C476" s="105" t="s">
        <v>3</v>
      </c>
      <c r="D476" s="106" t="s">
        <v>70</v>
      </c>
      <c r="E476" s="101" t="s">
        <v>71</v>
      </c>
      <c r="F476" s="105" t="str">
        <f>IFERROR(IF(FIND("开",F475,1),"开","关"),"关")</f>
        <v>开</v>
      </c>
      <c r="G476" s="105" t="s">
        <v>42</v>
      </c>
      <c r="H476" s="105" t="str">
        <f t="shared" si="123"/>
        <v>开</v>
      </c>
      <c r="J476" s="101"/>
      <c r="K476" s="105" t="str">
        <f t="shared" si="120"/>
        <v>关</v>
      </c>
      <c r="L476" s="105" t="str">
        <f t="shared" si="121"/>
        <v>关</v>
      </c>
      <c r="M476" s="599"/>
      <c r="T476" s="75" t="str">
        <f t="shared" si="122"/>
        <v>3.17.1</v>
      </c>
    </row>
    <row r="477" spans="1:21" ht="45" customHeight="1">
      <c r="A477" s="596"/>
      <c r="B477" s="599"/>
      <c r="C477" s="105" t="s">
        <v>3</v>
      </c>
      <c r="D477" s="106" t="s">
        <v>40</v>
      </c>
      <c r="E477" s="101" t="s">
        <v>41</v>
      </c>
      <c r="F477" s="105" t="s">
        <v>42</v>
      </c>
      <c r="G477" s="105" t="str">
        <f>IFERROR(IF(FIND("开",G476,1),"开","关"),"关")</f>
        <v>关</v>
      </c>
      <c r="H477" s="105" t="str">
        <f t="shared" si="123"/>
        <v>开</v>
      </c>
      <c r="J477" s="101"/>
      <c r="K477" s="105" t="str">
        <f t="shared" si="120"/>
        <v>关</v>
      </c>
      <c r="L477" s="105" t="str">
        <f t="shared" si="121"/>
        <v>关</v>
      </c>
      <c r="M477" s="599"/>
      <c r="N477" s="75"/>
      <c r="O477" s="75"/>
      <c r="T477" s="75" t="str">
        <f t="shared" si="122"/>
        <v>3.17.1</v>
      </c>
      <c r="U477" s="74" t="b">
        <f>TEXT(O477,"0.00")=TEXT(R477,"0.00")</f>
        <v>1</v>
      </c>
    </row>
    <row r="478" spans="1:21" ht="45" customHeight="1">
      <c r="A478" s="597"/>
      <c r="B478" s="600"/>
      <c r="C478" s="105" t="s">
        <v>3</v>
      </c>
      <c r="D478" s="106" t="s">
        <v>45</v>
      </c>
      <c r="E478" s="330" t="s">
        <v>46</v>
      </c>
      <c r="F478" s="105" t="str">
        <f>IFERROR(IF(FIND("开",F477,1),"开","关"),"关")</f>
        <v>关</v>
      </c>
      <c r="G478" s="105" t="str">
        <f>IFERROR(IF(FIND("开",G477,1),"开","关"),"关")</f>
        <v>关</v>
      </c>
      <c r="H478" s="105" t="str">
        <f t="shared" si="123"/>
        <v>开</v>
      </c>
      <c r="J478" s="101"/>
      <c r="K478" s="105" t="str">
        <f t="shared" si="120"/>
        <v>关</v>
      </c>
      <c r="L478" s="105" t="str">
        <f t="shared" si="121"/>
        <v>关</v>
      </c>
      <c r="M478" s="600"/>
      <c r="T478" s="75" t="str">
        <f t="shared" si="122"/>
        <v>3.17.1</v>
      </c>
    </row>
    <row r="479" spans="1:21" ht="45" customHeight="1">
      <c r="A479" s="603" t="s">
        <v>338</v>
      </c>
      <c r="B479" s="666" t="s">
        <v>339</v>
      </c>
      <c r="C479" s="105" t="s">
        <v>3</v>
      </c>
      <c r="D479" s="106" t="s">
        <v>188</v>
      </c>
      <c r="E479" s="331" t="s">
        <v>189</v>
      </c>
      <c r="F479" s="105" t="str">
        <f>IFERROR(IF(FIND("开",F478,1),"开","关"),"关")</f>
        <v>关</v>
      </c>
      <c r="G479" s="105" t="str">
        <f>IFERROR(IF(FIND("开",G478,1),"开","关"),"关")</f>
        <v>关</v>
      </c>
      <c r="H479" s="105" t="str">
        <f t="shared" si="123"/>
        <v>开</v>
      </c>
      <c r="J479" s="101"/>
      <c r="K479" s="105" t="str">
        <f t="shared" si="120"/>
        <v>关</v>
      </c>
      <c r="L479" s="105" t="str">
        <f t="shared" si="121"/>
        <v>关</v>
      </c>
      <c r="M479" s="601">
        <v>4</v>
      </c>
      <c r="N479" s="75" t="str">
        <f>MID(E479,FIND("线路-》",E479,1)+4,FIND("-&gt;",E479,1)-13)</f>
        <v>IPAC</v>
      </c>
      <c r="O479" s="75" t="str">
        <f>MID(E479,FIND("setting",E479,1)+8,FIND("kg",E479,1)-FIND("setting",E479,1)-8)</f>
        <v xml:space="preserve"> 453.70</v>
      </c>
      <c r="Q479" s="75" t="str">
        <f>SUBSTITUTE(T479&amp;N479," ","")</f>
        <v>3.17.4IPAC</v>
      </c>
      <c r="R479" s="74">
        <f>VLOOKUP(Q479,MOR投料表!A:L,9,FALSE)</f>
        <v>453.7</v>
      </c>
      <c r="T479" s="75" t="str">
        <f t="shared" si="122"/>
        <v>3.17.4</v>
      </c>
      <c r="U479" s="74" t="b">
        <f>TEXT(O479,"0.00")=TEXT(R479,"0.00")</f>
        <v>1</v>
      </c>
    </row>
    <row r="480" spans="1:21" ht="45" customHeight="1">
      <c r="A480" s="603"/>
      <c r="B480" s="602"/>
      <c r="C480" s="105" t="s">
        <v>3</v>
      </c>
      <c r="D480" s="106" t="s">
        <v>191</v>
      </c>
      <c r="E480" s="101" t="s">
        <v>192</v>
      </c>
      <c r="F480" s="105" t="str">
        <f>IFERROR(IF(FIND("开",F479,1),"开","关"),"关")</f>
        <v>关</v>
      </c>
      <c r="G480" s="105" t="str">
        <f>IFERROR(IF(FIND("开",G479,1),"开","关"),"关")</f>
        <v>关</v>
      </c>
      <c r="H480" s="105" t="str">
        <f t="shared" si="123"/>
        <v>开</v>
      </c>
      <c r="J480" s="101"/>
      <c r="K480" s="105" t="str">
        <f t="shared" si="120"/>
        <v>关</v>
      </c>
      <c r="L480" s="105" t="str">
        <f t="shared" si="121"/>
        <v>关</v>
      </c>
      <c r="M480" s="601"/>
      <c r="T480" s="75" t="str">
        <f t="shared" si="122"/>
        <v>3.17.4</v>
      </c>
    </row>
    <row r="481" spans="1:21" ht="45" customHeight="1">
      <c r="A481" s="603"/>
      <c r="B481" s="602"/>
      <c r="C481" s="105" t="s">
        <v>3</v>
      </c>
      <c r="D481" s="106" t="s">
        <v>35</v>
      </c>
      <c r="E481" s="101" t="s">
        <v>63</v>
      </c>
      <c r="F481" s="105" t="s">
        <v>37</v>
      </c>
      <c r="G481" s="105" t="str">
        <f>IFERROR(IF(FIND("开",G480,1),"开","关"),"关")</f>
        <v>关</v>
      </c>
      <c r="H481" s="105" t="str">
        <f t="shared" si="123"/>
        <v>开</v>
      </c>
      <c r="J481" s="101"/>
      <c r="K481" s="105" t="str">
        <f t="shared" si="120"/>
        <v>关</v>
      </c>
      <c r="L481" s="105" t="str">
        <f t="shared" si="121"/>
        <v>关</v>
      </c>
      <c r="M481" s="601"/>
      <c r="T481" s="75" t="str">
        <f t="shared" si="122"/>
        <v>3.17.4</v>
      </c>
    </row>
    <row r="482" spans="1:21" ht="45" customHeight="1">
      <c r="A482" s="603"/>
      <c r="B482" s="602"/>
      <c r="C482" s="105" t="s">
        <v>3</v>
      </c>
      <c r="D482" s="106" t="s">
        <v>38</v>
      </c>
      <c r="E482" s="101" t="s">
        <v>101</v>
      </c>
      <c r="F482" s="105" t="str">
        <f>IFERROR(IF(FIND("开",F481,1),"开","关"),"关")</f>
        <v>开</v>
      </c>
      <c r="G482" s="105" t="s">
        <v>29</v>
      </c>
      <c r="H482" s="105" t="str">
        <f t="shared" si="123"/>
        <v>开</v>
      </c>
      <c r="J482" s="101"/>
      <c r="K482" s="105" t="str">
        <f t="shared" si="120"/>
        <v>关</v>
      </c>
      <c r="L482" s="105" t="str">
        <f t="shared" si="121"/>
        <v>关</v>
      </c>
      <c r="M482" s="601"/>
      <c r="T482" s="75" t="str">
        <f t="shared" si="122"/>
        <v>3.17.4</v>
      </c>
    </row>
    <row r="483" spans="1:21" ht="45" customHeight="1">
      <c r="A483" s="603"/>
      <c r="B483" s="602"/>
      <c r="C483" s="105" t="s">
        <v>3</v>
      </c>
      <c r="D483" s="106" t="s">
        <v>40</v>
      </c>
      <c r="E483" s="101" t="s">
        <v>41</v>
      </c>
      <c r="F483" s="105" t="s">
        <v>42</v>
      </c>
      <c r="G483" s="105" t="str">
        <f>IFERROR(IF(FIND("开",G482,1),"开","关"),"关")</f>
        <v>关</v>
      </c>
      <c r="H483" s="105" t="str">
        <f t="shared" si="123"/>
        <v>开</v>
      </c>
      <c r="J483" s="101"/>
      <c r="K483" s="105" t="str">
        <f t="shared" si="120"/>
        <v>关</v>
      </c>
      <c r="L483" s="105" t="str">
        <f t="shared" si="121"/>
        <v>关</v>
      </c>
      <c r="M483" s="601"/>
      <c r="T483" s="75" t="str">
        <f t="shared" si="122"/>
        <v>3.17.4</v>
      </c>
    </row>
    <row r="484" spans="1:21" ht="45" customHeight="1">
      <c r="A484" s="603"/>
      <c r="B484" s="602"/>
      <c r="C484" s="105" t="s">
        <v>3</v>
      </c>
      <c r="D484" s="106" t="s">
        <v>193</v>
      </c>
      <c r="E484" s="332" t="s">
        <v>194</v>
      </c>
      <c r="F484" s="105" t="str">
        <f>IFERROR(IF(FIND("开",F483,1),"开","关"),"关")</f>
        <v>关</v>
      </c>
      <c r="G484" s="105" t="str">
        <f>IFERROR(IF(FIND("开",G483,1),"开","关"),"关")</f>
        <v>关</v>
      </c>
      <c r="H484" s="105" t="str">
        <f t="shared" si="123"/>
        <v>开</v>
      </c>
      <c r="J484" s="101"/>
      <c r="K484" s="105" t="str">
        <f t="shared" si="120"/>
        <v>关</v>
      </c>
      <c r="L484" s="105" t="str">
        <f t="shared" si="121"/>
        <v>关</v>
      </c>
      <c r="M484" s="601"/>
      <c r="T484" s="75" t="str">
        <f t="shared" si="122"/>
        <v>3.17.4</v>
      </c>
    </row>
    <row r="485" spans="1:21" ht="45" customHeight="1">
      <c r="A485" s="603" t="s">
        <v>341</v>
      </c>
      <c r="B485" s="672" t="s">
        <v>196</v>
      </c>
      <c r="C485" s="105" t="s">
        <v>3</v>
      </c>
      <c r="D485" s="106" t="s">
        <v>58</v>
      </c>
      <c r="E485" s="333" t="s">
        <v>59</v>
      </c>
      <c r="F485" s="105" t="str">
        <f>IFERROR(IF(FIND("开",F484,1),"开","关"),"关")</f>
        <v>关</v>
      </c>
      <c r="G485" s="105" t="str">
        <f>IFERROR(IF(FIND("开",G484,1),"开","关"),"关")</f>
        <v>关</v>
      </c>
      <c r="H485" s="105" t="str">
        <f t="shared" si="123"/>
        <v>开</v>
      </c>
      <c r="J485" s="101"/>
      <c r="K485" s="105" t="str">
        <f t="shared" si="120"/>
        <v>关</v>
      </c>
      <c r="L485" s="105" t="str">
        <f t="shared" si="121"/>
        <v>关</v>
      </c>
      <c r="M485" s="601">
        <v>1</v>
      </c>
      <c r="N485" s="75" t="s">
        <v>24</v>
      </c>
      <c r="O485" s="75" t="str">
        <f>MID(E485,FIND("setting",E485,1)+8,FIND("kg",E485,1)-FIND("setting",E485,1)-8)</f>
        <v xml:space="preserve"> 492.70</v>
      </c>
      <c r="Q485" s="75" t="str">
        <f>SUBSTITUTE(T485&amp;N485," ","")</f>
        <v>3.17.5DMF</v>
      </c>
      <c r="R485" s="74">
        <f>VLOOKUP(Q485,MOR投料表!A:L,9,FALSE)</f>
        <v>492.7</v>
      </c>
      <c r="T485" s="75" t="str">
        <f t="shared" si="122"/>
        <v>3.17.5</v>
      </c>
      <c r="U485" s="74" t="b">
        <f>TEXT(O485,"0.00")=TEXT(R485,"0.00")</f>
        <v>1</v>
      </c>
    </row>
    <row r="486" spans="1:21" ht="45" customHeight="1">
      <c r="A486" s="603"/>
      <c r="B486" s="602"/>
      <c r="C486" s="105" t="s">
        <v>3</v>
      </c>
      <c r="D486" s="106" t="s">
        <v>61</v>
      </c>
      <c r="E486" s="101" t="s">
        <v>62</v>
      </c>
      <c r="F486" s="105" t="str">
        <f>IFERROR(IF(FIND("开",F485,1),"开","关"),"关")</f>
        <v>关</v>
      </c>
      <c r="G486" s="105" t="str">
        <f>IFERROR(IF(FIND("开",G485,1),"开","关"),"关")</f>
        <v>关</v>
      </c>
      <c r="H486" s="105" t="str">
        <f t="shared" si="123"/>
        <v>开</v>
      </c>
      <c r="J486" s="101"/>
      <c r="K486" s="105" t="str">
        <f t="shared" si="120"/>
        <v>关</v>
      </c>
      <c r="L486" s="105" t="str">
        <f t="shared" si="121"/>
        <v>关</v>
      </c>
      <c r="M486" s="601"/>
      <c r="T486" s="75" t="str">
        <f t="shared" si="122"/>
        <v>3.17.5</v>
      </c>
    </row>
    <row r="487" spans="1:21" ht="45" customHeight="1">
      <c r="A487" s="603"/>
      <c r="B487" s="602"/>
      <c r="C487" s="105" t="s">
        <v>3</v>
      </c>
      <c r="D487" s="106" t="s">
        <v>35</v>
      </c>
      <c r="E487" s="101" t="s">
        <v>63</v>
      </c>
      <c r="F487" s="105" t="s">
        <v>37</v>
      </c>
      <c r="G487" s="105" t="str">
        <f>IFERROR(IF(FIND("开",G486,1),"开","关"),"关")</f>
        <v>关</v>
      </c>
      <c r="H487" s="105" t="str">
        <f t="shared" si="123"/>
        <v>开</v>
      </c>
      <c r="J487" s="101"/>
      <c r="K487" s="105" t="str">
        <f t="shared" si="120"/>
        <v>关</v>
      </c>
      <c r="L487" s="105" t="str">
        <f t="shared" si="121"/>
        <v>关</v>
      </c>
      <c r="M487" s="601"/>
      <c r="T487" s="75" t="str">
        <f t="shared" si="122"/>
        <v>3.17.5</v>
      </c>
    </row>
    <row r="488" spans="1:21" ht="45" customHeight="1">
      <c r="A488" s="603"/>
      <c r="B488" s="602"/>
      <c r="C488" s="105" t="s">
        <v>3</v>
      </c>
      <c r="D488" s="106" t="s">
        <v>38</v>
      </c>
      <c r="E488" s="101" t="s">
        <v>167</v>
      </c>
      <c r="F488" s="105" t="str">
        <f>IFERROR(IF(FIND("开",F487,1),"开","关"),"关")</f>
        <v>开</v>
      </c>
      <c r="G488" s="105" t="s">
        <v>29</v>
      </c>
      <c r="H488" s="105" t="str">
        <f t="shared" si="123"/>
        <v>开</v>
      </c>
      <c r="J488" s="101"/>
      <c r="K488" s="105" t="str">
        <f t="shared" si="120"/>
        <v>关</v>
      </c>
      <c r="L488" s="105" t="str">
        <f t="shared" si="121"/>
        <v>关</v>
      </c>
      <c r="M488" s="601"/>
      <c r="T488" s="75" t="str">
        <f t="shared" si="122"/>
        <v>3.17.5</v>
      </c>
    </row>
    <row r="489" spans="1:21" ht="45" customHeight="1">
      <c r="A489" s="603"/>
      <c r="B489" s="602"/>
      <c r="C489" s="105" t="s">
        <v>3</v>
      </c>
      <c r="D489" s="106" t="s">
        <v>40</v>
      </c>
      <c r="E489" s="101" t="s">
        <v>41</v>
      </c>
      <c r="F489" s="105" t="s">
        <v>42</v>
      </c>
      <c r="G489" s="105" t="str">
        <f>IFERROR(IF(FIND("开",G488,1),"开","关"),"关")</f>
        <v>关</v>
      </c>
      <c r="H489" s="105" t="str">
        <f t="shared" si="123"/>
        <v>开</v>
      </c>
      <c r="J489" s="101"/>
      <c r="K489" s="105" t="str">
        <f t="shared" si="120"/>
        <v>关</v>
      </c>
      <c r="L489" s="105" t="str">
        <f t="shared" si="121"/>
        <v>关</v>
      </c>
      <c r="M489" s="601"/>
      <c r="T489" s="75" t="str">
        <f t="shared" si="122"/>
        <v>3.17.5</v>
      </c>
    </row>
    <row r="490" spans="1:21" ht="45" customHeight="1">
      <c r="A490" s="603"/>
      <c r="B490" s="602"/>
      <c r="C490" s="105" t="s">
        <v>3</v>
      </c>
      <c r="D490" s="106" t="s">
        <v>198</v>
      </c>
      <c r="E490" s="334" t="s">
        <v>194</v>
      </c>
      <c r="F490" s="105" t="str">
        <f>IFERROR(IF(FIND("开",F489,1),"开","关"),"关")</f>
        <v>关</v>
      </c>
      <c r="G490" s="105" t="str">
        <f>IFERROR(IF(FIND("开",G489,1),"开","关"),"关")</f>
        <v>关</v>
      </c>
      <c r="H490" s="105" t="str">
        <f t="shared" si="123"/>
        <v>开</v>
      </c>
      <c r="J490" s="101"/>
      <c r="K490" s="105" t="str">
        <f t="shared" si="120"/>
        <v>关</v>
      </c>
      <c r="L490" s="105" t="str">
        <f t="shared" si="121"/>
        <v>关</v>
      </c>
      <c r="M490" s="601"/>
      <c r="T490" s="75" t="str">
        <f t="shared" si="122"/>
        <v>3.17.5</v>
      </c>
    </row>
    <row r="491" spans="1:21" ht="45" customHeight="1">
      <c r="A491" s="603" t="s">
        <v>343</v>
      </c>
      <c r="B491" s="673" t="s">
        <v>196</v>
      </c>
      <c r="C491" s="105" t="s">
        <v>3</v>
      </c>
      <c r="D491" s="106" t="s">
        <v>58</v>
      </c>
      <c r="E491" s="335" t="s">
        <v>59</v>
      </c>
      <c r="F491" s="105" t="str">
        <f>IFERROR(IF(FIND("开",F490,1),"开","关"),"关")</f>
        <v>关</v>
      </c>
      <c r="G491" s="105" t="str">
        <f>IFERROR(IF(FIND("开",G490,1),"开","关"),"关")</f>
        <v>关</v>
      </c>
      <c r="H491" s="105" t="str">
        <f t="shared" si="123"/>
        <v>开</v>
      </c>
      <c r="J491" s="101"/>
      <c r="K491" s="105" t="str">
        <f t="shared" si="120"/>
        <v>关</v>
      </c>
      <c r="L491" s="105" t="str">
        <f t="shared" si="121"/>
        <v>关</v>
      </c>
      <c r="M491" s="601">
        <v>1</v>
      </c>
      <c r="N491" s="75" t="s">
        <v>24</v>
      </c>
      <c r="O491" s="75" t="str">
        <f>MID(E491,FIND("setting",E491,1)+8,FIND("kg",E491,1)-FIND("setting",E491,1)-8)</f>
        <v xml:space="preserve"> 492.70</v>
      </c>
      <c r="Q491" s="75" t="str">
        <f>SUBSTITUTE(T491&amp;N491," ","")</f>
        <v>3.17.7DMF</v>
      </c>
      <c r="R491" s="74">
        <f>VLOOKUP(Q491,MOR投料表!A:L,9,FALSE)</f>
        <v>492.7</v>
      </c>
      <c r="T491" s="75" t="str">
        <f t="shared" si="122"/>
        <v>3.17.7</v>
      </c>
      <c r="U491" s="74" t="b">
        <f>TEXT(O491,"0.00")=TEXT(R491,"0.00")</f>
        <v>1</v>
      </c>
    </row>
    <row r="492" spans="1:21" ht="45" customHeight="1">
      <c r="A492" s="603"/>
      <c r="B492" s="602"/>
      <c r="C492" s="105" t="s">
        <v>3</v>
      </c>
      <c r="D492" s="106" t="s">
        <v>61</v>
      </c>
      <c r="E492" s="101" t="s">
        <v>62</v>
      </c>
      <c r="F492" s="105" t="str">
        <f>IFERROR(IF(FIND("开",F491,1),"开","关"),"关")</f>
        <v>关</v>
      </c>
      <c r="G492" s="105" t="str">
        <f>IFERROR(IF(FIND("开",G491,1),"开","关"),"关")</f>
        <v>关</v>
      </c>
      <c r="H492" s="105" t="str">
        <f t="shared" si="123"/>
        <v>开</v>
      </c>
      <c r="J492" s="101"/>
      <c r="K492" s="105" t="str">
        <f t="shared" si="120"/>
        <v>关</v>
      </c>
      <c r="L492" s="105" t="str">
        <f t="shared" si="121"/>
        <v>关</v>
      </c>
      <c r="M492" s="601"/>
      <c r="T492" s="75" t="str">
        <f t="shared" si="122"/>
        <v>3.17.7</v>
      </c>
    </row>
    <row r="493" spans="1:21" ht="45" customHeight="1">
      <c r="A493" s="603"/>
      <c r="B493" s="602"/>
      <c r="C493" s="105" t="s">
        <v>3</v>
      </c>
      <c r="D493" s="106" t="s">
        <v>35</v>
      </c>
      <c r="E493" s="101" t="s">
        <v>63</v>
      </c>
      <c r="F493" s="105" t="s">
        <v>37</v>
      </c>
      <c r="G493" s="105" t="str">
        <f>IFERROR(IF(FIND("开",G492,1),"开","关"),"关")</f>
        <v>关</v>
      </c>
      <c r="H493" s="105" t="str">
        <f t="shared" si="123"/>
        <v>开</v>
      </c>
      <c r="J493" s="101"/>
      <c r="K493" s="105" t="str">
        <f t="shared" si="120"/>
        <v>关</v>
      </c>
      <c r="L493" s="105" t="str">
        <f t="shared" si="121"/>
        <v>关</v>
      </c>
      <c r="M493" s="601"/>
      <c r="T493" s="75" t="str">
        <f t="shared" si="122"/>
        <v>3.17.7</v>
      </c>
    </row>
    <row r="494" spans="1:21" ht="45" customHeight="1">
      <c r="A494" s="603"/>
      <c r="B494" s="602"/>
      <c r="C494" s="105" t="s">
        <v>3</v>
      </c>
      <c r="D494" s="106" t="s">
        <v>38</v>
      </c>
      <c r="E494" s="101" t="s">
        <v>167</v>
      </c>
      <c r="F494" s="105" t="str">
        <f>IFERROR(IF(FIND("开",F493,1),"开","关"),"关")</f>
        <v>开</v>
      </c>
      <c r="G494" s="105" t="s">
        <v>29</v>
      </c>
      <c r="H494" s="105" t="str">
        <f t="shared" si="123"/>
        <v>开</v>
      </c>
      <c r="J494" s="101"/>
      <c r="K494" s="105" t="str">
        <f t="shared" si="120"/>
        <v>关</v>
      </c>
      <c r="L494" s="105" t="str">
        <f t="shared" si="121"/>
        <v>关</v>
      </c>
      <c r="M494" s="601"/>
      <c r="T494" s="75" t="str">
        <f t="shared" si="122"/>
        <v>3.17.7</v>
      </c>
    </row>
    <row r="495" spans="1:21" ht="45" customHeight="1">
      <c r="A495" s="603"/>
      <c r="B495" s="602"/>
      <c r="C495" s="105" t="s">
        <v>3</v>
      </c>
      <c r="D495" s="106" t="s">
        <v>40</v>
      </c>
      <c r="E495" s="101" t="s">
        <v>41</v>
      </c>
      <c r="F495" s="105" t="s">
        <v>42</v>
      </c>
      <c r="G495" s="105" t="str">
        <f>IFERROR(IF(FIND("开",G494,1),"开","关"),"关")</f>
        <v>关</v>
      </c>
      <c r="H495" s="105" t="str">
        <f t="shared" si="123"/>
        <v>开</v>
      </c>
      <c r="J495" s="101"/>
      <c r="K495" s="105" t="str">
        <f t="shared" si="120"/>
        <v>关</v>
      </c>
      <c r="L495" s="105" t="str">
        <f t="shared" si="121"/>
        <v>关</v>
      </c>
      <c r="M495" s="601"/>
      <c r="T495" s="75" t="str">
        <f t="shared" si="122"/>
        <v>3.17.7</v>
      </c>
    </row>
    <row r="496" spans="1:21" ht="45" customHeight="1">
      <c r="A496" s="603"/>
      <c r="B496" s="602"/>
      <c r="C496" s="105" t="s">
        <v>3</v>
      </c>
      <c r="D496" s="106" t="s">
        <v>45</v>
      </c>
      <c r="E496" s="336" t="s">
        <v>46</v>
      </c>
      <c r="F496" s="105" t="str">
        <f>IFERROR(IF(FIND("开",F495,1),"开","关"),"关")</f>
        <v>关</v>
      </c>
      <c r="G496" s="105" t="str">
        <f>IFERROR(IF(FIND("开",G495,1),"开","关"),"关")</f>
        <v>关</v>
      </c>
      <c r="H496" s="105" t="str">
        <f t="shared" si="123"/>
        <v>开</v>
      </c>
      <c r="J496" s="101"/>
      <c r="K496" s="105" t="str">
        <f t="shared" si="120"/>
        <v>关</v>
      </c>
      <c r="L496" s="105" t="str">
        <f t="shared" si="121"/>
        <v>关</v>
      </c>
      <c r="M496" s="601"/>
      <c r="T496" s="75" t="str">
        <f t="shared" si="122"/>
        <v>3.17.7</v>
      </c>
    </row>
    <row r="497" spans="1:21" ht="45" customHeight="1">
      <c r="A497" s="595" t="s">
        <v>345</v>
      </c>
      <c r="B497" s="642" t="s">
        <v>346</v>
      </c>
      <c r="C497" s="105" t="s">
        <v>8</v>
      </c>
      <c r="D497" s="106"/>
      <c r="E497" s="78"/>
      <c r="F497" s="105" t="str">
        <f>IFERROR(IF(FIND("开",F496,1),"开","关"),"关")</f>
        <v>关</v>
      </c>
      <c r="G497" s="105" t="str">
        <f>IFERROR(IF(FIND("开",G496,1),"开","关"),"关")</f>
        <v>关</v>
      </c>
      <c r="H497" s="105" t="str">
        <f t="shared" si="123"/>
        <v>开</v>
      </c>
      <c r="I497" s="84" t="s">
        <v>89</v>
      </c>
      <c r="J497" s="337" t="s">
        <v>204</v>
      </c>
      <c r="K497" s="105" t="str">
        <f>IFERROR(IF(FIND("开",K496,1),"开","关"),"关")</f>
        <v>关</v>
      </c>
      <c r="L497" s="105" t="s">
        <v>37</v>
      </c>
      <c r="M497" s="598">
        <v>1</v>
      </c>
      <c r="T497" s="75" t="str">
        <f t="shared" si="122"/>
        <v>3.18.1</v>
      </c>
    </row>
    <row r="498" spans="1:21" ht="45" customHeight="1">
      <c r="A498" s="634"/>
      <c r="B498" s="634"/>
      <c r="C498" s="105" t="s">
        <v>8</v>
      </c>
      <c r="E498" s="77"/>
      <c r="F498" s="105" t="str">
        <f>IFERROR(IF(FIND("开",#REF!,1),"开","关"),"关")</f>
        <v>关</v>
      </c>
      <c r="G498" s="105" t="str">
        <f>IFERROR(IF(FIND("开",#REF!,1),"开","关"),"关")</f>
        <v>关</v>
      </c>
      <c r="H498" s="105" t="str">
        <f>IFERROR(IF(FIND("开",#REF!,1),"开","关"),"关")</f>
        <v>关</v>
      </c>
      <c r="I498" s="106" t="s">
        <v>77</v>
      </c>
      <c r="J498" s="338" t="s">
        <v>23</v>
      </c>
      <c r="K498" s="105" t="str">
        <f>IFERROR(IF(FIND("开",#REF!,1),"开","关"),"关")</f>
        <v>关</v>
      </c>
      <c r="L498" s="105" t="str">
        <f>IFERROR(IF(FIND("开",#REF!,1),"开","关"),"关")</f>
        <v>关</v>
      </c>
      <c r="M498" s="634"/>
      <c r="N498" s="75" t="s">
        <v>24</v>
      </c>
      <c r="O498" s="75" t="str">
        <f>MID(J498,FIND("setting",J498,1)+8,FIND("kg",J498,1)-FIND("setting",J498,1)-8)</f>
        <v xml:space="preserve"> 369.85</v>
      </c>
      <c r="Q498" s="75" t="str">
        <f>SUBSTITUTE(T498&amp;N498," ","")</f>
        <v>3.18.1DMF</v>
      </c>
      <c r="R498" s="74">
        <f>VLOOKUP(Q498,MOR投料表!A:L,9,FALSE)</f>
        <v>369.85</v>
      </c>
      <c r="T498" s="75" t="str">
        <f t="shared" si="122"/>
        <v>3.18.1</v>
      </c>
      <c r="U498" s="74" t="b">
        <f>TEXT(O498,"0.00")=TEXT(R498,"0.00")</f>
        <v>1</v>
      </c>
    </row>
    <row r="499" spans="1:21" ht="45" customHeight="1">
      <c r="A499" s="634"/>
      <c r="B499" s="634"/>
      <c r="C499" s="105" t="s">
        <v>8</v>
      </c>
      <c r="E499" s="77"/>
      <c r="F499" s="105" t="str">
        <f t="shared" ref="F499:H501" si="124">IFERROR(IF(FIND("开",F498,1),"开","关"),"关")</f>
        <v>关</v>
      </c>
      <c r="G499" s="105" t="str">
        <f t="shared" si="124"/>
        <v>关</v>
      </c>
      <c r="H499" s="105" t="str">
        <f t="shared" si="124"/>
        <v>关</v>
      </c>
      <c r="I499" s="106" t="s">
        <v>61</v>
      </c>
      <c r="J499" s="101" t="s">
        <v>26</v>
      </c>
      <c r="K499" s="105" t="str">
        <f>IFERROR(IF(FIND("开",K498,1),"开","关"),"关")</f>
        <v>关</v>
      </c>
      <c r="L499" s="105" t="str">
        <f>IFERROR(IF(FIND("开",L498,1),"开","关"),"关")</f>
        <v>关</v>
      </c>
      <c r="M499" s="634"/>
      <c r="N499" s="75"/>
      <c r="O499" s="75"/>
      <c r="T499" s="75" t="str">
        <f t="shared" si="122"/>
        <v>3.18.1</v>
      </c>
      <c r="U499" s="74" t="b">
        <f>TEXT(O499,"0.00")=TEXT(R499,"0.00")</f>
        <v>1</v>
      </c>
    </row>
    <row r="500" spans="1:21" ht="45" customHeight="1">
      <c r="A500" s="634"/>
      <c r="B500" s="634"/>
      <c r="C500" s="105" t="s">
        <v>8</v>
      </c>
      <c r="E500" s="77"/>
      <c r="F500" s="105" t="str">
        <f t="shared" si="124"/>
        <v>关</v>
      </c>
      <c r="G500" s="105" t="str">
        <f t="shared" si="124"/>
        <v>关</v>
      </c>
      <c r="H500" s="105" t="str">
        <f t="shared" si="124"/>
        <v>关</v>
      </c>
      <c r="I500" s="106" t="s">
        <v>78</v>
      </c>
      <c r="J500" s="101" t="s">
        <v>79</v>
      </c>
      <c r="K500" s="105" t="s">
        <v>37</v>
      </c>
      <c r="L500" s="105" t="str">
        <f>IFERROR(IF(FIND("开",L499,1),"开","关"),"关")</f>
        <v>关</v>
      </c>
      <c r="M500" s="634"/>
      <c r="T500" s="75" t="str">
        <f t="shared" si="122"/>
        <v>3.18.1</v>
      </c>
    </row>
    <row r="501" spans="1:21" ht="56.25" customHeight="1">
      <c r="A501" s="634"/>
      <c r="B501" s="634"/>
      <c r="C501" s="105" t="s">
        <v>8</v>
      </c>
      <c r="E501" s="77"/>
      <c r="F501" s="105" t="str">
        <f t="shared" si="124"/>
        <v>关</v>
      </c>
      <c r="G501" s="105" t="str">
        <f t="shared" si="124"/>
        <v>关</v>
      </c>
      <c r="H501" s="105" t="str">
        <f t="shared" si="124"/>
        <v>关</v>
      </c>
      <c r="I501" s="106" t="s">
        <v>252</v>
      </c>
      <c r="J501" s="101" t="s">
        <v>253</v>
      </c>
      <c r="K501" s="105" t="str">
        <f>IFERROR(IF(FIND("开",K500,1),"开","关"),"关")</f>
        <v>开</v>
      </c>
      <c r="L501" s="105" t="str">
        <f>IFERROR(IF(FIND("开",L500,1),"开","关"),"关")</f>
        <v>关</v>
      </c>
      <c r="M501" s="634"/>
      <c r="N501" s="75" t="str">
        <f>MID(J501,FIND("物料",J501,1)+3,FIND("投料重量",J501,1)-FIND("物料",J501,1)-4)</f>
        <v>Fmoc-L-Ala-OH·H2O</v>
      </c>
      <c r="O501" s="75" t="e">
        <f>MID(J501,FIND("投料重量",J501,1)+5,FIND("kg",J501,1)-FIND("投料重量",J501,1)-5)</f>
        <v>#VALUE!</v>
      </c>
      <c r="P501" s="75" t="str">
        <f>SUBSTITUTE(RIGHT(J501,LEN(J501)-FIND("重量误差",J501,1)-4),"kg","")</f>
        <v>______</v>
      </c>
      <c r="Q501" s="75" t="str">
        <f>SUBSTITUTE(T501&amp;N501," ","")</f>
        <v>3.17.7Fmoc-L-Ala-OH·H2O</v>
      </c>
      <c r="R501" s="74" t="e">
        <f>VLOOKUP(Q501,氨基酸和溶剂信息!A:P,8,FALSE)</f>
        <v>#N/A</v>
      </c>
      <c r="T501" s="75" t="str">
        <f>IF(ISBLANK(A501),T496,LEFT(A501,FIND(" ",A501,1)-1))</f>
        <v>3.17.7</v>
      </c>
      <c r="U501" s="74" t="e">
        <f>TEXT(O501,"0.00")=TEXT(R501,"0.00")</f>
        <v>#VALUE!</v>
      </c>
    </row>
    <row r="502" spans="1:21" ht="45" customHeight="1">
      <c r="A502" s="634"/>
      <c r="B502" s="634"/>
      <c r="C502" s="105" t="s">
        <v>8</v>
      </c>
      <c r="E502" s="77"/>
      <c r="I502" s="106" t="s">
        <v>93</v>
      </c>
      <c r="J502" s="339" t="s">
        <v>209</v>
      </c>
      <c r="M502" s="634"/>
      <c r="N502" s="75"/>
      <c r="O502" s="75"/>
      <c r="P502" s="75"/>
      <c r="Q502" s="75"/>
      <c r="T502" s="75"/>
    </row>
    <row r="503" spans="1:21" ht="45" customHeight="1">
      <c r="A503" s="634"/>
      <c r="B503" s="634"/>
      <c r="C503" s="105" t="s">
        <v>8</v>
      </c>
      <c r="E503" s="77"/>
      <c r="F503" s="105" t="str">
        <f>IFERROR(IF(FIND("开",F501,1),"开","关"),"关")</f>
        <v>关</v>
      </c>
      <c r="G503" s="105" t="str">
        <f>IFERROR(IF(FIND("开",G501,1),"开","关"),"关")</f>
        <v>关</v>
      </c>
      <c r="H503" s="105" t="str">
        <f>IFERROR(IF(FIND("开",H501,1),"开","关"),"关")</f>
        <v>关</v>
      </c>
      <c r="I503" s="106" t="s">
        <v>95</v>
      </c>
      <c r="J503" s="340" t="s">
        <v>210</v>
      </c>
      <c r="K503" s="105" t="str">
        <f>IFERROR(IF(FIND("开",K501,1),"开","关"),"关")</f>
        <v>开</v>
      </c>
      <c r="L503" s="105" t="str">
        <f>IFERROR(IF(FIND("开",L501,1),"开","关"),"关")</f>
        <v>关</v>
      </c>
      <c r="M503" s="634"/>
      <c r="N503" s="75"/>
      <c r="O503" s="75"/>
      <c r="P503" s="75"/>
      <c r="Q503" s="75"/>
      <c r="T503" s="75" t="str">
        <f>IF(ISBLANK(A503),T501,LEFT(A503,FIND(" ",A503,1)-1))</f>
        <v>3.17.7</v>
      </c>
    </row>
    <row r="504" spans="1:21" ht="45" customHeight="1">
      <c r="A504" s="634"/>
      <c r="B504" s="634"/>
      <c r="C504" s="105" t="s">
        <v>8</v>
      </c>
      <c r="E504" s="77"/>
      <c r="F504" s="105" t="str">
        <f t="shared" ref="F504:F512" si="125">IFERROR(IF(FIND("开",F503,1),"开","关"),"关")</f>
        <v>关</v>
      </c>
      <c r="G504" s="105" t="str">
        <f t="shared" ref="G504:G512" si="126">IFERROR(IF(FIND("开",G503,1),"开","关"),"关")</f>
        <v>关</v>
      </c>
      <c r="H504" s="105" t="str">
        <f t="shared" ref="H504:H512" si="127">IFERROR(IF(FIND("开",H503,1),"开","关"),"关")</f>
        <v>关</v>
      </c>
      <c r="I504" s="106" t="s">
        <v>123</v>
      </c>
      <c r="J504" s="341" t="s">
        <v>211</v>
      </c>
      <c r="K504" s="105" t="str">
        <f t="shared" ref="K504:K512" si="128">IFERROR(IF(FIND("开",K503,1),"开","关"),"关")</f>
        <v>开</v>
      </c>
      <c r="L504" s="105" t="s">
        <v>42</v>
      </c>
      <c r="M504" s="634"/>
      <c r="N504" s="75"/>
      <c r="O504" s="75"/>
      <c r="P504" s="75"/>
      <c r="Q504" s="75"/>
      <c r="T504" s="75" t="str">
        <f>IF(ISBLANK(A504),T503,LEFT(A504,FIND(" ",A504,1)-1))</f>
        <v>3.17.7</v>
      </c>
    </row>
    <row r="505" spans="1:21" ht="45" customHeight="1">
      <c r="A505" s="634"/>
      <c r="B505" s="634"/>
      <c r="C505" s="105" t="s">
        <v>8</v>
      </c>
      <c r="E505" s="77"/>
      <c r="F505" s="105" t="str">
        <f t="shared" si="125"/>
        <v>关</v>
      </c>
      <c r="G505" s="105" t="str">
        <f t="shared" si="126"/>
        <v>关</v>
      </c>
      <c r="H505" s="105" t="str">
        <f t="shared" si="127"/>
        <v>关</v>
      </c>
      <c r="I505" s="106" t="s">
        <v>203</v>
      </c>
      <c r="J505" s="101" t="s">
        <v>255</v>
      </c>
      <c r="K505" s="105" t="str">
        <f t="shared" si="128"/>
        <v>开</v>
      </c>
      <c r="L505" s="105" t="s">
        <v>37</v>
      </c>
      <c r="M505" s="634"/>
      <c r="N505" s="75"/>
      <c r="O505" s="75"/>
      <c r="P505" s="75"/>
      <c r="Q505" s="75"/>
      <c r="T505" s="75" t="str">
        <f>IF(ISBLANK(A505),T504,LEFT(A505,FIND(" ",A505,1)-1))</f>
        <v>3.17.7</v>
      </c>
    </row>
    <row r="506" spans="1:21" ht="45" customHeight="1">
      <c r="A506" s="634"/>
      <c r="B506" s="634"/>
      <c r="C506" s="105" t="s">
        <v>8</v>
      </c>
      <c r="E506" s="77"/>
      <c r="F506" s="105" t="str">
        <f t="shared" si="125"/>
        <v>关</v>
      </c>
      <c r="G506" s="105" t="str">
        <f t="shared" si="126"/>
        <v>关</v>
      </c>
      <c r="H506" s="105" t="str">
        <f t="shared" si="127"/>
        <v>关</v>
      </c>
      <c r="I506" s="106" t="s">
        <v>91</v>
      </c>
      <c r="J506" s="342" t="s">
        <v>256</v>
      </c>
      <c r="K506" s="105" t="str">
        <f t="shared" si="128"/>
        <v>开</v>
      </c>
      <c r="L506" s="105" t="str">
        <f t="shared" ref="L506:L512" si="129">IFERROR(IF(FIND("开",L505,1),"开","关"),"关")</f>
        <v>开</v>
      </c>
      <c r="M506" s="634"/>
      <c r="N506" s="75"/>
      <c r="O506" s="75"/>
      <c r="P506" s="75"/>
      <c r="Q506" s="75"/>
      <c r="T506" s="75" t="str">
        <f>IF(ISBLANK(A506),T505,LEFT(A506,FIND(" ",A506,1)-1))</f>
        <v>3.17.7</v>
      </c>
    </row>
    <row r="507" spans="1:21" ht="45" customHeight="1">
      <c r="A507" s="634"/>
      <c r="B507" s="634"/>
      <c r="C507" s="105" t="s">
        <v>8</v>
      </c>
      <c r="E507" s="77"/>
      <c r="F507" s="105" t="str">
        <f t="shared" si="125"/>
        <v>关</v>
      </c>
      <c r="G507" s="105" t="str">
        <f t="shared" si="126"/>
        <v>关</v>
      </c>
      <c r="H507" s="105" t="str">
        <f t="shared" si="127"/>
        <v>关</v>
      </c>
      <c r="I507" s="106" t="s">
        <v>217</v>
      </c>
      <c r="J507" s="101" t="s">
        <v>218</v>
      </c>
      <c r="K507" s="105" t="str">
        <f t="shared" si="128"/>
        <v>开</v>
      </c>
      <c r="L507" s="105" t="str">
        <f t="shared" si="129"/>
        <v>开</v>
      </c>
      <c r="M507" s="634"/>
      <c r="N507" s="75" t="str">
        <f>MID(J507,FIND("物料",J507,1)+3,FIND("投料重量",J507,1)-FIND("物料",J507,1)-4)</f>
        <v>OxymaPure</v>
      </c>
      <c r="O507" s="75" t="e">
        <f>MID(J507,FIND("投料重量",J507,1)+5,FIND("kg",J507,1)-FIND("投料重量",J507,1)-5)</f>
        <v>#VALUE!</v>
      </c>
      <c r="P507" s="75" t="str">
        <f>SUBSTITUTE(RIGHT(J507,LEN(J507)-FIND("重量误差",J507,1)-4),"kg","")</f>
        <v>______</v>
      </c>
      <c r="Q507" s="75" t="str">
        <f>SUBSTITUTE(T507&amp;N507," ","")</f>
        <v>3.17.7OxymaPure</v>
      </c>
      <c r="R507" s="74" t="e">
        <f>VLOOKUP(Q507,氨基酸和溶剂信息!A:P,8,FALSE)</f>
        <v>#N/A</v>
      </c>
      <c r="T507" s="75" t="str">
        <f>IF(ISBLANK(A507),T506,LEFT(A507,FIND(" ",A507,1)-1))</f>
        <v>3.17.7</v>
      </c>
      <c r="U507" s="74" t="e">
        <f>TEXT(O507,"0.00")=TEXT(R507,"0.00")</f>
        <v>#VALUE!</v>
      </c>
    </row>
    <row r="508" spans="1:21" ht="45" customHeight="1">
      <c r="A508" s="634"/>
      <c r="B508" s="634"/>
      <c r="C508" s="105" t="s">
        <v>8</v>
      </c>
      <c r="E508" s="77"/>
      <c r="F508" s="105" t="str">
        <f t="shared" si="125"/>
        <v>关</v>
      </c>
      <c r="G508" s="105" t="str">
        <f t="shared" si="126"/>
        <v>关</v>
      </c>
      <c r="H508" s="105" t="str">
        <f t="shared" si="127"/>
        <v>关</v>
      </c>
      <c r="I508" s="106" t="s">
        <v>82</v>
      </c>
      <c r="J508" s="343" t="s">
        <v>83</v>
      </c>
      <c r="K508" s="105" t="str">
        <f t="shared" si="128"/>
        <v>开</v>
      </c>
      <c r="L508" s="105" t="str">
        <f t="shared" si="129"/>
        <v>开</v>
      </c>
      <c r="M508" s="634"/>
      <c r="N508" s="75" t="s">
        <v>24</v>
      </c>
      <c r="O508" s="75" t="str">
        <f>MID(J508,FIND("setting",J508,1)+8,FIND("kg",J508,1)-FIND("setting",J508,1)-8)</f>
        <v xml:space="preserve"> 61.75</v>
      </c>
      <c r="Q508" s="75" t="str">
        <f>SUBSTITUTE(T508&amp;N508," ","")</f>
        <v>3.18.5DMF</v>
      </c>
      <c r="R508" s="74">
        <f>VLOOKUP(Q508,MOR投料表!A:L,9,FALSE)</f>
        <v>61.75</v>
      </c>
      <c r="T508" s="75" t="s">
        <v>348</v>
      </c>
      <c r="U508" s="74" t="b">
        <f>TEXT(O508,"0.00")=TEXT(R508,"0.00")</f>
        <v>1</v>
      </c>
    </row>
    <row r="509" spans="1:21" ht="45" customHeight="1">
      <c r="A509" s="634"/>
      <c r="B509" s="634"/>
      <c r="C509" s="105" t="s">
        <v>8</v>
      </c>
      <c r="E509" s="77"/>
      <c r="F509" s="105" t="str">
        <f t="shared" si="125"/>
        <v>关</v>
      </c>
      <c r="G509" s="105" t="str">
        <f t="shared" si="126"/>
        <v>关</v>
      </c>
      <c r="H509" s="105" t="str">
        <f t="shared" si="127"/>
        <v>关</v>
      </c>
      <c r="I509" s="106" t="s">
        <v>85</v>
      </c>
      <c r="J509" s="101" t="s">
        <v>86</v>
      </c>
      <c r="K509" s="105" t="str">
        <f t="shared" si="128"/>
        <v>开</v>
      </c>
      <c r="L509" s="105" t="str">
        <f t="shared" si="129"/>
        <v>开</v>
      </c>
      <c r="M509" s="634"/>
      <c r="T509" s="75" t="str">
        <f>IF(ISBLANK(A509),T508,LEFT(A509,FIND(" ",A509,1)-1))</f>
        <v>3.18.5</v>
      </c>
    </row>
    <row r="510" spans="1:21" ht="60" customHeight="1">
      <c r="A510" s="634"/>
      <c r="B510" s="634"/>
      <c r="C510" s="105" t="s">
        <v>30</v>
      </c>
      <c r="D510" s="106" t="s">
        <v>68</v>
      </c>
      <c r="E510" s="344" t="s">
        <v>258</v>
      </c>
      <c r="F510" s="105" t="str">
        <f t="shared" si="125"/>
        <v>关</v>
      </c>
      <c r="G510" s="105" t="str">
        <f t="shared" si="126"/>
        <v>关</v>
      </c>
      <c r="H510" s="105" t="str">
        <f t="shared" si="127"/>
        <v>关</v>
      </c>
      <c r="I510" s="106"/>
      <c r="J510" s="101"/>
      <c r="K510" s="105" t="str">
        <f t="shared" si="128"/>
        <v>开</v>
      </c>
      <c r="L510" s="105" t="str">
        <f t="shared" si="129"/>
        <v>开</v>
      </c>
      <c r="M510" s="634"/>
      <c r="T510" s="75" t="str">
        <f>IF(ISBLANK(A510),T509,LEFT(A510,FIND(" ",A510,1)-1))</f>
        <v>3.18.5</v>
      </c>
    </row>
    <row r="511" spans="1:21" ht="45" customHeight="1">
      <c r="A511" s="634"/>
      <c r="B511" s="634"/>
      <c r="C511" s="105" t="s">
        <v>8</v>
      </c>
      <c r="E511" s="77"/>
      <c r="F511" s="105" t="str">
        <f t="shared" si="125"/>
        <v>关</v>
      </c>
      <c r="G511" s="105" t="str">
        <f t="shared" si="126"/>
        <v>关</v>
      </c>
      <c r="H511" s="105" t="str">
        <f t="shared" si="127"/>
        <v>关</v>
      </c>
      <c r="I511" s="106" t="s">
        <v>259</v>
      </c>
      <c r="J511" s="77" t="s">
        <v>260</v>
      </c>
      <c r="K511" s="105" t="str">
        <f t="shared" si="128"/>
        <v>开</v>
      </c>
      <c r="L511" s="105" t="str">
        <f t="shared" si="129"/>
        <v>开</v>
      </c>
      <c r="M511" s="634"/>
      <c r="N511" s="75" t="str">
        <f>SUBSTITUTE(MID(J511,FIND("-》",J511,1)+11,FIND(", weight",J511,1)-FIND("-》",J511,1)-11),"-喷淋-固体喷淋","")</f>
        <v xml:space="preserve"> DIC</v>
      </c>
      <c r="O511" s="75" t="e">
        <f>MID(J511,FIND("量",J511,1)+2,FIND("kg",J511,1)-FIND("量",J511,1)-2)</f>
        <v>#VALUE!</v>
      </c>
      <c r="Q511" s="75" t="str">
        <f>SUBSTITUTE(T511&amp;N511," ","")</f>
        <v>3.18.5DIC</v>
      </c>
      <c r="R511" s="74" t="e">
        <f>VLOOKUP(Q511,氨基酸和溶剂信息!A:P,8,FALSE)</f>
        <v>#N/A</v>
      </c>
      <c r="T511" s="75" t="str">
        <f>IF(ISBLANK(A511),T510,LEFT(A511,FIND(" ",A511,1)-1))</f>
        <v>3.18.5</v>
      </c>
      <c r="U511" s="74" t="e">
        <f>TEXT(O511,"0.00")=TEXT(R511,"0.00")</f>
        <v>#VALUE!</v>
      </c>
    </row>
    <row r="512" spans="1:21" ht="45" customHeight="1">
      <c r="A512" s="634"/>
      <c r="B512" s="634"/>
      <c r="C512" s="105" t="s">
        <v>8</v>
      </c>
      <c r="E512" s="77"/>
      <c r="F512" s="105" t="str">
        <f t="shared" si="125"/>
        <v>关</v>
      </c>
      <c r="G512" s="105" t="str">
        <f t="shared" si="126"/>
        <v>关</v>
      </c>
      <c r="H512" s="105" t="str">
        <f t="shared" si="127"/>
        <v>关</v>
      </c>
      <c r="I512" s="106" t="s">
        <v>261</v>
      </c>
      <c r="J512" s="77" t="s">
        <v>262</v>
      </c>
      <c r="K512" s="105" t="str">
        <f t="shared" si="128"/>
        <v>开</v>
      </c>
      <c r="L512" s="105" t="str">
        <f t="shared" si="129"/>
        <v>开</v>
      </c>
      <c r="M512" s="634"/>
      <c r="T512" s="75" t="str">
        <f>IF(ISBLANK(A512),T511,LEFT(A512,FIND(" ",A512,1)-1))</f>
        <v>3.18.5</v>
      </c>
    </row>
    <row r="513" spans="1:21" ht="45" customHeight="1">
      <c r="A513" s="634"/>
      <c r="B513" s="634"/>
      <c r="C513" s="105" t="s">
        <v>178</v>
      </c>
      <c r="E513" s="77"/>
      <c r="I513" s="106" t="s">
        <v>221</v>
      </c>
      <c r="J513" s="345" t="s">
        <v>263</v>
      </c>
      <c r="M513" s="634"/>
      <c r="T513" s="75"/>
    </row>
    <row r="514" spans="1:21" ht="45" customHeight="1">
      <c r="A514" s="634"/>
      <c r="B514" s="634"/>
      <c r="C514" s="105" t="s">
        <v>8</v>
      </c>
      <c r="E514" s="77"/>
      <c r="F514" s="105" t="str">
        <f>IFERROR(IF(FIND("开",#REF!,1),"开","关"),"关")</f>
        <v>关</v>
      </c>
      <c r="G514" s="105" t="str">
        <f>IFERROR(IF(FIND("开",#REF!,1),"开","关"),"关")</f>
        <v>关</v>
      </c>
      <c r="H514" s="105" t="str">
        <f>IFERROR(IF(FIND("开",#REF!,1),"开","关"),"关")</f>
        <v>关</v>
      </c>
      <c r="I514" s="106" t="s">
        <v>110</v>
      </c>
      <c r="J514" s="101" t="s">
        <v>111</v>
      </c>
      <c r="K514" s="105" t="s">
        <v>42</v>
      </c>
      <c r="L514" s="105" t="str">
        <f>IFERROR(IF(FIND("开",#REF!,1),"开","关"),"关")</f>
        <v>关</v>
      </c>
      <c r="M514" s="634"/>
      <c r="T514" s="75" t="e">
        <f>IF(ISBLANK(A514),#REF!,LEFT(A514,FIND(" ",A514,1)-1))</f>
        <v>#REF!</v>
      </c>
    </row>
    <row r="515" spans="1:21" ht="45" customHeight="1">
      <c r="A515" s="634"/>
      <c r="B515" s="634"/>
      <c r="C515" s="105" t="s">
        <v>178</v>
      </c>
      <c r="E515" s="77"/>
      <c r="I515" s="106" t="s">
        <v>112</v>
      </c>
      <c r="J515" s="346" t="s">
        <v>113</v>
      </c>
      <c r="M515" s="635"/>
      <c r="T515" s="75"/>
    </row>
    <row r="516" spans="1:21" ht="45" customHeight="1">
      <c r="A516" s="595" t="s">
        <v>349</v>
      </c>
      <c r="B516" s="677" t="s">
        <v>115</v>
      </c>
      <c r="C516" s="105" t="s">
        <v>30</v>
      </c>
      <c r="D516" s="106" t="s">
        <v>31</v>
      </c>
      <c r="E516" s="347" t="s">
        <v>32</v>
      </c>
      <c r="F516" s="105" t="str">
        <f>IFERROR(IF(FIND("开",F514,1),"开","关"),"关")</f>
        <v>关</v>
      </c>
      <c r="G516" s="105" t="str">
        <f>IFERROR(IF(FIND("开",G514,1),"开","关"),"关")</f>
        <v>关</v>
      </c>
      <c r="H516" s="105" t="str">
        <f>IFERROR(IF(FIND("开",H514,1),"开","关"),"关")</f>
        <v>关</v>
      </c>
      <c r="I516" s="74"/>
      <c r="J516" s="77"/>
      <c r="K516" s="105" t="str">
        <f>IFERROR(IF(FIND("开",K514,1),"开","关"),"关")</f>
        <v>关</v>
      </c>
      <c r="L516" s="105" t="str">
        <f>IFERROR(IF(FIND("开",L514,1),"开","关"),"关")</f>
        <v>关</v>
      </c>
      <c r="M516" s="598">
        <v>1</v>
      </c>
      <c r="N516" s="75"/>
      <c r="O516" s="75"/>
      <c r="T516" s="75" t="str">
        <f>IF(ISBLANK(A516),T514,LEFT(A516,FIND(" ",A516,1)-1))</f>
        <v>3.19.1</v>
      </c>
      <c r="U516" s="74" t="b">
        <f>TEXT(O516,"0.00")=TEXT(R516,"0.00")</f>
        <v>1</v>
      </c>
    </row>
    <row r="517" spans="1:21" ht="45" customHeight="1">
      <c r="A517" s="596"/>
      <c r="B517" s="622"/>
      <c r="C517" s="105" t="s">
        <v>8</v>
      </c>
      <c r="D517" s="106"/>
      <c r="E517" s="101"/>
      <c r="I517" s="74" t="s">
        <v>116</v>
      </c>
      <c r="J517" s="348" t="s">
        <v>117</v>
      </c>
      <c r="M517" s="599"/>
      <c r="T517" s="75"/>
    </row>
    <row r="518" spans="1:21" ht="45" customHeight="1">
      <c r="A518" s="596"/>
      <c r="B518" s="622"/>
      <c r="C518" s="105" t="s">
        <v>30</v>
      </c>
      <c r="D518" s="106" t="s">
        <v>33</v>
      </c>
      <c r="E518" s="101" t="s">
        <v>34</v>
      </c>
      <c r="F518" s="105" t="str">
        <f>IFERROR(IF(FIND("开",F516,1),"开","关"),"关")</f>
        <v>关</v>
      </c>
      <c r="G518" s="105" t="str">
        <f>IFERROR(IF(FIND("开",G516,1),"开","关"),"关")</f>
        <v>关</v>
      </c>
      <c r="H518" s="105" t="str">
        <f>IFERROR(IF(FIND("开",H516,1),"开","关"),"关")</f>
        <v>关</v>
      </c>
      <c r="I518" s="74"/>
      <c r="J518" s="77"/>
      <c r="K518" s="105" t="str">
        <f>IFERROR(IF(FIND("开",K516,1),"开","关"),"关")</f>
        <v>关</v>
      </c>
      <c r="L518" s="105" t="str">
        <f>IFERROR(IF(FIND("开",L516,1),"开","关"),"关")</f>
        <v>关</v>
      </c>
      <c r="M518" s="599"/>
      <c r="T518" s="75" t="str">
        <f>IF(ISBLANK(A518),T516,LEFT(A518,FIND(" ",A518,1)-1))</f>
        <v>3.19.1</v>
      </c>
    </row>
    <row r="519" spans="1:21" ht="45" customHeight="1">
      <c r="A519" s="596"/>
      <c r="B519" s="622"/>
      <c r="C519" s="105" t="s">
        <v>8</v>
      </c>
      <c r="D519" s="105"/>
      <c r="E519" s="104"/>
      <c r="F519" s="105" t="str">
        <f>IFERROR(IF(FIND("开",F518,1),"开","关"),"关")</f>
        <v>关</v>
      </c>
      <c r="G519" s="105" t="str">
        <f>IFERROR(IF(FIND("开",G518,1),"开","关"),"关")</f>
        <v>关</v>
      </c>
      <c r="H519" s="105" t="str">
        <f>IFERROR(IF(FIND("开",H518,1),"开","关"),"关")</f>
        <v>关</v>
      </c>
      <c r="I519" s="106" t="s">
        <v>22</v>
      </c>
      <c r="J519" s="349" t="s">
        <v>118</v>
      </c>
      <c r="K519" s="105" t="str">
        <f t="shared" ref="K519:L524" si="130">IFERROR(IF(FIND("开",K518,1),"开","关"),"关")</f>
        <v>关</v>
      </c>
      <c r="L519" s="105" t="str">
        <f t="shared" si="130"/>
        <v>关</v>
      </c>
      <c r="M519" s="599"/>
      <c r="N519" s="75" t="s">
        <v>24</v>
      </c>
      <c r="O519" s="75" t="str">
        <f>MID(J519,FIND("setting",J519,1)+8,FIND("kg",J519,1)-FIND("setting",J519,1)-8)</f>
        <v xml:space="preserve"> 61.75</v>
      </c>
      <c r="Q519" s="75" t="str">
        <f>SUBSTITUTE(T519&amp;N519," ","")</f>
        <v>3.19.2DMF</v>
      </c>
      <c r="R519" s="74">
        <f>VLOOKUP(Q519,MOR投料表!A:L,9,FALSE)</f>
        <v>61.75</v>
      </c>
      <c r="T519" s="75" t="s">
        <v>350</v>
      </c>
      <c r="U519" s="74" t="b">
        <f>TEXT(O519,"0.00")=TEXT(R519,"0.00")</f>
        <v>1</v>
      </c>
    </row>
    <row r="520" spans="1:21" ht="45" customHeight="1">
      <c r="A520" s="595" t="s">
        <v>351</v>
      </c>
      <c r="B520" s="643" t="s">
        <v>352</v>
      </c>
      <c r="C520" s="105" t="s">
        <v>3</v>
      </c>
      <c r="D520" s="106" t="s">
        <v>35</v>
      </c>
      <c r="E520" s="101" t="s">
        <v>63</v>
      </c>
      <c r="F520" s="105" t="s">
        <v>37</v>
      </c>
      <c r="G520" s="105" t="str">
        <f>IFERROR(IF(FIND("开",G519,1),"开","关"),"关")</f>
        <v>关</v>
      </c>
      <c r="H520" s="105" t="str">
        <f>IFERROR(IF(FIND("开",H519,1),"开","关"),"关")</f>
        <v>关</v>
      </c>
      <c r="I520" s="106"/>
      <c r="J520" s="101"/>
      <c r="K520" s="105" t="str">
        <f t="shared" si="130"/>
        <v>关</v>
      </c>
      <c r="L520" s="105" t="str">
        <f t="shared" si="130"/>
        <v>关</v>
      </c>
      <c r="M520" s="598">
        <v>1</v>
      </c>
      <c r="T520" s="75" t="str">
        <f t="shared" ref="T520:T551" si="131">IF(ISBLANK(A520),T519,LEFT(A520,FIND(" ",A520,1)-1))</f>
        <v>3.19.3</v>
      </c>
    </row>
    <row r="521" spans="1:21" ht="45" customHeight="1">
      <c r="A521" s="596"/>
      <c r="B521" s="599"/>
      <c r="C521" s="105" t="s">
        <v>3</v>
      </c>
      <c r="D521" s="106" t="s">
        <v>64</v>
      </c>
      <c r="E521" s="101" t="s">
        <v>65</v>
      </c>
      <c r="F521" s="105" t="str">
        <f t="shared" ref="F521:F530" si="132">IFERROR(IF(FIND("开",F520,1),"开","关"),"关")</f>
        <v>开</v>
      </c>
      <c r="G521" s="105" t="s">
        <v>37</v>
      </c>
      <c r="H521" s="105" t="str">
        <f t="shared" ref="H521:H547" si="133">IFERROR(IF(FIND("开",H520,1),"开","关"),"关")</f>
        <v>关</v>
      </c>
      <c r="I521" s="106"/>
      <c r="J521" s="101"/>
      <c r="K521" s="105" t="str">
        <f t="shared" si="130"/>
        <v>关</v>
      </c>
      <c r="L521" s="105" t="str">
        <f t="shared" si="130"/>
        <v>关</v>
      </c>
      <c r="M521" s="599"/>
      <c r="T521" s="75" t="str">
        <f t="shared" si="131"/>
        <v>3.19.3</v>
      </c>
    </row>
    <row r="522" spans="1:21" ht="45" customHeight="1">
      <c r="A522" s="596"/>
      <c r="B522" s="599"/>
      <c r="C522" s="105" t="s">
        <v>8</v>
      </c>
      <c r="D522" s="105"/>
      <c r="E522" s="104"/>
      <c r="F522" s="105" t="str">
        <f t="shared" si="132"/>
        <v>开</v>
      </c>
      <c r="G522" s="105" t="str">
        <f t="shared" ref="G522:G529" si="134">IFERROR(IF(FIND("开",G521,1),"开","关"),"关")</f>
        <v>开</v>
      </c>
      <c r="H522" s="105" t="str">
        <f t="shared" si="133"/>
        <v>关</v>
      </c>
      <c r="I522" s="106" t="s">
        <v>61</v>
      </c>
      <c r="J522" s="101" t="s">
        <v>26</v>
      </c>
      <c r="K522" s="105" t="str">
        <f t="shared" si="130"/>
        <v>关</v>
      </c>
      <c r="L522" s="105" t="str">
        <f t="shared" si="130"/>
        <v>关</v>
      </c>
      <c r="M522" s="599"/>
      <c r="T522" s="75" t="str">
        <f t="shared" si="131"/>
        <v>3.19.3</v>
      </c>
    </row>
    <row r="523" spans="1:21" ht="45" customHeight="1">
      <c r="A523" s="596"/>
      <c r="B523" s="599"/>
      <c r="C523" s="105" t="s">
        <v>30</v>
      </c>
      <c r="D523" s="106" t="s">
        <v>31</v>
      </c>
      <c r="E523" s="350" t="s">
        <v>32</v>
      </c>
      <c r="F523" s="105" t="str">
        <f t="shared" si="132"/>
        <v>开</v>
      </c>
      <c r="G523" s="105" t="str">
        <f t="shared" si="134"/>
        <v>开</v>
      </c>
      <c r="H523" s="105" t="str">
        <f t="shared" si="133"/>
        <v>关</v>
      </c>
      <c r="I523" s="106"/>
      <c r="J523" s="101"/>
      <c r="K523" s="105" t="str">
        <f t="shared" si="130"/>
        <v>关</v>
      </c>
      <c r="L523" s="105" t="str">
        <f t="shared" si="130"/>
        <v>关</v>
      </c>
      <c r="M523" s="599"/>
      <c r="T523" s="75" t="str">
        <f t="shared" si="131"/>
        <v>3.19.3</v>
      </c>
    </row>
    <row r="524" spans="1:21" ht="45" customHeight="1">
      <c r="A524" s="596"/>
      <c r="B524" s="599"/>
      <c r="C524" s="105" t="s">
        <v>30</v>
      </c>
      <c r="D524" s="106" t="s">
        <v>33</v>
      </c>
      <c r="E524" s="101" t="s">
        <v>34</v>
      </c>
      <c r="F524" s="105" t="str">
        <f t="shared" si="132"/>
        <v>开</v>
      </c>
      <c r="G524" s="105" t="str">
        <f t="shared" si="134"/>
        <v>开</v>
      </c>
      <c r="H524" s="105" t="str">
        <f t="shared" si="133"/>
        <v>关</v>
      </c>
      <c r="I524" s="106"/>
      <c r="J524" s="101"/>
      <c r="K524" s="105" t="str">
        <f t="shared" si="130"/>
        <v>关</v>
      </c>
      <c r="L524" s="105" t="str">
        <f t="shared" si="130"/>
        <v>关</v>
      </c>
      <c r="M524" s="599"/>
      <c r="T524" s="75" t="str">
        <f t="shared" si="131"/>
        <v>3.19.3</v>
      </c>
    </row>
    <row r="525" spans="1:21" ht="45" customHeight="1">
      <c r="A525" s="596"/>
      <c r="B525" s="599"/>
      <c r="C525" s="105" t="s">
        <v>8</v>
      </c>
      <c r="D525" s="106"/>
      <c r="E525" s="78"/>
      <c r="F525" s="105" t="str">
        <f t="shared" si="132"/>
        <v>开</v>
      </c>
      <c r="G525" s="105" t="str">
        <f t="shared" si="134"/>
        <v>开</v>
      </c>
      <c r="H525" s="105" t="str">
        <f t="shared" si="133"/>
        <v>关</v>
      </c>
      <c r="I525" s="106" t="s">
        <v>123</v>
      </c>
      <c r="J525" s="101" t="s">
        <v>268</v>
      </c>
      <c r="K525" s="105" t="str">
        <f t="shared" ref="K525:K551" si="135">IFERROR(IF(FIND("开",K524,1),"开","关"),"关")</f>
        <v>关</v>
      </c>
      <c r="L525" s="105" t="s">
        <v>42</v>
      </c>
      <c r="M525" s="599"/>
      <c r="T525" s="75" t="str">
        <f t="shared" si="131"/>
        <v>3.19.3</v>
      </c>
    </row>
    <row r="526" spans="1:21" ht="45" customHeight="1">
      <c r="A526" s="596"/>
      <c r="B526" s="599"/>
      <c r="C526" s="105" t="s">
        <v>8</v>
      </c>
      <c r="D526" s="106"/>
      <c r="E526" s="78"/>
      <c r="F526" s="105" t="str">
        <f t="shared" si="132"/>
        <v>开</v>
      </c>
      <c r="G526" s="105" t="str">
        <f t="shared" si="134"/>
        <v>开</v>
      </c>
      <c r="H526" s="105" t="str">
        <f t="shared" si="133"/>
        <v>关</v>
      </c>
      <c r="I526" s="106" t="s">
        <v>125</v>
      </c>
      <c r="J526" s="101" t="s">
        <v>126</v>
      </c>
      <c r="K526" s="105" t="str">
        <f t="shared" si="135"/>
        <v>关</v>
      </c>
      <c r="L526" s="105" t="str">
        <f t="shared" ref="L526:L551" si="136">IFERROR(IF(FIND("开",L525,1),"开","关"),"关")</f>
        <v>关</v>
      </c>
      <c r="M526" s="599"/>
      <c r="T526" s="75" t="str">
        <f t="shared" si="131"/>
        <v>3.19.3</v>
      </c>
    </row>
    <row r="527" spans="1:21" ht="45" customHeight="1">
      <c r="A527" s="596"/>
      <c r="B527" s="599"/>
      <c r="C527" s="105" t="s">
        <v>3</v>
      </c>
      <c r="D527" s="106" t="s">
        <v>66</v>
      </c>
      <c r="E527" s="351" t="s">
        <v>127</v>
      </c>
      <c r="F527" s="105" t="str">
        <f t="shared" si="132"/>
        <v>开</v>
      </c>
      <c r="G527" s="105" t="str">
        <f t="shared" si="134"/>
        <v>开</v>
      </c>
      <c r="H527" s="105" t="str">
        <f t="shared" si="133"/>
        <v>关</v>
      </c>
      <c r="J527" s="101"/>
      <c r="K527" s="105" t="str">
        <f t="shared" si="135"/>
        <v>关</v>
      </c>
      <c r="L527" s="105" t="str">
        <f t="shared" si="136"/>
        <v>关</v>
      </c>
      <c r="M527" s="599"/>
      <c r="T527" s="75" t="str">
        <f t="shared" si="131"/>
        <v>3.19.3</v>
      </c>
    </row>
    <row r="528" spans="1:21" ht="45" customHeight="1">
      <c r="A528" s="596"/>
      <c r="B528" s="599"/>
      <c r="C528" s="105" t="s">
        <v>3</v>
      </c>
      <c r="D528" s="106" t="s">
        <v>128</v>
      </c>
      <c r="E528" s="352" t="s">
        <v>162</v>
      </c>
      <c r="F528" s="105" t="str">
        <f t="shared" si="132"/>
        <v>开</v>
      </c>
      <c r="G528" s="105" t="str">
        <f t="shared" si="134"/>
        <v>开</v>
      </c>
      <c r="H528" s="105" t="str">
        <f t="shared" si="133"/>
        <v>关</v>
      </c>
      <c r="J528" s="101"/>
      <c r="K528" s="105" t="str">
        <f t="shared" si="135"/>
        <v>关</v>
      </c>
      <c r="L528" s="105" t="str">
        <f t="shared" si="136"/>
        <v>关</v>
      </c>
      <c r="M528" s="599"/>
      <c r="N528" s="75"/>
      <c r="O528" s="75"/>
      <c r="T528" s="75" t="str">
        <f t="shared" si="131"/>
        <v>3.19.3</v>
      </c>
      <c r="U528" s="74" t="b">
        <f>TEXT(O528,"0.00")=TEXT(R528,"0.00")</f>
        <v>1</v>
      </c>
    </row>
    <row r="529" spans="1:22" ht="45" customHeight="1">
      <c r="A529" s="596"/>
      <c r="B529" s="599"/>
      <c r="C529" s="105" t="s">
        <v>3</v>
      </c>
      <c r="D529" s="106" t="s">
        <v>233</v>
      </c>
      <c r="E529" s="353" t="s">
        <v>234</v>
      </c>
      <c r="F529" s="105" t="str">
        <f t="shared" si="132"/>
        <v>开</v>
      </c>
      <c r="G529" s="105" t="str">
        <f t="shared" si="134"/>
        <v>开</v>
      </c>
      <c r="H529" s="105" t="str">
        <f t="shared" si="133"/>
        <v>关</v>
      </c>
      <c r="J529" s="101"/>
      <c r="K529" s="105" t="str">
        <f t="shared" si="135"/>
        <v>关</v>
      </c>
      <c r="L529" s="105" t="str">
        <f t="shared" si="136"/>
        <v>关</v>
      </c>
      <c r="M529" s="599"/>
      <c r="T529" s="75" t="str">
        <f t="shared" si="131"/>
        <v>3.19.3</v>
      </c>
    </row>
    <row r="530" spans="1:22" ht="45" customHeight="1">
      <c r="A530" s="596"/>
      <c r="B530" s="599"/>
      <c r="C530" s="105" t="s">
        <v>3</v>
      </c>
      <c r="D530" s="106" t="s">
        <v>70</v>
      </c>
      <c r="E530" s="101" t="s">
        <v>71</v>
      </c>
      <c r="F530" s="105" t="str">
        <f t="shared" si="132"/>
        <v>开</v>
      </c>
      <c r="G530" s="105" t="s">
        <v>42</v>
      </c>
      <c r="H530" s="105" t="str">
        <f t="shared" si="133"/>
        <v>关</v>
      </c>
      <c r="J530" s="101"/>
      <c r="K530" s="105" t="str">
        <f t="shared" si="135"/>
        <v>关</v>
      </c>
      <c r="L530" s="105" t="str">
        <f t="shared" si="136"/>
        <v>关</v>
      </c>
      <c r="M530" s="599"/>
      <c r="T530" s="75" t="str">
        <f t="shared" si="131"/>
        <v>3.19.3</v>
      </c>
    </row>
    <row r="531" spans="1:22" ht="45" customHeight="1">
      <c r="A531" s="596"/>
      <c r="B531" s="599"/>
      <c r="C531" s="105" t="s">
        <v>3</v>
      </c>
      <c r="D531" s="106" t="s">
        <v>40</v>
      </c>
      <c r="E531" s="101" t="s">
        <v>41</v>
      </c>
      <c r="F531" s="105" t="s">
        <v>42</v>
      </c>
      <c r="G531" s="105" t="str">
        <f t="shared" ref="G531:G544" si="137">IFERROR(IF(FIND("开",G530,1),"开","关"),"关")</f>
        <v>关</v>
      </c>
      <c r="H531" s="105" t="str">
        <f t="shared" si="133"/>
        <v>关</v>
      </c>
      <c r="J531" s="101"/>
      <c r="K531" s="105" t="str">
        <f t="shared" si="135"/>
        <v>关</v>
      </c>
      <c r="L531" s="105" t="str">
        <f t="shared" si="136"/>
        <v>关</v>
      </c>
      <c r="M531" s="599"/>
      <c r="T531" s="75" t="str">
        <f t="shared" si="131"/>
        <v>3.19.3</v>
      </c>
    </row>
    <row r="532" spans="1:22" ht="45" customHeight="1">
      <c r="A532" s="597"/>
      <c r="B532" s="599"/>
      <c r="C532" s="105" t="s">
        <v>3</v>
      </c>
      <c r="D532" s="106" t="s">
        <v>45</v>
      </c>
      <c r="E532" s="354" t="s">
        <v>46</v>
      </c>
      <c r="F532" s="105" t="str">
        <f t="shared" ref="F532:F543" si="138">IFERROR(IF(FIND("开",F531,1),"开","关"),"关")</f>
        <v>关</v>
      </c>
      <c r="G532" s="105" t="str">
        <f t="shared" si="137"/>
        <v>关</v>
      </c>
      <c r="H532" s="105" t="str">
        <f t="shared" si="133"/>
        <v>关</v>
      </c>
      <c r="J532" s="101"/>
      <c r="K532" s="105" t="str">
        <f t="shared" si="135"/>
        <v>关</v>
      </c>
      <c r="L532" s="105" t="str">
        <f t="shared" si="136"/>
        <v>关</v>
      </c>
      <c r="M532" s="600"/>
      <c r="N532" s="75"/>
      <c r="O532" s="75"/>
      <c r="P532" s="75"/>
      <c r="S532" s="74">
        <f>ROUND(R532*0.03,2)</f>
        <v>0</v>
      </c>
      <c r="T532" s="75" t="str">
        <f t="shared" si="131"/>
        <v>3.19.3</v>
      </c>
      <c r="U532" s="74" t="b">
        <f>TEXT(O532,"0.00")=TEXT(R532,"0.00")</f>
        <v>1</v>
      </c>
      <c r="V532" s="74">
        <f>S532-P532</f>
        <v>0</v>
      </c>
    </row>
    <row r="533" spans="1:22" ht="45" customHeight="1">
      <c r="A533" s="603" t="s">
        <v>353</v>
      </c>
      <c r="B533" s="644" t="s">
        <v>354</v>
      </c>
      <c r="C533" s="105" t="s">
        <v>8</v>
      </c>
      <c r="D533" s="74"/>
      <c r="E533" s="102"/>
      <c r="F533" s="105" t="str">
        <f t="shared" si="138"/>
        <v>关</v>
      </c>
      <c r="G533" s="105" t="str">
        <f t="shared" si="137"/>
        <v>关</v>
      </c>
      <c r="H533" s="105" t="str">
        <f t="shared" si="133"/>
        <v>关</v>
      </c>
      <c r="I533" s="84" t="s">
        <v>77</v>
      </c>
      <c r="J533" s="101" t="s">
        <v>355</v>
      </c>
      <c r="K533" s="105" t="str">
        <f t="shared" si="135"/>
        <v>关</v>
      </c>
      <c r="L533" s="105" t="str">
        <f t="shared" si="136"/>
        <v>关</v>
      </c>
      <c r="M533" s="601">
        <v>3</v>
      </c>
      <c r="N533" s="75" t="s">
        <v>24</v>
      </c>
      <c r="O533" s="75" t="str">
        <f>MID(J533,FIND("setting",J533,1)+8,FIND("kg",J533,1)-FIND("setting",J533,1)-8)</f>
        <v xml:space="preserve"> 616.20</v>
      </c>
      <c r="Q533" s="75" t="str">
        <f>SUBSTITUTE(T533&amp;N533," ","")</f>
        <v>3.19.6DMF</v>
      </c>
      <c r="R533" s="74">
        <f>VLOOKUP(Q533,MOR投料表!A:L,9,FALSE)</f>
        <v>616.20000000000005</v>
      </c>
      <c r="T533" s="75" t="str">
        <f t="shared" si="131"/>
        <v>3.19.6</v>
      </c>
      <c r="U533" s="74" t="b">
        <f>TEXT(O533,"0.00")=TEXT(R533,"0.00")</f>
        <v>1</v>
      </c>
    </row>
    <row r="534" spans="1:22" ht="45" customHeight="1">
      <c r="A534" s="603"/>
      <c r="B534" s="602"/>
      <c r="C534" s="105" t="s">
        <v>8</v>
      </c>
      <c r="D534" s="74"/>
      <c r="E534" s="102"/>
      <c r="F534" s="105" t="str">
        <f t="shared" si="138"/>
        <v>关</v>
      </c>
      <c r="G534" s="105" t="str">
        <f t="shared" si="137"/>
        <v>关</v>
      </c>
      <c r="H534" s="105" t="str">
        <f t="shared" si="133"/>
        <v>关</v>
      </c>
      <c r="I534" s="84" t="s">
        <v>61</v>
      </c>
      <c r="J534" s="101" t="s">
        <v>26</v>
      </c>
      <c r="K534" s="105" t="str">
        <f t="shared" si="135"/>
        <v>关</v>
      </c>
      <c r="L534" s="105" t="str">
        <f t="shared" si="136"/>
        <v>关</v>
      </c>
      <c r="M534" s="601"/>
      <c r="T534" s="75" t="str">
        <f t="shared" si="131"/>
        <v>3.19.6</v>
      </c>
    </row>
    <row r="535" spans="1:22" ht="45" customHeight="1">
      <c r="A535" s="603"/>
      <c r="B535" s="602"/>
      <c r="C535" s="105" t="s">
        <v>8</v>
      </c>
      <c r="E535" s="102"/>
      <c r="F535" s="105" t="str">
        <f t="shared" si="138"/>
        <v>关</v>
      </c>
      <c r="G535" s="105" t="str">
        <f t="shared" si="137"/>
        <v>关</v>
      </c>
      <c r="H535" s="105" t="str">
        <f t="shared" si="133"/>
        <v>关</v>
      </c>
      <c r="I535" s="84" t="s">
        <v>137</v>
      </c>
      <c r="J535" s="101" t="s">
        <v>138</v>
      </c>
      <c r="K535" s="105" t="str">
        <f t="shared" si="135"/>
        <v>关</v>
      </c>
      <c r="L535" s="105" t="str">
        <f t="shared" si="136"/>
        <v>关</v>
      </c>
      <c r="M535" s="601"/>
      <c r="T535" s="75" t="str">
        <f t="shared" si="131"/>
        <v>3.19.6</v>
      </c>
    </row>
    <row r="536" spans="1:22" ht="45" customHeight="1">
      <c r="A536" s="603"/>
      <c r="B536" s="602"/>
      <c r="C536" s="105" t="s">
        <v>8</v>
      </c>
      <c r="E536" s="102"/>
      <c r="F536" s="105" t="str">
        <f t="shared" si="138"/>
        <v>关</v>
      </c>
      <c r="G536" s="105" t="str">
        <f t="shared" si="137"/>
        <v>关</v>
      </c>
      <c r="H536" s="105" t="str">
        <f t="shared" si="133"/>
        <v>关</v>
      </c>
      <c r="I536" s="84" t="s">
        <v>139</v>
      </c>
      <c r="J536" s="101" t="s">
        <v>140</v>
      </c>
      <c r="K536" s="105" t="str">
        <f t="shared" si="135"/>
        <v>关</v>
      </c>
      <c r="L536" s="105" t="str">
        <f t="shared" si="136"/>
        <v>关</v>
      </c>
      <c r="M536" s="601"/>
      <c r="T536" s="75" t="str">
        <f t="shared" si="131"/>
        <v>3.19.6</v>
      </c>
    </row>
    <row r="537" spans="1:22" ht="45" customHeight="1">
      <c r="A537" s="603"/>
      <c r="B537" s="602"/>
      <c r="C537" s="105" t="s">
        <v>8</v>
      </c>
      <c r="E537" s="102"/>
      <c r="F537" s="105" t="str">
        <f t="shared" si="138"/>
        <v>关</v>
      </c>
      <c r="G537" s="105" t="str">
        <f t="shared" si="137"/>
        <v>关</v>
      </c>
      <c r="H537" s="105" t="str">
        <f t="shared" si="133"/>
        <v>关</v>
      </c>
      <c r="I537" s="84" t="s">
        <v>141</v>
      </c>
      <c r="J537" s="101" t="s">
        <v>142</v>
      </c>
      <c r="K537" s="105" t="str">
        <f t="shared" si="135"/>
        <v>关</v>
      </c>
      <c r="L537" s="105" t="str">
        <f t="shared" si="136"/>
        <v>关</v>
      </c>
      <c r="M537" s="601"/>
      <c r="N537" s="75"/>
      <c r="O537" s="75"/>
      <c r="T537" s="75" t="str">
        <f t="shared" si="131"/>
        <v>3.19.6</v>
      </c>
      <c r="U537" s="74" t="b">
        <f>TEXT(O537,"0.00")=TEXT(R537,"0.00")</f>
        <v>1</v>
      </c>
    </row>
    <row r="538" spans="1:22" ht="45" customHeight="1">
      <c r="A538" s="603"/>
      <c r="B538" s="602"/>
      <c r="C538" s="105" t="s">
        <v>8</v>
      </c>
      <c r="E538" s="102"/>
      <c r="F538" s="105" t="str">
        <f t="shared" si="138"/>
        <v>关</v>
      </c>
      <c r="G538" s="105" t="str">
        <f t="shared" si="137"/>
        <v>关</v>
      </c>
      <c r="H538" s="105" t="str">
        <f t="shared" si="133"/>
        <v>关</v>
      </c>
      <c r="I538" s="84" t="s">
        <v>143</v>
      </c>
      <c r="J538" s="101" t="s">
        <v>144</v>
      </c>
      <c r="K538" s="105" t="str">
        <f t="shared" si="135"/>
        <v>关</v>
      </c>
      <c r="L538" s="105" t="str">
        <f t="shared" si="136"/>
        <v>关</v>
      </c>
      <c r="M538" s="601"/>
      <c r="T538" s="75" t="str">
        <f t="shared" si="131"/>
        <v>3.19.6</v>
      </c>
    </row>
    <row r="539" spans="1:22" ht="45" customHeight="1">
      <c r="A539" s="603"/>
      <c r="B539" s="602"/>
      <c r="C539" s="105" t="s">
        <v>8</v>
      </c>
      <c r="E539" s="102"/>
      <c r="F539" s="105" t="str">
        <f t="shared" si="138"/>
        <v>关</v>
      </c>
      <c r="G539" s="105" t="str">
        <f t="shared" si="137"/>
        <v>关</v>
      </c>
      <c r="H539" s="105" t="str">
        <f t="shared" si="133"/>
        <v>关</v>
      </c>
      <c r="I539" s="84" t="s">
        <v>145</v>
      </c>
      <c r="J539" s="101" t="s">
        <v>146</v>
      </c>
      <c r="K539" s="105" t="str">
        <f t="shared" si="135"/>
        <v>关</v>
      </c>
      <c r="L539" s="105" t="str">
        <f t="shared" si="136"/>
        <v>关</v>
      </c>
      <c r="M539" s="601"/>
      <c r="T539" s="75" t="str">
        <f t="shared" si="131"/>
        <v>3.19.6</v>
      </c>
    </row>
    <row r="540" spans="1:22" ht="45" customHeight="1">
      <c r="A540" s="603"/>
      <c r="B540" s="602"/>
      <c r="C540" s="105" t="s">
        <v>8</v>
      </c>
      <c r="E540" s="102"/>
      <c r="F540" s="105" t="str">
        <f t="shared" si="138"/>
        <v>关</v>
      </c>
      <c r="G540" s="105" t="str">
        <f t="shared" si="137"/>
        <v>关</v>
      </c>
      <c r="H540" s="105" t="str">
        <f t="shared" si="133"/>
        <v>关</v>
      </c>
      <c r="I540" s="84" t="s">
        <v>147</v>
      </c>
      <c r="J540" s="101" t="s">
        <v>148</v>
      </c>
      <c r="K540" s="105" t="str">
        <f t="shared" si="135"/>
        <v>关</v>
      </c>
      <c r="L540" s="105" t="str">
        <f t="shared" si="136"/>
        <v>关</v>
      </c>
      <c r="M540" s="601"/>
      <c r="T540" s="75" t="str">
        <f t="shared" si="131"/>
        <v>3.19.6</v>
      </c>
    </row>
    <row r="541" spans="1:22" ht="45" customHeight="1">
      <c r="A541" s="603"/>
      <c r="B541" s="602"/>
      <c r="C541" s="105" t="s">
        <v>30</v>
      </c>
      <c r="D541" s="106" t="s">
        <v>31</v>
      </c>
      <c r="E541" s="355" t="s">
        <v>32</v>
      </c>
      <c r="F541" s="105" t="str">
        <f t="shared" si="138"/>
        <v>关</v>
      </c>
      <c r="G541" s="105" t="str">
        <f t="shared" si="137"/>
        <v>关</v>
      </c>
      <c r="H541" s="105" t="str">
        <f t="shared" si="133"/>
        <v>关</v>
      </c>
      <c r="I541" s="106"/>
      <c r="J541" s="101"/>
      <c r="K541" s="105" t="str">
        <f t="shared" si="135"/>
        <v>关</v>
      </c>
      <c r="L541" s="105" t="str">
        <f t="shared" si="136"/>
        <v>关</v>
      </c>
      <c r="M541" s="601"/>
      <c r="T541" s="75" t="str">
        <f t="shared" si="131"/>
        <v>3.19.6</v>
      </c>
    </row>
    <row r="542" spans="1:22" ht="45" customHeight="1">
      <c r="A542" s="603"/>
      <c r="B542" s="602"/>
      <c r="C542" s="105" t="s">
        <v>30</v>
      </c>
      <c r="D542" s="106" t="s">
        <v>33</v>
      </c>
      <c r="E542" s="101" t="s">
        <v>34</v>
      </c>
      <c r="F542" s="105" t="str">
        <f t="shared" si="138"/>
        <v>关</v>
      </c>
      <c r="G542" s="105" t="str">
        <f t="shared" si="137"/>
        <v>关</v>
      </c>
      <c r="H542" s="105" t="str">
        <f t="shared" si="133"/>
        <v>关</v>
      </c>
      <c r="J542" s="101"/>
      <c r="K542" s="105" t="str">
        <f t="shared" si="135"/>
        <v>关</v>
      </c>
      <c r="L542" s="105" t="str">
        <f t="shared" si="136"/>
        <v>关</v>
      </c>
      <c r="M542" s="601"/>
      <c r="T542" s="75" t="str">
        <f t="shared" si="131"/>
        <v>3.19.6</v>
      </c>
    </row>
    <row r="543" spans="1:22" ht="45" customHeight="1">
      <c r="A543" s="603"/>
      <c r="B543" s="602"/>
      <c r="C543" s="105" t="s">
        <v>8</v>
      </c>
      <c r="D543" s="106"/>
      <c r="E543" s="78"/>
      <c r="F543" s="105" t="str">
        <f t="shared" si="138"/>
        <v>关</v>
      </c>
      <c r="G543" s="105" t="str">
        <f t="shared" si="137"/>
        <v>关</v>
      </c>
      <c r="H543" s="105" t="str">
        <f t="shared" si="133"/>
        <v>关</v>
      </c>
      <c r="I543" s="106" t="s">
        <v>54</v>
      </c>
      <c r="J543" s="356" t="s">
        <v>149</v>
      </c>
      <c r="K543" s="105" t="str">
        <f t="shared" si="135"/>
        <v>关</v>
      </c>
      <c r="L543" s="105" t="str">
        <f t="shared" si="136"/>
        <v>关</v>
      </c>
      <c r="M543" s="601"/>
      <c r="N543" s="75"/>
      <c r="O543" s="75"/>
      <c r="T543" s="75" t="str">
        <f t="shared" si="131"/>
        <v>3.19.6</v>
      </c>
      <c r="U543" s="74" t="b">
        <f>TEXT(O543,"0.00")=TEXT(R543,"0.00")</f>
        <v>1</v>
      </c>
    </row>
    <row r="544" spans="1:22" ht="45" customHeight="1">
      <c r="A544" s="603"/>
      <c r="B544" s="602"/>
      <c r="C544" s="105" t="s">
        <v>3</v>
      </c>
      <c r="D544" s="106" t="s">
        <v>35</v>
      </c>
      <c r="E544" s="101" t="s">
        <v>63</v>
      </c>
      <c r="F544" s="105" t="s">
        <v>37</v>
      </c>
      <c r="G544" s="105" t="str">
        <f t="shared" si="137"/>
        <v>关</v>
      </c>
      <c r="H544" s="105" t="str">
        <f t="shared" si="133"/>
        <v>关</v>
      </c>
      <c r="J544" s="101"/>
      <c r="K544" s="105" t="str">
        <f t="shared" si="135"/>
        <v>关</v>
      </c>
      <c r="L544" s="105" t="str">
        <f t="shared" si="136"/>
        <v>关</v>
      </c>
      <c r="M544" s="601"/>
      <c r="T544" s="75" t="str">
        <f t="shared" si="131"/>
        <v>3.19.6</v>
      </c>
    </row>
    <row r="545" spans="1:21" ht="45" customHeight="1">
      <c r="A545" s="603"/>
      <c r="B545" s="602"/>
      <c r="C545" s="105" t="s">
        <v>3</v>
      </c>
      <c r="D545" s="106" t="s">
        <v>38</v>
      </c>
      <c r="E545" s="101" t="s">
        <v>101</v>
      </c>
      <c r="F545" s="105" t="str">
        <f>IFERROR(IF(FIND("开",F544,1),"开","关"),"关")</f>
        <v>开</v>
      </c>
      <c r="G545" s="105" t="s">
        <v>29</v>
      </c>
      <c r="H545" s="105" t="str">
        <f t="shared" si="133"/>
        <v>关</v>
      </c>
      <c r="I545" s="106"/>
      <c r="J545" s="101"/>
      <c r="K545" s="105" t="str">
        <f t="shared" si="135"/>
        <v>关</v>
      </c>
      <c r="L545" s="105" t="str">
        <f t="shared" si="136"/>
        <v>关</v>
      </c>
      <c r="M545" s="601"/>
      <c r="T545" s="75" t="str">
        <f t="shared" si="131"/>
        <v>3.19.6</v>
      </c>
    </row>
    <row r="546" spans="1:21" ht="45" customHeight="1">
      <c r="A546" s="603"/>
      <c r="B546" s="602"/>
      <c r="C546" s="105" t="s">
        <v>3</v>
      </c>
      <c r="D546" s="106" t="s">
        <v>40</v>
      </c>
      <c r="E546" s="101" t="s">
        <v>41</v>
      </c>
      <c r="F546" s="105" t="s">
        <v>42</v>
      </c>
      <c r="G546" s="105" t="str">
        <f t="shared" ref="G546:G551" si="139">IFERROR(IF(FIND("开",G545,1),"开","关"),"关")</f>
        <v>关</v>
      </c>
      <c r="H546" s="105" t="str">
        <f t="shared" si="133"/>
        <v>关</v>
      </c>
      <c r="I546" s="106"/>
      <c r="J546" s="101"/>
      <c r="K546" s="105" t="str">
        <f t="shared" si="135"/>
        <v>关</v>
      </c>
      <c r="L546" s="105" t="str">
        <f t="shared" si="136"/>
        <v>关</v>
      </c>
      <c r="M546" s="601"/>
      <c r="T546" s="75" t="str">
        <f t="shared" si="131"/>
        <v>3.19.6</v>
      </c>
    </row>
    <row r="547" spans="1:21" ht="45" customHeight="1">
      <c r="A547" s="603"/>
      <c r="B547" s="602"/>
      <c r="C547" s="105" t="s">
        <v>3</v>
      </c>
      <c r="D547" s="106" t="s">
        <v>45</v>
      </c>
      <c r="E547" s="357" t="s">
        <v>46</v>
      </c>
      <c r="F547" s="105" t="str">
        <f>IFERROR(IF(FIND("开",F546,1),"开","关"),"关")</f>
        <v>关</v>
      </c>
      <c r="G547" s="105" t="str">
        <f t="shared" si="139"/>
        <v>关</v>
      </c>
      <c r="H547" s="105" t="str">
        <f t="shared" si="133"/>
        <v>关</v>
      </c>
      <c r="I547" s="74"/>
      <c r="J547" s="77"/>
      <c r="K547" s="105" t="str">
        <f t="shared" si="135"/>
        <v>关</v>
      </c>
      <c r="L547" s="105" t="str">
        <f t="shared" si="136"/>
        <v>关</v>
      </c>
      <c r="M547" s="601"/>
      <c r="T547" s="75" t="str">
        <f t="shared" si="131"/>
        <v>3.19.6</v>
      </c>
    </row>
    <row r="548" spans="1:21" ht="45" customHeight="1">
      <c r="A548" s="603" t="s">
        <v>168</v>
      </c>
      <c r="B548" s="602" t="s">
        <v>272</v>
      </c>
      <c r="C548" s="105" t="s">
        <v>3</v>
      </c>
      <c r="D548" s="106" t="s">
        <v>130</v>
      </c>
      <c r="E548" s="358" t="s">
        <v>131</v>
      </c>
      <c r="F548" s="105" t="str">
        <f>IFERROR(IF(FIND("开",F547,1),"开","关"),"关")</f>
        <v>关</v>
      </c>
      <c r="G548" s="105" t="str">
        <f t="shared" si="139"/>
        <v>关</v>
      </c>
      <c r="H548" s="105" t="s">
        <v>42</v>
      </c>
      <c r="I548" s="106"/>
      <c r="J548" s="101"/>
      <c r="K548" s="105" t="str">
        <f t="shared" si="135"/>
        <v>关</v>
      </c>
      <c r="L548" s="105" t="str">
        <f t="shared" si="136"/>
        <v>关</v>
      </c>
      <c r="M548" s="601">
        <v>1</v>
      </c>
      <c r="T548" s="75" t="e">
        <f t="shared" si="131"/>
        <v>#VALUE!</v>
      </c>
    </row>
    <row r="549" spans="1:21" ht="45" customHeight="1">
      <c r="A549" s="603"/>
      <c r="B549" s="602"/>
      <c r="C549" s="105" t="s">
        <v>3</v>
      </c>
      <c r="D549" s="106" t="s">
        <v>171</v>
      </c>
      <c r="E549" s="101" t="s">
        <v>44</v>
      </c>
      <c r="F549" s="105" t="str">
        <f>IFERROR(IF(FIND("开",F548,1),"开","关"),"关")</f>
        <v>关</v>
      </c>
      <c r="G549" s="105" t="str">
        <f t="shared" si="139"/>
        <v>关</v>
      </c>
      <c r="H549" s="105" t="str">
        <f>IFERROR(IF(FIND("开",H548,1),"开","关"),"关")</f>
        <v>关</v>
      </c>
      <c r="J549" s="77"/>
      <c r="K549" s="105" t="str">
        <f t="shared" si="135"/>
        <v>关</v>
      </c>
      <c r="L549" s="105" t="str">
        <f t="shared" si="136"/>
        <v>关</v>
      </c>
      <c r="M549" s="601"/>
      <c r="T549" s="75" t="e">
        <f t="shared" si="131"/>
        <v>#VALUE!</v>
      </c>
    </row>
    <row r="550" spans="1:21" ht="45" customHeight="1">
      <c r="A550" s="603"/>
      <c r="B550" s="602"/>
      <c r="C550" s="105" t="s">
        <v>8</v>
      </c>
      <c r="E550" s="77"/>
      <c r="F550" s="105" t="str">
        <f>IFERROR(IF(FIND("开",F549,1),"开","关"),"关")</f>
        <v>关</v>
      </c>
      <c r="G550" s="105" t="str">
        <f t="shared" si="139"/>
        <v>关</v>
      </c>
      <c r="H550" s="105" t="str">
        <f>IFERROR(IF(FIND("开",H549,1),"开","关"),"关")</f>
        <v>关</v>
      </c>
      <c r="I550" s="106" t="s">
        <v>172</v>
      </c>
      <c r="J550" s="101" t="s">
        <v>126</v>
      </c>
      <c r="K550" s="105" t="str">
        <f t="shared" si="135"/>
        <v>关</v>
      </c>
      <c r="L550" s="105" t="str">
        <f t="shared" si="136"/>
        <v>关</v>
      </c>
      <c r="M550" s="601"/>
      <c r="T550" s="75" t="e">
        <f t="shared" si="131"/>
        <v>#VALUE!</v>
      </c>
    </row>
    <row r="551" spans="1:21" ht="45" customHeight="1">
      <c r="A551" s="89" t="s">
        <v>357</v>
      </c>
      <c r="E551" s="102"/>
      <c r="F551" s="105" t="str">
        <f>IFERROR(IF(FIND("开",F550,1),"开","关"),"关")</f>
        <v>关</v>
      </c>
      <c r="G551" s="105" t="str">
        <f t="shared" si="139"/>
        <v>关</v>
      </c>
      <c r="H551" s="105" t="str">
        <f>IFERROR(IF(FIND("开",H550,1),"开","关"),"关")</f>
        <v>关</v>
      </c>
      <c r="I551" s="106"/>
      <c r="J551" s="101"/>
      <c r="K551" s="105" t="str">
        <f t="shared" si="135"/>
        <v>关</v>
      </c>
      <c r="L551" s="105" t="str">
        <f t="shared" si="136"/>
        <v>关</v>
      </c>
      <c r="T551" s="75" t="str">
        <f t="shared" si="131"/>
        <v>3.20</v>
      </c>
    </row>
    <row r="552" spans="1:21" ht="45" customHeight="1">
      <c r="A552" s="595" t="s">
        <v>358</v>
      </c>
      <c r="B552" s="699" t="s">
        <v>359</v>
      </c>
      <c r="C552" s="105" t="s">
        <v>3</v>
      </c>
      <c r="D552" s="106" t="s">
        <v>52</v>
      </c>
      <c r="E552" s="359" t="s">
        <v>176</v>
      </c>
      <c r="F552" s="105" t="str">
        <f>IFERROR(IF(FIND("开",#REF!,1),"开","关"),"关")</f>
        <v>关</v>
      </c>
      <c r="G552" s="105" t="str">
        <f>IFERROR(IF(FIND("开",#REF!,1),"开","关"),"关")</f>
        <v>关</v>
      </c>
      <c r="H552" s="105" t="s">
        <v>37</v>
      </c>
      <c r="J552" s="101"/>
      <c r="K552" s="105" t="str">
        <f>IFERROR(IF(FIND("开",#REF!,1),"开","关"),"关")</f>
        <v>关</v>
      </c>
      <c r="L552" s="105" t="str">
        <f>IFERROR(IF(FIND("开",#REF!,1),"开","关"),"关")</f>
        <v>关</v>
      </c>
      <c r="M552" s="598">
        <v>1</v>
      </c>
      <c r="N552" s="75"/>
      <c r="O552" s="75"/>
      <c r="Q552" s="75"/>
      <c r="T552" s="75" t="str">
        <f>IF(ISBLANK(A552),#REF!,LEFT(A552,FIND(" ",A552,1)-1))</f>
        <v>3.20.1</v>
      </c>
    </row>
    <row r="553" spans="1:21" ht="45" customHeight="1">
      <c r="A553" s="596"/>
      <c r="B553" s="599"/>
      <c r="C553" s="105" t="s">
        <v>178</v>
      </c>
      <c r="D553" s="106"/>
      <c r="E553" s="101"/>
      <c r="I553" s="84" t="s">
        <v>179</v>
      </c>
      <c r="J553" s="360" t="s">
        <v>149</v>
      </c>
      <c r="M553" s="599"/>
      <c r="N553" s="75"/>
      <c r="O553" s="75"/>
      <c r="Q553" s="75"/>
      <c r="T553" s="75"/>
    </row>
    <row r="554" spans="1:21" ht="45" customHeight="1">
      <c r="A554" s="596"/>
      <c r="B554" s="599"/>
      <c r="C554" s="105" t="s">
        <v>3</v>
      </c>
      <c r="D554" s="106" t="s">
        <v>180</v>
      </c>
      <c r="E554" s="361" t="s">
        <v>181</v>
      </c>
      <c r="F554" s="105" t="str">
        <f>IFERROR(IF(FIND("开",F552,1),"开","关"),"关")</f>
        <v>关</v>
      </c>
      <c r="G554" s="105" t="str">
        <f>IFERROR(IF(FIND("开",G552,1),"开","关"),"关")</f>
        <v>关</v>
      </c>
      <c r="H554" s="105" t="str">
        <f>IFERROR(IF(FIND("开",H552,1),"开","关"),"关")</f>
        <v>开</v>
      </c>
      <c r="J554" s="101"/>
      <c r="K554" s="105" t="str">
        <f>IFERROR(IF(FIND("开",K552,1),"开","关"),"关")</f>
        <v>关</v>
      </c>
      <c r="L554" s="105" t="str">
        <f>IFERROR(IF(FIND("开",L552,1),"开","关"),"关")</f>
        <v>关</v>
      </c>
      <c r="M554" s="599"/>
      <c r="N554" s="75" t="s">
        <v>182</v>
      </c>
      <c r="O554" s="75" t="str">
        <f>MID(E554,FIND("setting",E554,1)+8,FIND("kg",E554,1)-FIND("setting",E554,1)-8)</f>
        <v xml:space="preserve"> 483.60</v>
      </c>
      <c r="Q554" s="75" t="str">
        <f>SUBSTITUTE(T554&amp;N554," ","")</f>
        <v>3.20.120%piperidinesolution</v>
      </c>
      <c r="R554" s="74">
        <f>VLOOKUP(Q554,MOR投料表!A:L,9,FALSE)</f>
        <v>483.6</v>
      </c>
      <c r="T554" s="75" t="str">
        <f>IF(ISBLANK(A554),T552,LEFT(A554,FIND(" ",A554,1)-1))</f>
        <v>3.20.1</v>
      </c>
      <c r="U554" s="74" t="b">
        <f>TEXT(O554,"0.00")=TEXT(R554,"0.00")</f>
        <v>1</v>
      </c>
    </row>
    <row r="555" spans="1:21" ht="45" customHeight="1">
      <c r="A555" s="596"/>
      <c r="B555" s="599"/>
      <c r="C555" s="105" t="s">
        <v>3</v>
      </c>
      <c r="D555" s="106" t="s">
        <v>183</v>
      </c>
      <c r="E555" s="101" t="s">
        <v>184</v>
      </c>
      <c r="F555" s="105" t="str">
        <f>IFERROR(IF(FIND("开",F554,1),"开","关"),"关")</f>
        <v>关</v>
      </c>
      <c r="G555" s="105" t="str">
        <f>IFERROR(IF(FIND("开",G554,1),"开","关"),"关")</f>
        <v>关</v>
      </c>
      <c r="H555" s="105" t="str">
        <f>IFERROR(IF(FIND("开",H554,1),"开","关"),"关")</f>
        <v>开</v>
      </c>
      <c r="J555" s="101"/>
      <c r="K555" s="105" t="str">
        <f t="shared" ref="K555:K580" si="140">IFERROR(IF(FIND("开",K554,1),"开","关"),"关")</f>
        <v>关</v>
      </c>
      <c r="L555" s="105" t="str">
        <f t="shared" ref="L555:L580" si="141">IFERROR(IF(FIND("开",L554,1),"开","关"),"关")</f>
        <v>关</v>
      </c>
      <c r="M555" s="599"/>
      <c r="T555" s="75" t="str">
        <f t="shared" ref="T555:T584" si="142">IF(ISBLANK(A555),T554,LEFT(A555,FIND(" ",A555,1)-1))</f>
        <v>3.20.1</v>
      </c>
    </row>
    <row r="556" spans="1:21" ht="45" customHeight="1">
      <c r="A556" s="596"/>
      <c r="B556" s="599"/>
      <c r="C556" s="105" t="s">
        <v>3</v>
      </c>
      <c r="D556" s="106" t="s">
        <v>35</v>
      </c>
      <c r="E556" s="101" t="s">
        <v>63</v>
      </c>
      <c r="F556" s="105" t="s">
        <v>37</v>
      </c>
      <c r="G556" s="105" t="str">
        <f>IFERROR(IF(FIND("开",G555,1),"开","关"),"关")</f>
        <v>关</v>
      </c>
      <c r="H556" s="105" t="str">
        <f>IFERROR(IF(FIND("开",H555,1),"开","关"),"关")</f>
        <v>开</v>
      </c>
      <c r="J556" s="101"/>
      <c r="K556" s="105" t="str">
        <f t="shared" si="140"/>
        <v>关</v>
      </c>
      <c r="L556" s="105" t="str">
        <f t="shared" si="141"/>
        <v>关</v>
      </c>
      <c r="M556" s="599"/>
      <c r="T556" s="75" t="str">
        <f t="shared" si="142"/>
        <v>3.20.1</v>
      </c>
    </row>
    <row r="557" spans="1:21" ht="45" customHeight="1">
      <c r="A557" s="596"/>
      <c r="B557" s="599"/>
      <c r="C557" s="105" t="s">
        <v>3</v>
      </c>
      <c r="D557" s="106" t="s">
        <v>64</v>
      </c>
      <c r="E557" s="101" t="s">
        <v>65</v>
      </c>
      <c r="F557" s="105" t="str">
        <f>IFERROR(IF(FIND("开",F556,1),"开","关"),"关")</f>
        <v>开</v>
      </c>
      <c r="G557" s="105" t="s">
        <v>37</v>
      </c>
      <c r="H557" s="105" t="str">
        <f t="shared" ref="H557:H581" si="143">IFERROR(IF(FIND("开",H556,1),"开","关"),"关")</f>
        <v>开</v>
      </c>
      <c r="J557" s="101"/>
      <c r="K557" s="105" t="str">
        <f t="shared" si="140"/>
        <v>关</v>
      </c>
      <c r="L557" s="105" t="str">
        <f t="shared" si="141"/>
        <v>关</v>
      </c>
      <c r="M557" s="599"/>
      <c r="N557" s="75"/>
      <c r="O557" s="75"/>
      <c r="T557" s="75" t="str">
        <f t="shared" si="142"/>
        <v>3.20.1</v>
      </c>
      <c r="U557" s="74" t="b">
        <f>TEXT(O557,"0.00")=TEXT(R557,"0.00")</f>
        <v>1</v>
      </c>
    </row>
    <row r="558" spans="1:21" ht="45" customHeight="1">
      <c r="A558" s="596"/>
      <c r="B558" s="599"/>
      <c r="C558" s="105" t="s">
        <v>3</v>
      </c>
      <c r="D558" s="106" t="s">
        <v>66</v>
      </c>
      <c r="E558" s="362" t="s">
        <v>67</v>
      </c>
      <c r="F558" s="105" t="str">
        <f>IFERROR(IF(FIND("开",F557,1),"开","关"),"关")</f>
        <v>开</v>
      </c>
      <c r="G558" s="105" t="str">
        <f>IFERROR(IF(FIND("开",G557,1),"开","关"),"关")</f>
        <v>开</v>
      </c>
      <c r="H558" s="105" t="str">
        <f t="shared" si="143"/>
        <v>开</v>
      </c>
      <c r="J558" s="101"/>
      <c r="K558" s="105" t="str">
        <f t="shared" si="140"/>
        <v>关</v>
      </c>
      <c r="L558" s="105" t="str">
        <f t="shared" si="141"/>
        <v>关</v>
      </c>
      <c r="M558" s="599"/>
      <c r="T558" s="75" t="str">
        <f t="shared" si="142"/>
        <v>3.20.1</v>
      </c>
    </row>
    <row r="559" spans="1:21" ht="45" customHeight="1">
      <c r="A559" s="596"/>
      <c r="B559" s="599"/>
      <c r="C559" s="105" t="s">
        <v>3</v>
      </c>
      <c r="D559" s="106" t="s">
        <v>68</v>
      </c>
      <c r="E559" s="363" t="s">
        <v>185</v>
      </c>
      <c r="F559" s="105" t="str">
        <f>IFERROR(IF(FIND("开",F558,1),"开","关"),"关")</f>
        <v>开</v>
      </c>
      <c r="G559" s="105" t="str">
        <f>IFERROR(IF(FIND("开",G558,1),"开","关"),"关")</f>
        <v>开</v>
      </c>
      <c r="H559" s="105" t="str">
        <f t="shared" si="143"/>
        <v>开</v>
      </c>
      <c r="J559" s="101"/>
      <c r="K559" s="105" t="str">
        <f t="shared" si="140"/>
        <v>关</v>
      </c>
      <c r="L559" s="105" t="str">
        <f t="shared" si="141"/>
        <v>关</v>
      </c>
      <c r="M559" s="599"/>
      <c r="T559" s="75" t="str">
        <f t="shared" si="142"/>
        <v>3.20.1</v>
      </c>
    </row>
    <row r="560" spans="1:21" ht="45" customHeight="1">
      <c r="A560" s="596"/>
      <c r="B560" s="599"/>
      <c r="C560" s="105" t="s">
        <v>3</v>
      </c>
      <c r="D560" s="106" t="s">
        <v>70</v>
      </c>
      <c r="E560" s="101" t="s">
        <v>71</v>
      </c>
      <c r="F560" s="105" t="str">
        <f>IFERROR(IF(FIND("开",F559,1),"开","关"),"关")</f>
        <v>开</v>
      </c>
      <c r="G560" s="105" t="s">
        <v>42</v>
      </c>
      <c r="H560" s="105" t="str">
        <f t="shared" si="143"/>
        <v>开</v>
      </c>
      <c r="J560" s="101"/>
      <c r="K560" s="105" t="str">
        <f t="shared" si="140"/>
        <v>关</v>
      </c>
      <c r="L560" s="105" t="str">
        <f t="shared" si="141"/>
        <v>关</v>
      </c>
      <c r="M560" s="599"/>
      <c r="T560" s="75" t="str">
        <f t="shared" si="142"/>
        <v>3.20.1</v>
      </c>
    </row>
    <row r="561" spans="1:21" ht="45" customHeight="1">
      <c r="A561" s="596"/>
      <c r="B561" s="599"/>
      <c r="C561" s="105" t="s">
        <v>3</v>
      </c>
      <c r="D561" s="106" t="s">
        <v>40</v>
      </c>
      <c r="E561" s="101" t="s">
        <v>41</v>
      </c>
      <c r="F561" s="105" t="s">
        <v>42</v>
      </c>
      <c r="G561" s="105" t="str">
        <f>IFERROR(IF(FIND("开",G560,1),"开","关"),"关")</f>
        <v>关</v>
      </c>
      <c r="H561" s="105" t="str">
        <f t="shared" si="143"/>
        <v>开</v>
      </c>
      <c r="J561" s="101"/>
      <c r="K561" s="105" t="str">
        <f t="shared" si="140"/>
        <v>关</v>
      </c>
      <c r="L561" s="105" t="str">
        <f t="shared" si="141"/>
        <v>关</v>
      </c>
      <c r="M561" s="599"/>
      <c r="T561" s="75" t="str">
        <f t="shared" si="142"/>
        <v>3.20.1</v>
      </c>
    </row>
    <row r="562" spans="1:21" ht="45" customHeight="1">
      <c r="A562" s="597"/>
      <c r="B562" s="600"/>
      <c r="C562" s="105" t="s">
        <v>3</v>
      </c>
      <c r="D562" s="106" t="s">
        <v>45</v>
      </c>
      <c r="E562" s="364" t="s">
        <v>46</v>
      </c>
      <c r="F562" s="105" t="str">
        <f>IFERROR(IF(FIND("开",F561,1),"开","关"),"关")</f>
        <v>关</v>
      </c>
      <c r="G562" s="105" t="str">
        <f>IFERROR(IF(FIND("开",G561,1),"开","关"),"关")</f>
        <v>关</v>
      </c>
      <c r="H562" s="105" t="str">
        <f t="shared" si="143"/>
        <v>开</v>
      </c>
      <c r="J562" s="101"/>
      <c r="K562" s="105" t="str">
        <f t="shared" si="140"/>
        <v>关</v>
      </c>
      <c r="L562" s="105" t="str">
        <f t="shared" si="141"/>
        <v>关</v>
      </c>
      <c r="M562" s="600"/>
      <c r="T562" s="75" t="str">
        <f t="shared" si="142"/>
        <v>3.20.1</v>
      </c>
    </row>
    <row r="563" spans="1:21" ht="45" customHeight="1">
      <c r="A563" s="603" t="s">
        <v>361</v>
      </c>
      <c r="B563" s="645" t="s">
        <v>362</v>
      </c>
      <c r="C563" s="105" t="s">
        <v>3</v>
      </c>
      <c r="D563" s="106" t="s">
        <v>188</v>
      </c>
      <c r="E563" s="101" t="s">
        <v>363</v>
      </c>
      <c r="F563" s="105" t="str">
        <f>IFERROR(IF(FIND("开",F562,1),"开","关"),"关")</f>
        <v>关</v>
      </c>
      <c r="G563" s="105" t="str">
        <f>IFERROR(IF(FIND("开",G562,1),"开","关"),"关")</f>
        <v>关</v>
      </c>
      <c r="H563" s="105" t="str">
        <f t="shared" si="143"/>
        <v>开</v>
      </c>
      <c r="J563" s="101"/>
      <c r="K563" s="105" t="str">
        <f t="shared" si="140"/>
        <v>关</v>
      </c>
      <c r="L563" s="105" t="str">
        <f t="shared" si="141"/>
        <v>关</v>
      </c>
      <c r="M563" s="601">
        <v>4</v>
      </c>
      <c r="N563" s="75" t="str">
        <f>MID(E563,FIND("线路-》",E563,1)+4,FIND("-&gt;",E563,1)-13)</f>
        <v>IPAC</v>
      </c>
      <c r="O563" s="75" t="str">
        <f>MID(E563,FIND("setting",E563,1)+8,FIND("kg",E563,1)-FIND("setting",E563,1)-8)</f>
        <v xml:space="preserve"> 567.45</v>
      </c>
      <c r="Q563" s="75" t="str">
        <f>SUBSTITUTE(T563&amp;N563," ","")</f>
        <v>3.20.4IPAC</v>
      </c>
      <c r="R563" s="74">
        <f>VLOOKUP(Q563,MOR投料表!A:L,9,FALSE)</f>
        <v>567.45000000000005</v>
      </c>
      <c r="T563" s="75" t="str">
        <f t="shared" si="142"/>
        <v>3.20.4</v>
      </c>
      <c r="U563" s="74" t="b">
        <f>TEXT(O563,"0.00")=TEXT(R563,"0.00")</f>
        <v>1</v>
      </c>
    </row>
    <row r="564" spans="1:21" ht="45" customHeight="1">
      <c r="A564" s="603"/>
      <c r="B564" s="602"/>
      <c r="C564" s="105" t="s">
        <v>3</v>
      </c>
      <c r="D564" s="106" t="s">
        <v>191</v>
      </c>
      <c r="E564" s="101" t="s">
        <v>192</v>
      </c>
      <c r="F564" s="105" t="str">
        <f>IFERROR(IF(FIND("开",F563,1),"开","关"),"关")</f>
        <v>关</v>
      </c>
      <c r="G564" s="105" t="str">
        <f>IFERROR(IF(FIND("开",G563,1),"开","关"),"关")</f>
        <v>关</v>
      </c>
      <c r="H564" s="105" t="str">
        <f t="shared" si="143"/>
        <v>开</v>
      </c>
      <c r="J564" s="101"/>
      <c r="K564" s="105" t="str">
        <f t="shared" si="140"/>
        <v>关</v>
      </c>
      <c r="L564" s="105" t="str">
        <f t="shared" si="141"/>
        <v>关</v>
      </c>
      <c r="M564" s="601"/>
      <c r="T564" s="75" t="str">
        <f t="shared" si="142"/>
        <v>3.20.4</v>
      </c>
    </row>
    <row r="565" spans="1:21" ht="45" customHeight="1">
      <c r="A565" s="603"/>
      <c r="B565" s="602"/>
      <c r="C565" s="105" t="s">
        <v>3</v>
      </c>
      <c r="D565" s="106" t="s">
        <v>35</v>
      </c>
      <c r="E565" s="101" t="s">
        <v>63</v>
      </c>
      <c r="F565" s="105" t="s">
        <v>37</v>
      </c>
      <c r="G565" s="105" t="str">
        <f>IFERROR(IF(FIND("开",G564,1),"开","关"),"关")</f>
        <v>关</v>
      </c>
      <c r="H565" s="105" t="str">
        <f t="shared" si="143"/>
        <v>开</v>
      </c>
      <c r="J565" s="101"/>
      <c r="K565" s="105" t="str">
        <f t="shared" si="140"/>
        <v>关</v>
      </c>
      <c r="L565" s="105" t="str">
        <f t="shared" si="141"/>
        <v>关</v>
      </c>
      <c r="M565" s="601"/>
      <c r="T565" s="75" t="str">
        <f t="shared" si="142"/>
        <v>3.20.4</v>
      </c>
    </row>
    <row r="566" spans="1:21" ht="45" customHeight="1">
      <c r="A566" s="603"/>
      <c r="B566" s="602"/>
      <c r="C566" s="105" t="s">
        <v>3</v>
      </c>
      <c r="D566" s="106" t="s">
        <v>38</v>
      </c>
      <c r="E566" s="101" t="s">
        <v>101</v>
      </c>
      <c r="F566" s="105" t="str">
        <f>IFERROR(IF(FIND("开",F565,1),"开","关"),"关")</f>
        <v>开</v>
      </c>
      <c r="G566" s="105" t="s">
        <v>29</v>
      </c>
      <c r="H566" s="105" t="str">
        <f t="shared" si="143"/>
        <v>开</v>
      </c>
      <c r="J566" s="101"/>
      <c r="K566" s="105" t="str">
        <f t="shared" si="140"/>
        <v>关</v>
      </c>
      <c r="L566" s="105" t="str">
        <f t="shared" si="141"/>
        <v>关</v>
      </c>
      <c r="M566" s="601"/>
      <c r="N566" s="75"/>
      <c r="O566" s="75"/>
      <c r="T566" s="75" t="str">
        <f t="shared" si="142"/>
        <v>3.20.4</v>
      </c>
      <c r="U566" s="74" t="b">
        <f>TEXT(O566,"0.00")=TEXT(R566,"0.00")</f>
        <v>1</v>
      </c>
    </row>
    <row r="567" spans="1:21" ht="45" customHeight="1">
      <c r="A567" s="603"/>
      <c r="B567" s="602"/>
      <c r="C567" s="105" t="s">
        <v>3</v>
      </c>
      <c r="D567" s="106" t="s">
        <v>40</v>
      </c>
      <c r="E567" s="101" t="s">
        <v>41</v>
      </c>
      <c r="F567" s="105" t="s">
        <v>42</v>
      </c>
      <c r="G567" s="105" t="str">
        <f>IFERROR(IF(FIND("开",G566,1),"开","关"),"关")</f>
        <v>关</v>
      </c>
      <c r="H567" s="105" t="str">
        <f t="shared" si="143"/>
        <v>开</v>
      </c>
      <c r="J567" s="101"/>
      <c r="K567" s="105" t="str">
        <f t="shared" si="140"/>
        <v>关</v>
      </c>
      <c r="L567" s="105" t="str">
        <f t="shared" si="141"/>
        <v>关</v>
      </c>
      <c r="M567" s="601"/>
      <c r="T567" s="75" t="str">
        <f t="shared" si="142"/>
        <v>3.20.4</v>
      </c>
    </row>
    <row r="568" spans="1:21" ht="45" customHeight="1">
      <c r="A568" s="603"/>
      <c r="B568" s="602"/>
      <c r="C568" s="105" t="s">
        <v>3</v>
      </c>
      <c r="D568" s="106" t="s">
        <v>193</v>
      </c>
      <c r="E568" s="365" t="s">
        <v>194</v>
      </c>
      <c r="F568" s="105" t="str">
        <f>IFERROR(IF(FIND("开",F567,1),"开","关"),"关")</f>
        <v>关</v>
      </c>
      <c r="G568" s="105" t="str">
        <f>IFERROR(IF(FIND("开",G567,1),"开","关"),"关")</f>
        <v>关</v>
      </c>
      <c r="H568" s="105" t="str">
        <f t="shared" si="143"/>
        <v>开</v>
      </c>
      <c r="J568" s="101"/>
      <c r="K568" s="105" t="str">
        <f t="shared" si="140"/>
        <v>关</v>
      </c>
      <c r="L568" s="105" t="str">
        <f t="shared" si="141"/>
        <v>关</v>
      </c>
      <c r="M568" s="601"/>
      <c r="T568" s="75" t="str">
        <f t="shared" si="142"/>
        <v>3.20.4</v>
      </c>
    </row>
    <row r="569" spans="1:21" ht="45" customHeight="1">
      <c r="A569" s="595" t="s">
        <v>365</v>
      </c>
      <c r="B569" s="646" t="s">
        <v>366</v>
      </c>
      <c r="C569" s="105" t="s">
        <v>3</v>
      </c>
      <c r="D569" s="106" t="s">
        <v>58</v>
      </c>
      <c r="E569" s="101" t="s">
        <v>367</v>
      </c>
      <c r="F569" s="105" t="str">
        <f>IFERROR(IF(FIND("开",F568,1),"开","关"),"关")</f>
        <v>关</v>
      </c>
      <c r="G569" s="105" t="str">
        <f>IFERROR(IF(FIND("开",G568,1),"开","关"),"关")</f>
        <v>关</v>
      </c>
      <c r="H569" s="105" t="str">
        <f t="shared" si="143"/>
        <v>开</v>
      </c>
      <c r="J569" s="101"/>
      <c r="K569" s="105" t="str">
        <f t="shared" si="140"/>
        <v>关</v>
      </c>
      <c r="L569" s="105" t="str">
        <f t="shared" si="141"/>
        <v>关</v>
      </c>
      <c r="M569" s="601">
        <v>1</v>
      </c>
      <c r="N569" s="75" t="s">
        <v>24</v>
      </c>
      <c r="O569" s="75" t="str">
        <f>MID(E569,FIND("setting",E569,1)+8,FIND("kg",E569,1)-FIND("setting",E569,1)-8)</f>
        <v xml:space="preserve"> 616.20</v>
      </c>
      <c r="Q569" s="75" t="str">
        <f>SUBSTITUTE(T569&amp;N569," ","")</f>
        <v>3.20.5DMF</v>
      </c>
      <c r="R569" s="74">
        <f>VLOOKUP(Q569,MOR投料表!A:L,9,FALSE)</f>
        <v>616.20000000000005</v>
      </c>
      <c r="T569" s="75" t="str">
        <f t="shared" si="142"/>
        <v>3.20.5</v>
      </c>
      <c r="U569" s="74" t="b">
        <f>TEXT(O569,"0.00")=TEXT(R569,"0.00")</f>
        <v>1</v>
      </c>
    </row>
    <row r="570" spans="1:21" ht="45" customHeight="1">
      <c r="A570" s="605"/>
      <c r="B570" s="602"/>
      <c r="C570" s="105" t="s">
        <v>3</v>
      </c>
      <c r="D570" s="106" t="s">
        <v>61</v>
      </c>
      <c r="E570" s="101" t="s">
        <v>62</v>
      </c>
      <c r="F570" s="105" t="str">
        <f>IFERROR(IF(FIND("开",F569,1),"开","关"),"关")</f>
        <v>关</v>
      </c>
      <c r="G570" s="105" t="str">
        <f>IFERROR(IF(FIND("开",G569,1),"开","关"),"关")</f>
        <v>关</v>
      </c>
      <c r="H570" s="105" t="str">
        <f t="shared" si="143"/>
        <v>开</v>
      </c>
      <c r="J570" s="101"/>
      <c r="K570" s="105" t="str">
        <f t="shared" si="140"/>
        <v>关</v>
      </c>
      <c r="L570" s="105" t="str">
        <f t="shared" si="141"/>
        <v>关</v>
      </c>
      <c r="M570" s="601"/>
      <c r="T570" s="75" t="str">
        <f t="shared" si="142"/>
        <v>3.20.5</v>
      </c>
    </row>
    <row r="571" spans="1:21" ht="45" customHeight="1">
      <c r="A571" s="605"/>
      <c r="B571" s="602"/>
      <c r="C571" s="105" t="s">
        <v>3</v>
      </c>
      <c r="D571" s="106" t="s">
        <v>35</v>
      </c>
      <c r="E571" s="101" t="s">
        <v>63</v>
      </c>
      <c r="F571" s="105" t="s">
        <v>37</v>
      </c>
      <c r="G571" s="105" t="str">
        <f>IFERROR(IF(FIND("开",G570,1),"开","关"),"关")</f>
        <v>关</v>
      </c>
      <c r="H571" s="105" t="str">
        <f t="shared" si="143"/>
        <v>开</v>
      </c>
      <c r="J571" s="101"/>
      <c r="K571" s="105" t="str">
        <f t="shared" si="140"/>
        <v>关</v>
      </c>
      <c r="L571" s="105" t="str">
        <f t="shared" si="141"/>
        <v>关</v>
      </c>
      <c r="M571" s="601"/>
      <c r="T571" s="75" t="str">
        <f t="shared" si="142"/>
        <v>3.20.5</v>
      </c>
    </row>
    <row r="572" spans="1:21" ht="45" customHeight="1">
      <c r="A572" s="605"/>
      <c r="B572" s="602"/>
      <c r="C572" s="105" t="s">
        <v>3</v>
      </c>
      <c r="D572" s="106" t="s">
        <v>38</v>
      </c>
      <c r="E572" s="101" t="s">
        <v>167</v>
      </c>
      <c r="F572" s="105" t="str">
        <f>IFERROR(IF(FIND("开",F571,1),"开","关"),"关")</f>
        <v>开</v>
      </c>
      <c r="G572" s="105" t="s">
        <v>29</v>
      </c>
      <c r="H572" s="105" t="str">
        <f t="shared" si="143"/>
        <v>开</v>
      </c>
      <c r="J572" s="101"/>
      <c r="K572" s="105" t="str">
        <f t="shared" si="140"/>
        <v>关</v>
      </c>
      <c r="L572" s="105" t="str">
        <f t="shared" si="141"/>
        <v>关</v>
      </c>
      <c r="M572" s="601"/>
      <c r="T572" s="75" t="str">
        <f t="shared" si="142"/>
        <v>3.20.5</v>
      </c>
    </row>
    <row r="573" spans="1:21" ht="45" customHeight="1">
      <c r="A573" s="605"/>
      <c r="B573" s="602"/>
      <c r="C573" s="105" t="s">
        <v>3</v>
      </c>
      <c r="D573" s="106" t="s">
        <v>40</v>
      </c>
      <c r="E573" s="101" t="s">
        <v>41</v>
      </c>
      <c r="F573" s="105" t="s">
        <v>42</v>
      </c>
      <c r="G573" s="105" t="str">
        <f>IFERROR(IF(FIND("开",G572,1),"开","关"),"关")</f>
        <v>关</v>
      </c>
      <c r="H573" s="105" t="str">
        <f t="shared" si="143"/>
        <v>开</v>
      </c>
      <c r="J573" s="101"/>
      <c r="K573" s="105" t="str">
        <f t="shared" si="140"/>
        <v>关</v>
      </c>
      <c r="L573" s="105" t="str">
        <f t="shared" si="141"/>
        <v>关</v>
      </c>
      <c r="M573" s="601"/>
      <c r="T573" s="75" t="str">
        <f t="shared" si="142"/>
        <v>3.20.5</v>
      </c>
    </row>
    <row r="574" spans="1:21" ht="45" customHeight="1">
      <c r="A574" s="606"/>
      <c r="B574" s="602"/>
      <c r="C574" s="105" t="s">
        <v>3</v>
      </c>
      <c r="D574" s="106" t="s">
        <v>198</v>
      </c>
      <c r="E574" s="366" t="s">
        <v>194</v>
      </c>
      <c r="F574" s="105" t="str">
        <f>IFERROR(IF(FIND("开",F573,1),"开","关"),"关")</f>
        <v>关</v>
      </c>
      <c r="G574" s="105" t="str">
        <f>IFERROR(IF(FIND("开",G573,1),"开","关"),"关")</f>
        <v>关</v>
      </c>
      <c r="H574" s="105" t="str">
        <f t="shared" si="143"/>
        <v>开</v>
      </c>
      <c r="J574" s="101"/>
      <c r="K574" s="105" t="str">
        <f t="shared" si="140"/>
        <v>关</v>
      </c>
      <c r="L574" s="105" t="str">
        <f t="shared" si="141"/>
        <v>关</v>
      </c>
      <c r="M574" s="601"/>
      <c r="T574" s="75" t="str">
        <f t="shared" si="142"/>
        <v>3.20.5</v>
      </c>
    </row>
    <row r="575" spans="1:21" ht="45" customHeight="1">
      <c r="A575" s="595" t="s">
        <v>369</v>
      </c>
      <c r="B575" s="647" t="s">
        <v>366</v>
      </c>
      <c r="C575" s="105" t="s">
        <v>3</v>
      </c>
      <c r="D575" s="106" t="s">
        <v>58</v>
      </c>
      <c r="E575" s="101" t="s">
        <v>367</v>
      </c>
      <c r="F575" s="105" t="str">
        <f>IFERROR(IF(FIND("开",F574,1),"开","关"),"关")</f>
        <v>关</v>
      </c>
      <c r="G575" s="105" t="str">
        <f>IFERROR(IF(FIND("开",G574,1),"开","关"),"关")</f>
        <v>关</v>
      </c>
      <c r="H575" s="105" t="str">
        <f t="shared" si="143"/>
        <v>开</v>
      </c>
      <c r="J575" s="101"/>
      <c r="K575" s="105" t="str">
        <f t="shared" si="140"/>
        <v>关</v>
      </c>
      <c r="L575" s="105" t="str">
        <f t="shared" si="141"/>
        <v>关</v>
      </c>
      <c r="M575" s="601">
        <v>1</v>
      </c>
      <c r="N575" s="75" t="s">
        <v>24</v>
      </c>
      <c r="O575" s="75" t="str">
        <f>MID(E575,FIND("setting",E575,1)+8,FIND("kg",E575,1)-FIND("setting",E575,1)-8)</f>
        <v xml:space="preserve"> 616.20</v>
      </c>
      <c r="Q575" s="75" t="str">
        <f>SUBSTITUTE(T575&amp;N575," ","")</f>
        <v>3.20.7DMF</v>
      </c>
      <c r="R575" s="74">
        <f>VLOOKUP(Q575,MOR投料表!A:L,9,FALSE)</f>
        <v>616.20000000000005</v>
      </c>
      <c r="T575" s="75" t="str">
        <f t="shared" si="142"/>
        <v>3.20.7</v>
      </c>
      <c r="U575" s="74" t="b">
        <f>TEXT(O575,"0.00")=TEXT(R575,"0.00")</f>
        <v>1</v>
      </c>
    </row>
    <row r="576" spans="1:21" ht="45" customHeight="1">
      <c r="A576" s="605"/>
      <c r="B576" s="602"/>
      <c r="C576" s="105" t="s">
        <v>3</v>
      </c>
      <c r="D576" s="106" t="s">
        <v>61</v>
      </c>
      <c r="E576" s="101" t="s">
        <v>62</v>
      </c>
      <c r="F576" s="105" t="str">
        <f>IFERROR(IF(FIND("开",F575,1),"开","关"),"关")</f>
        <v>关</v>
      </c>
      <c r="G576" s="105" t="str">
        <f>IFERROR(IF(FIND("开",G575,1),"开","关"),"关")</f>
        <v>关</v>
      </c>
      <c r="H576" s="105" t="str">
        <f t="shared" si="143"/>
        <v>开</v>
      </c>
      <c r="J576" s="101"/>
      <c r="K576" s="105" t="str">
        <f t="shared" si="140"/>
        <v>关</v>
      </c>
      <c r="L576" s="105" t="str">
        <f t="shared" si="141"/>
        <v>关</v>
      </c>
      <c r="M576" s="601"/>
      <c r="T576" s="75" t="str">
        <f t="shared" si="142"/>
        <v>3.20.7</v>
      </c>
    </row>
    <row r="577" spans="1:21" ht="45" customHeight="1">
      <c r="A577" s="605"/>
      <c r="B577" s="602"/>
      <c r="C577" s="105" t="s">
        <v>3</v>
      </c>
      <c r="D577" s="106" t="s">
        <v>35</v>
      </c>
      <c r="E577" s="101" t="s">
        <v>63</v>
      </c>
      <c r="F577" s="105" t="s">
        <v>37</v>
      </c>
      <c r="G577" s="105" t="str">
        <f>IFERROR(IF(FIND("开",G576,1),"开","关"),"关")</f>
        <v>关</v>
      </c>
      <c r="H577" s="105" t="str">
        <f t="shared" si="143"/>
        <v>开</v>
      </c>
      <c r="J577" s="101"/>
      <c r="K577" s="105" t="str">
        <f t="shared" si="140"/>
        <v>关</v>
      </c>
      <c r="L577" s="105" t="str">
        <f t="shared" si="141"/>
        <v>关</v>
      </c>
      <c r="M577" s="601"/>
      <c r="T577" s="75" t="str">
        <f t="shared" si="142"/>
        <v>3.20.7</v>
      </c>
    </row>
    <row r="578" spans="1:21" ht="45" customHeight="1">
      <c r="A578" s="605"/>
      <c r="B578" s="602"/>
      <c r="C578" s="105" t="s">
        <v>3</v>
      </c>
      <c r="D578" s="106" t="s">
        <v>38</v>
      </c>
      <c r="E578" s="101" t="s">
        <v>167</v>
      </c>
      <c r="F578" s="105" t="str">
        <f>IFERROR(IF(FIND("开",F577,1),"开","关"),"关")</f>
        <v>开</v>
      </c>
      <c r="G578" s="105" t="s">
        <v>29</v>
      </c>
      <c r="H578" s="105" t="str">
        <f t="shared" si="143"/>
        <v>开</v>
      </c>
      <c r="J578" s="101"/>
      <c r="K578" s="105" t="str">
        <f t="shared" si="140"/>
        <v>关</v>
      </c>
      <c r="L578" s="105" t="str">
        <f t="shared" si="141"/>
        <v>关</v>
      </c>
      <c r="M578" s="601"/>
      <c r="T578" s="75" t="str">
        <f t="shared" si="142"/>
        <v>3.20.7</v>
      </c>
    </row>
    <row r="579" spans="1:21" ht="45" customHeight="1">
      <c r="A579" s="605"/>
      <c r="B579" s="602"/>
      <c r="C579" s="105" t="s">
        <v>3</v>
      </c>
      <c r="D579" s="106" t="s">
        <v>40</v>
      </c>
      <c r="E579" s="101" t="s">
        <v>41</v>
      </c>
      <c r="F579" s="105" t="s">
        <v>42</v>
      </c>
      <c r="G579" s="105" t="str">
        <f>IFERROR(IF(FIND("开",G578,1),"开","关"),"关")</f>
        <v>关</v>
      </c>
      <c r="H579" s="105" t="str">
        <f t="shared" si="143"/>
        <v>开</v>
      </c>
      <c r="J579" s="101"/>
      <c r="K579" s="105" t="str">
        <f t="shared" si="140"/>
        <v>关</v>
      </c>
      <c r="L579" s="105" t="str">
        <f t="shared" si="141"/>
        <v>关</v>
      </c>
      <c r="M579" s="601"/>
      <c r="T579" s="75" t="str">
        <f t="shared" si="142"/>
        <v>3.20.7</v>
      </c>
    </row>
    <row r="580" spans="1:21" ht="45" customHeight="1">
      <c r="A580" s="606"/>
      <c r="B580" s="602"/>
      <c r="C580" s="105" t="s">
        <v>3</v>
      </c>
      <c r="D580" s="106" t="s">
        <v>45</v>
      </c>
      <c r="E580" s="367" t="s">
        <v>46</v>
      </c>
      <c r="F580" s="105" t="str">
        <f>IFERROR(IF(FIND("开",F579,1),"开","关"),"关")</f>
        <v>关</v>
      </c>
      <c r="G580" s="105" t="str">
        <f>IFERROR(IF(FIND("开",G579,1),"开","关"),"关")</f>
        <v>关</v>
      </c>
      <c r="H580" s="105" t="str">
        <f t="shared" si="143"/>
        <v>开</v>
      </c>
      <c r="J580" s="101"/>
      <c r="K580" s="105" t="str">
        <f t="shared" si="140"/>
        <v>关</v>
      </c>
      <c r="L580" s="105" t="str">
        <f t="shared" si="141"/>
        <v>关</v>
      </c>
      <c r="M580" s="601"/>
      <c r="T580" s="75" t="str">
        <f t="shared" si="142"/>
        <v>3.20.7</v>
      </c>
    </row>
    <row r="581" spans="1:21" ht="45" customHeight="1">
      <c r="A581" s="595" t="s">
        <v>371</v>
      </c>
      <c r="B581" s="648" t="s">
        <v>372</v>
      </c>
      <c r="C581" s="105" t="s">
        <v>8</v>
      </c>
      <c r="D581" s="106"/>
      <c r="E581" s="101"/>
      <c r="F581" s="105" t="str">
        <f>IFERROR(IF(FIND("开",F580,1),"开","关"),"关")</f>
        <v>关</v>
      </c>
      <c r="G581" s="105" t="str">
        <f>IFERROR(IF(FIND("开",G580,1),"开","关"),"关")</f>
        <v>关</v>
      </c>
      <c r="H581" s="105" t="str">
        <f t="shared" si="143"/>
        <v>开</v>
      </c>
      <c r="I581" s="84" t="s">
        <v>89</v>
      </c>
      <c r="J581" s="368" t="s">
        <v>204</v>
      </c>
      <c r="K581" s="105" t="str">
        <f>IFERROR(IF(FIND("开",K580,1),"开","关"),"关")</f>
        <v>关</v>
      </c>
      <c r="L581" s="105" t="s">
        <v>37</v>
      </c>
      <c r="M581" s="598">
        <v>1</v>
      </c>
      <c r="T581" s="75" t="str">
        <f t="shared" si="142"/>
        <v>3.21.1</v>
      </c>
    </row>
    <row r="582" spans="1:21" ht="45" customHeight="1">
      <c r="A582" s="634"/>
      <c r="B582" s="634"/>
      <c r="C582" s="105" t="s">
        <v>8</v>
      </c>
      <c r="E582" s="77"/>
      <c r="F582" s="105" t="str">
        <f>IFERROR(IF(FIND("开",#REF!,1),"开","关"),"关")</f>
        <v>关</v>
      </c>
      <c r="G582" s="105" t="str">
        <f>IFERROR(IF(FIND("开",#REF!,1),"开","关"),"关")</f>
        <v>关</v>
      </c>
      <c r="H582" s="105" t="str">
        <f>IFERROR(IF(FIND("开",#REF!,1),"开","关"),"关")</f>
        <v>关</v>
      </c>
      <c r="I582" s="106" t="s">
        <v>77</v>
      </c>
      <c r="J582" s="369" t="s">
        <v>23</v>
      </c>
      <c r="K582" s="105" t="str">
        <f>IFERROR(IF(FIND("开",#REF!,1),"开","关"),"关")</f>
        <v>关</v>
      </c>
      <c r="L582" s="105" t="str">
        <f>IFERROR(IF(FIND("开",#REF!,1),"开","关"),"关")</f>
        <v>关</v>
      </c>
      <c r="M582" s="634"/>
      <c r="N582" s="75" t="s">
        <v>24</v>
      </c>
      <c r="O582" s="75" t="str">
        <f>MID(J582,FIND("setting",J582,1)+8,FIND("kg",J582,1)-FIND("setting",J582,1)-8)</f>
        <v xml:space="preserve"> 369.85</v>
      </c>
      <c r="Q582" s="75" t="str">
        <f>SUBSTITUTE(T582&amp;N582," ","")</f>
        <v>3.21.1DMF</v>
      </c>
      <c r="R582" s="74">
        <f>VLOOKUP(Q582,MOR投料表!A:L,9,FALSE)</f>
        <v>369.85</v>
      </c>
      <c r="T582" s="75" t="str">
        <f t="shared" si="142"/>
        <v>3.21.1</v>
      </c>
      <c r="U582" s="74" t="b">
        <f>TEXT(O582,"0.00")=TEXT(R582,"0.00")</f>
        <v>1</v>
      </c>
    </row>
    <row r="583" spans="1:21" ht="45" customHeight="1">
      <c r="A583" s="634"/>
      <c r="B583" s="634"/>
      <c r="C583" s="105" t="s">
        <v>8</v>
      </c>
      <c r="E583" s="77"/>
      <c r="F583" s="105" t="str">
        <f t="shared" ref="F583:H585" si="144">IFERROR(IF(FIND("开",F582,1),"开","关"),"关")</f>
        <v>关</v>
      </c>
      <c r="G583" s="105" t="str">
        <f t="shared" si="144"/>
        <v>关</v>
      </c>
      <c r="H583" s="105" t="str">
        <f t="shared" si="144"/>
        <v>关</v>
      </c>
      <c r="I583" s="106" t="s">
        <v>61</v>
      </c>
      <c r="J583" s="101" t="s">
        <v>26</v>
      </c>
      <c r="K583" s="105" t="str">
        <f>IFERROR(IF(FIND("开",K582,1),"开","关"),"关")</f>
        <v>关</v>
      </c>
      <c r="L583" s="105" t="str">
        <f>IFERROR(IF(FIND("开",L582,1),"开","关"),"关")</f>
        <v>关</v>
      </c>
      <c r="M583" s="634"/>
      <c r="T583" s="75" t="str">
        <f t="shared" si="142"/>
        <v>3.21.1</v>
      </c>
    </row>
    <row r="584" spans="1:21" ht="45" customHeight="1">
      <c r="A584" s="634"/>
      <c r="B584" s="634"/>
      <c r="C584" s="105" t="s">
        <v>8</v>
      </c>
      <c r="E584" s="77"/>
      <c r="F584" s="105" t="str">
        <f t="shared" si="144"/>
        <v>关</v>
      </c>
      <c r="G584" s="105" t="str">
        <f t="shared" si="144"/>
        <v>关</v>
      </c>
      <c r="H584" s="105" t="str">
        <f t="shared" si="144"/>
        <v>关</v>
      </c>
      <c r="I584" s="106" t="s">
        <v>78</v>
      </c>
      <c r="J584" s="101" t="s">
        <v>79</v>
      </c>
      <c r="K584" s="105" t="s">
        <v>37</v>
      </c>
      <c r="L584" s="105" t="str">
        <f>IFERROR(IF(FIND("开",L583,1),"开","关"),"关")</f>
        <v>关</v>
      </c>
      <c r="M584" s="634"/>
      <c r="T584" s="75" t="str">
        <f t="shared" si="142"/>
        <v>3.21.1</v>
      </c>
    </row>
    <row r="585" spans="1:21" ht="56.25" customHeight="1">
      <c r="A585" s="634"/>
      <c r="B585" s="634"/>
      <c r="C585" s="105" t="s">
        <v>8</v>
      </c>
      <c r="E585" s="77"/>
      <c r="F585" s="105" t="str">
        <f t="shared" si="144"/>
        <v>关</v>
      </c>
      <c r="G585" s="105" t="str">
        <f t="shared" si="144"/>
        <v>关</v>
      </c>
      <c r="H585" s="105" t="str">
        <f t="shared" si="144"/>
        <v>关</v>
      </c>
      <c r="I585" s="106" t="s">
        <v>207</v>
      </c>
      <c r="J585" s="101" t="s">
        <v>208</v>
      </c>
      <c r="K585" s="105" t="str">
        <f>IFERROR(IF(FIND("开",K584,1),"开","关"),"关")</f>
        <v>开</v>
      </c>
      <c r="L585" s="105" t="str">
        <f>IFERROR(IF(FIND("开",L584,1),"开","关"),"关")</f>
        <v>关</v>
      </c>
      <c r="M585" s="634"/>
      <c r="N585" s="75" t="str">
        <f>MID(J585,FIND("物料",J585,1)+3,FIND("投料重量",J585,1)-FIND("物料",J585,1)-4)</f>
        <v>Fmoc-L-Thr(tBu)-OH</v>
      </c>
      <c r="O585" s="75" t="e">
        <f>MID(J585,FIND("投料重量",J585,1)+5,FIND("kg",J585,1)-FIND("投料重量",J585,1)-5)</f>
        <v>#VALUE!</v>
      </c>
      <c r="P585" s="75" t="str">
        <f>SUBSTITUTE(RIGHT(J585,LEN(J585)-FIND("重量误差",J585,1)-4),"kg","")</f>
        <v>______</v>
      </c>
      <c r="Q585" s="75" t="str">
        <f>SUBSTITUTE(T585&amp;N585," ","")</f>
        <v>3.20.7Fmoc-L-Thr(tBu)-OH</v>
      </c>
      <c r="R585" s="74" t="e">
        <f>VLOOKUP(Q585,氨基酸和溶剂信息!A:P,8,FALSE)</f>
        <v>#N/A</v>
      </c>
      <c r="T585" s="75" t="str">
        <f>IF(ISBLANK(A585),T580,LEFT(A585,FIND(" ",A585,1)-1))</f>
        <v>3.20.7</v>
      </c>
      <c r="U585" s="74" t="e">
        <f>TEXT(O585,"0.00")=TEXT(R585,"0.00")</f>
        <v>#VALUE!</v>
      </c>
    </row>
    <row r="586" spans="1:21" ht="45" customHeight="1">
      <c r="A586" s="634"/>
      <c r="B586" s="634"/>
      <c r="C586" s="105" t="s">
        <v>8</v>
      </c>
      <c r="E586" s="77"/>
      <c r="I586" s="106" t="s">
        <v>93</v>
      </c>
      <c r="J586" s="370" t="s">
        <v>209</v>
      </c>
      <c r="M586" s="634"/>
      <c r="N586" s="75"/>
      <c r="O586" s="75"/>
      <c r="P586" s="75"/>
      <c r="Q586" s="75"/>
      <c r="T586" s="75"/>
    </row>
    <row r="587" spans="1:21" ht="45" customHeight="1">
      <c r="A587" s="634"/>
      <c r="B587" s="634"/>
      <c r="C587" s="105" t="s">
        <v>8</v>
      </c>
      <c r="E587" s="77"/>
      <c r="F587" s="105" t="str">
        <f>IFERROR(IF(FIND("开",F585,1),"开","关"),"关")</f>
        <v>关</v>
      </c>
      <c r="G587" s="105" t="str">
        <f>IFERROR(IF(FIND("开",G585,1),"开","关"),"关")</f>
        <v>关</v>
      </c>
      <c r="H587" s="105" t="str">
        <f>IFERROR(IF(FIND("开",H585,1),"开","关"),"关")</f>
        <v>关</v>
      </c>
      <c r="I587" s="106" t="s">
        <v>95</v>
      </c>
      <c r="J587" s="371" t="s">
        <v>210</v>
      </c>
      <c r="K587" s="105" t="str">
        <f>IFERROR(IF(FIND("开",K585,1),"开","关"),"关")</f>
        <v>开</v>
      </c>
      <c r="L587" s="105" t="str">
        <f>IFERROR(IF(FIND("开",L585,1),"开","关"),"关")</f>
        <v>关</v>
      </c>
      <c r="M587" s="634"/>
      <c r="N587" s="75"/>
      <c r="O587" s="75"/>
      <c r="P587" s="75"/>
      <c r="Q587" s="75"/>
      <c r="T587" s="75" t="str">
        <f>IF(ISBLANK(A587),T585,LEFT(A587,FIND(" ",A587,1)-1))</f>
        <v>3.20.7</v>
      </c>
    </row>
    <row r="588" spans="1:21" ht="45" customHeight="1">
      <c r="A588" s="634"/>
      <c r="B588" s="634"/>
      <c r="C588" s="105" t="s">
        <v>8</v>
      </c>
      <c r="E588" s="77"/>
      <c r="F588" s="105" t="str">
        <f t="shared" ref="F588:F598" si="145">IFERROR(IF(FIND("开",F587,1),"开","关"),"关")</f>
        <v>关</v>
      </c>
      <c r="G588" s="105" t="str">
        <f t="shared" ref="G588:G598" si="146">IFERROR(IF(FIND("开",G587,1),"开","关"),"关")</f>
        <v>关</v>
      </c>
      <c r="H588" s="105" t="str">
        <f t="shared" ref="H588:H598" si="147">IFERROR(IF(FIND("开",H587,1),"开","关"),"关")</f>
        <v>关</v>
      </c>
      <c r="I588" s="106" t="s">
        <v>123</v>
      </c>
      <c r="J588" s="372" t="s">
        <v>211</v>
      </c>
      <c r="K588" s="105" t="str">
        <f t="shared" ref="K588:K597" si="148">IFERROR(IF(FIND("开",K587,1),"开","关"),"关")</f>
        <v>开</v>
      </c>
      <c r="L588" s="105" t="s">
        <v>42</v>
      </c>
      <c r="M588" s="634"/>
      <c r="N588" s="75"/>
      <c r="O588" s="75"/>
      <c r="P588" s="75"/>
      <c r="Q588" s="75"/>
      <c r="T588" s="75" t="str">
        <f>IF(ISBLANK(A588),T587,LEFT(A588,FIND(" ",A588,1)-1))</f>
        <v>3.20.7</v>
      </c>
    </row>
    <row r="589" spans="1:21" ht="45" customHeight="1">
      <c r="A589" s="634"/>
      <c r="B589" s="634"/>
      <c r="C589" s="105" t="s">
        <v>8</v>
      </c>
      <c r="E589" s="77"/>
      <c r="F589" s="105" t="str">
        <f t="shared" si="145"/>
        <v>关</v>
      </c>
      <c r="G589" s="105" t="str">
        <f t="shared" si="146"/>
        <v>关</v>
      </c>
      <c r="H589" s="105" t="str">
        <f t="shared" si="147"/>
        <v>关</v>
      </c>
      <c r="I589" s="106" t="s">
        <v>203</v>
      </c>
      <c r="J589" s="101" t="s">
        <v>255</v>
      </c>
      <c r="K589" s="105" t="str">
        <f t="shared" si="148"/>
        <v>开</v>
      </c>
      <c r="L589" s="105" t="s">
        <v>37</v>
      </c>
      <c r="M589" s="634"/>
      <c r="N589" s="75"/>
      <c r="O589" s="75"/>
      <c r="P589" s="75"/>
      <c r="Q589" s="75"/>
      <c r="T589" s="75" t="str">
        <f>IF(ISBLANK(A589),T588,LEFT(A589,FIND(" ",A589,1)-1))</f>
        <v>3.20.7</v>
      </c>
    </row>
    <row r="590" spans="1:21" ht="45" customHeight="1">
      <c r="A590" s="634"/>
      <c r="B590" s="634"/>
      <c r="C590" s="105" t="s">
        <v>8</v>
      </c>
      <c r="E590" s="77"/>
      <c r="F590" s="105" t="str">
        <f t="shared" si="145"/>
        <v>关</v>
      </c>
      <c r="G590" s="105" t="str">
        <f t="shared" si="146"/>
        <v>关</v>
      </c>
      <c r="H590" s="105" t="str">
        <f t="shared" si="147"/>
        <v>关</v>
      </c>
      <c r="I590" s="106" t="s">
        <v>91</v>
      </c>
      <c r="J590" s="373" t="s">
        <v>256</v>
      </c>
      <c r="K590" s="105" t="str">
        <f t="shared" si="148"/>
        <v>开</v>
      </c>
      <c r="L590" s="105" t="str">
        <f t="shared" ref="L590:L598" si="149">IFERROR(IF(FIND("开",L589,1),"开","关"),"关")</f>
        <v>开</v>
      </c>
      <c r="M590" s="634"/>
      <c r="N590" s="75"/>
      <c r="O590" s="75"/>
      <c r="P590" s="75"/>
      <c r="Q590" s="75"/>
      <c r="T590" s="75" t="str">
        <f>IF(ISBLANK(A590),T589,LEFT(A590,FIND(" ",A590,1)-1))</f>
        <v>3.20.7</v>
      </c>
    </row>
    <row r="591" spans="1:21" ht="45" customHeight="1">
      <c r="A591" s="634"/>
      <c r="B591" s="634"/>
      <c r="C591" s="105" t="s">
        <v>8</v>
      </c>
      <c r="E591" s="77"/>
      <c r="F591" s="105" t="str">
        <f t="shared" si="145"/>
        <v>关</v>
      </c>
      <c r="G591" s="105" t="str">
        <f t="shared" si="146"/>
        <v>关</v>
      </c>
      <c r="H591" s="105" t="str">
        <f t="shared" si="147"/>
        <v>关</v>
      </c>
      <c r="I591" s="106" t="s">
        <v>217</v>
      </c>
      <c r="J591" s="101" t="s">
        <v>218</v>
      </c>
      <c r="K591" s="105" t="str">
        <f t="shared" si="148"/>
        <v>开</v>
      </c>
      <c r="L591" s="105" t="str">
        <f t="shared" si="149"/>
        <v>开</v>
      </c>
      <c r="M591" s="634"/>
      <c r="N591" s="75" t="str">
        <f>MID(J591,FIND("物料",J591,1)+3,FIND("投料重量",J591,1)-FIND("物料",J591,1)-4)</f>
        <v>OxymaPure</v>
      </c>
      <c r="O591" s="75" t="e">
        <f>MID(J591,FIND("投料重量",J591,1)+5,FIND("kg",J591,1)-FIND("投料重量",J591,1)-5)</f>
        <v>#VALUE!</v>
      </c>
      <c r="P591" s="75" t="str">
        <f>SUBSTITUTE(RIGHT(J591,LEN(J591)-FIND("重量误差",J591,1)-4),"kg","")</f>
        <v>______</v>
      </c>
      <c r="Q591" s="75" t="str">
        <f>SUBSTITUTE(T591&amp;N591," ","")</f>
        <v>3.20.7OxymaPure</v>
      </c>
      <c r="R591" s="74" t="e">
        <f>VLOOKUP(Q591,氨基酸和溶剂信息!A:P,8,FALSE)</f>
        <v>#N/A</v>
      </c>
      <c r="T591" s="75" t="str">
        <f>IF(ISBLANK(A591),T590,LEFT(A591,FIND(" ",A591,1)-1))</f>
        <v>3.20.7</v>
      </c>
      <c r="U591" s="74" t="e">
        <f>TEXT(O591,"0.00")=TEXT(R591,"0.00")</f>
        <v>#VALUE!</v>
      </c>
    </row>
    <row r="592" spans="1:21" ht="45" customHeight="1">
      <c r="A592" s="634"/>
      <c r="B592" s="634"/>
      <c r="C592" s="105" t="s">
        <v>8</v>
      </c>
      <c r="E592" s="77"/>
      <c r="F592" s="105" t="str">
        <f t="shared" si="145"/>
        <v>关</v>
      </c>
      <c r="G592" s="105" t="str">
        <f t="shared" si="146"/>
        <v>关</v>
      </c>
      <c r="H592" s="105" t="str">
        <f t="shared" si="147"/>
        <v>关</v>
      </c>
      <c r="I592" s="106" t="s">
        <v>82</v>
      </c>
      <c r="J592" s="374" t="s">
        <v>83</v>
      </c>
      <c r="K592" s="105" t="str">
        <f t="shared" si="148"/>
        <v>开</v>
      </c>
      <c r="L592" s="105" t="str">
        <f t="shared" si="149"/>
        <v>开</v>
      </c>
      <c r="M592" s="634"/>
      <c r="N592" s="75" t="s">
        <v>24</v>
      </c>
      <c r="O592" s="75" t="str">
        <f>MID(J592,FIND("setting",J592,1)+8,FIND("kg",J592,1)-FIND("setting",J592,1)-8)</f>
        <v xml:space="preserve"> 61.75</v>
      </c>
      <c r="Q592" s="75" t="str">
        <f>SUBSTITUTE(T592&amp;N592," ","")</f>
        <v>3.21.5DMF</v>
      </c>
      <c r="R592" s="74">
        <f>VLOOKUP(Q592,MOR投料表!A:L,9,FALSE)</f>
        <v>61.75</v>
      </c>
      <c r="T592" s="75" t="s">
        <v>374</v>
      </c>
      <c r="U592" s="74" t="b">
        <f>TEXT(O592,"0.00")=TEXT(R592,"0.00")</f>
        <v>1</v>
      </c>
    </row>
    <row r="593" spans="1:21" ht="45" customHeight="1">
      <c r="A593" s="634"/>
      <c r="B593" s="634"/>
      <c r="C593" s="105" t="s">
        <v>8</v>
      </c>
      <c r="E593" s="77"/>
      <c r="F593" s="105" t="str">
        <f t="shared" si="145"/>
        <v>关</v>
      </c>
      <c r="G593" s="105" t="str">
        <f t="shared" si="146"/>
        <v>关</v>
      </c>
      <c r="H593" s="105" t="str">
        <f t="shared" si="147"/>
        <v>关</v>
      </c>
      <c r="I593" s="106" t="s">
        <v>85</v>
      </c>
      <c r="J593" s="101" t="s">
        <v>86</v>
      </c>
      <c r="K593" s="105" t="str">
        <f t="shared" si="148"/>
        <v>开</v>
      </c>
      <c r="L593" s="105" t="str">
        <f t="shared" si="149"/>
        <v>开</v>
      </c>
      <c r="M593" s="634"/>
      <c r="T593" s="75" t="str">
        <f t="shared" ref="T593:T598" si="150">IF(ISBLANK(A593),T592,LEFT(A593,FIND(" ",A593,1)-1))</f>
        <v>3.21.5</v>
      </c>
    </row>
    <row r="594" spans="1:21" ht="60" customHeight="1">
      <c r="A594" s="634"/>
      <c r="B594" s="634"/>
      <c r="C594" s="105" t="s">
        <v>30</v>
      </c>
      <c r="D594" s="106" t="s">
        <v>68</v>
      </c>
      <c r="E594" s="375" t="s">
        <v>258</v>
      </c>
      <c r="F594" s="105" t="str">
        <f t="shared" si="145"/>
        <v>关</v>
      </c>
      <c r="G594" s="105" t="str">
        <f t="shared" si="146"/>
        <v>关</v>
      </c>
      <c r="H594" s="105" t="str">
        <f t="shared" si="147"/>
        <v>关</v>
      </c>
      <c r="I594" s="106"/>
      <c r="J594" s="101"/>
      <c r="K594" s="105" t="str">
        <f t="shared" si="148"/>
        <v>开</v>
      </c>
      <c r="L594" s="105" t="str">
        <f t="shared" si="149"/>
        <v>开</v>
      </c>
      <c r="M594" s="634"/>
      <c r="T594" s="75" t="str">
        <f t="shared" si="150"/>
        <v>3.21.5</v>
      </c>
    </row>
    <row r="595" spans="1:21" ht="45" customHeight="1">
      <c r="A595" s="634"/>
      <c r="B595" s="634"/>
      <c r="C595" s="105" t="s">
        <v>8</v>
      </c>
      <c r="E595" s="77"/>
      <c r="F595" s="105" t="str">
        <f t="shared" si="145"/>
        <v>关</v>
      </c>
      <c r="G595" s="105" t="str">
        <f t="shared" si="146"/>
        <v>关</v>
      </c>
      <c r="H595" s="105" t="str">
        <f t="shared" si="147"/>
        <v>关</v>
      </c>
      <c r="I595" s="106" t="s">
        <v>259</v>
      </c>
      <c r="J595" s="77" t="s">
        <v>260</v>
      </c>
      <c r="K595" s="105" t="str">
        <f t="shared" si="148"/>
        <v>开</v>
      </c>
      <c r="L595" s="105" t="str">
        <f t="shared" si="149"/>
        <v>开</v>
      </c>
      <c r="M595" s="634"/>
      <c r="N595" s="75" t="str">
        <f>SUBSTITUTE(MID(J595,FIND("-》",J595,1)+11,FIND(", weight",J595,1)-FIND("-》",J595,1)-11),"-喷淋-固体喷淋","")</f>
        <v xml:space="preserve"> DIC</v>
      </c>
      <c r="O595" s="75" t="e">
        <f>MID(J595,FIND("量",J595,1)+2,FIND("kg",J595,1)-FIND("量",J595,1)-2)</f>
        <v>#VALUE!</v>
      </c>
      <c r="Q595" s="75" t="str">
        <f>SUBSTITUTE(T595&amp;N595," ","")</f>
        <v>3.21.5DIC</v>
      </c>
      <c r="R595" s="74" t="e">
        <f>VLOOKUP(Q595,氨基酸和溶剂信息!A:P,8,FALSE)</f>
        <v>#N/A</v>
      </c>
      <c r="T595" s="75" t="str">
        <f t="shared" si="150"/>
        <v>3.21.5</v>
      </c>
      <c r="U595" s="74" t="e">
        <f>TEXT(O595,"0.00")=TEXT(R595,"0.00")</f>
        <v>#VALUE!</v>
      </c>
    </row>
    <row r="596" spans="1:21" ht="45" customHeight="1">
      <c r="A596" s="634"/>
      <c r="B596" s="634"/>
      <c r="C596" s="105" t="s">
        <v>8</v>
      </c>
      <c r="E596" s="77"/>
      <c r="F596" s="105" t="str">
        <f t="shared" si="145"/>
        <v>关</v>
      </c>
      <c r="G596" s="105" t="str">
        <f t="shared" si="146"/>
        <v>关</v>
      </c>
      <c r="H596" s="105" t="str">
        <f t="shared" si="147"/>
        <v>关</v>
      </c>
      <c r="I596" s="106" t="s">
        <v>261</v>
      </c>
      <c r="J596" s="77" t="s">
        <v>262</v>
      </c>
      <c r="K596" s="105" t="str">
        <f t="shared" si="148"/>
        <v>开</v>
      </c>
      <c r="L596" s="105" t="str">
        <f t="shared" si="149"/>
        <v>开</v>
      </c>
      <c r="M596" s="634"/>
      <c r="T596" s="75" t="str">
        <f t="shared" si="150"/>
        <v>3.21.5</v>
      </c>
    </row>
    <row r="597" spans="1:21" ht="45" customHeight="1">
      <c r="A597" s="634"/>
      <c r="B597" s="634"/>
      <c r="C597" s="105" t="s">
        <v>8</v>
      </c>
      <c r="E597" s="77"/>
      <c r="F597" s="105" t="str">
        <f t="shared" si="145"/>
        <v>关</v>
      </c>
      <c r="G597" s="105" t="str">
        <f t="shared" si="146"/>
        <v>关</v>
      </c>
      <c r="H597" s="105" t="str">
        <f t="shared" si="147"/>
        <v>关</v>
      </c>
      <c r="I597" s="106" t="s">
        <v>221</v>
      </c>
      <c r="J597" s="376" t="s">
        <v>263</v>
      </c>
      <c r="K597" s="105" t="str">
        <f t="shared" si="148"/>
        <v>开</v>
      </c>
      <c r="L597" s="105" t="str">
        <f t="shared" si="149"/>
        <v>开</v>
      </c>
      <c r="M597" s="634"/>
      <c r="T597" s="75" t="str">
        <f t="shared" si="150"/>
        <v>3.21.5</v>
      </c>
    </row>
    <row r="598" spans="1:21" ht="45" customHeight="1">
      <c r="A598" s="634"/>
      <c r="B598" s="634"/>
      <c r="C598" s="105" t="s">
        <v>8</v>
      </c>
      <c r="E598" s="77"/>
      <c r="F598" s="105" t="str">
        <f t="shared" si="145"/>
        <v>关</v>
      </c>
      <c r="G598" s="105" t="str">
        <f t="shared" si="146"/>
        <v>关</v>
      </c>
      <c r="H598" s="105" t="str">
        <f t="shared" si="147"/>
        <v>关</v>
      </c>
      <c r="I598" s="106" t="s">
        <v>110</v>
      </c>
      <c r="J598" s="101" t="s">
        <v>111</v>
      </c>
      <c r="K598" s="105" t="s">
        <v>42</v>
      </c>
      <c r="L598" s="105" t="str">
        <f t="shared" si="149"/>
        <v>开</v>
      </c>
      <c r="M598" s="634"/>
      <c r="T598" s="75" t="str">
        <f t="shared" si="150"/>
        <v>3.21.5</v>
      </c>
    </row>
    <row r="599" spans="1:21" ht="45" customHeight="1">
      <c r="A599" s="634"/>
      <c r="B599" s="634"/>
      <c r="C599" s="105" t="s">
        <v>8</v>
      </c>
      <c r="E599" s="77"/>
      <c r="I599" s="106" t="s">
        <v>112</v>
      </c>
      <c r="J599" s="377" t="s">
        <v>113</v>
      </c>
      <c r="M599" s="635"/>
      <c r="T599" s="75"/>
    </row>
    <row r="600" spans="1:21" ht="45" customHeight="1">
      <c r="A600" s="595" t="s">
        <v>375</v>
      </c>
      <c r="B600" s="678" t="s">
        <v>115</v>
      </c>
      <c r="C600" s="105" t="s">
        <v>30</v>
      </c>
      <c r="D600" s="106" t="s">
        <v>31</v>
      </c>
      <c r="E600" s="378" t="s">
        <v>32</v>
      </c>
      <c r="F600" s="105" t="str">
        <f>IFERROR(IF(FIND("开",F598,1),"开","关"),"关")</f>
        <v>关</v>
      </c>
      <c r="G600" s="105" t="str">
        <f>IFERROR(IF(FIND("开",G598,1),"开","关"),"关")</f>
        <v>关</v>
      </c>
      <c r="H600" s="105" t="str">
        <f>IFERROR(IF(FIND("开",H598,1),"开","关"),"关")</f>
        <v>关</v>
      </c>
      <c r="I600" s="74"/>
      <c r="J600" s="77"/>
      <c r="K600" s="105" t="str">
        <f>IFERROR(IF(FIND("开",K598,1),"开","关"),"关")</f>
        <v>关</v>
      </c>
      <c r="L600" s="105" t="str">
        <f>IFERROR(IF(FIND("开",L598,1),"开","关"),"关")</f>
        <v>开</v>
      </c>
      <c r="M600" s="598">
        <v>1</v>
      </c>
      <c r="T600" s="75" t="str">
        <f>IF(ISBLANK(A600),T598,LEFT(A600,FIND(" ",A600,1)-1))</f>
        <v>3.22.1</v>
      </c>
    </row>
    <row r="601" spans="1:21" ht="45" customHeight="1">
      <c r="A601" s="596"/>
      <c r="B601" s="622"/>
      <c r="C601" s="105" t="s">
        <v>8</v>
      </c>
      <c r="D601" s="106"/>
      <c r="E601" s="101"/>
      <c r="I601" s="74" t="s">
        <v>116</v>
      </c>
      <c r="J601" s="379" t="s">
        <v>117</v>
      </c>
      <c r="M601" s="599"/>
      <c r="T601" s="75"/>
    </row>
    <row r="602" spans="1:21" ht="45" customHeight="1">
      <c r="A602" s="596"/>
      <c r="B602" s="622"/>
      <c r="C602" s="105" t="s">
        <v>30</v>
      </c>
      <c r="D602" s="106" t="s">
        <v>33</v>
      </c>
      <c r="E602" s="101" t="s">
        <v>34</v>
      </c>
      <c r="F602" s="105" t="str">
        <f>IFERROR(IF(FIND("开",F600,1),"开","关"),"关")</f>
        <v>关</v>
      </c>
      <c r="G602" s="105" t="str">
        <f>IFERROR(IF(FIND("开",G600,1),"开","关"),"关")</f>
        <v>关</v>
      </c>
      <c r="H602" s="105" t="str">
        <f>IFERROR(IF(FIND("开",H600,1),"开","关"),"关")</f>
        <v>关</v>
      </c>
      <c r="I602" s="74"/>
      <c r="J602" s="77"/>
      <c r="K602" s="105" t="str">
        <f>IFERROR(IF(FIND("开",K600,1),"开","关"),"关")</f>
        <v>关</v>
      </c>
      <c r="L602" s="105" t="str">
        <f>IFERROR(IF(FIND("开",L600,1),"开","关"),"关")</f>
        <v>开</v>
      </c>
      <c r="M602" s="599"/>
      <c r="T602" s="75" t="str">
        <f>IF(ISBLANK(A602),T600,LEFT(A602,FIND(" ",A602,1)-1))</f>
        <v>3.22.1</v>
      </c>
    </row>
    <row r="603" spans="1:21" ht="45" customHeight="1">
      <c r="A603" s="596"/>
      <c r="B603" s="622"/>
      <c r="C603" s="105" t="s">
        <v>8</v>
      </c>
      <c r="D603" s="105"/>
      <c r="E603" s="104"/>
      <c r="F603" s="105" t="str">
        <f>IFERROR(IF(FIND("开",F602,1),"开","关"),"关")</f>
        <v>关</v>
      </c>
      <c r="G603" s="105" t="str">
        <f>IFERROR(IF(FIND("开",G602,1),"开","关"),"关")</f>
        <v>关</v>
      </c>
      <c r="H603" s="105" t="str">
        <f>IFERROR(IF(FIND("开",H602,1),"开","关"),"关")</f>
        <v>关</v>
      </c>
      <c r="I603" s="106" t="s">
        <v>22</v>
      </c>
      <c r="J603" s="380" t="s">
        <v>118</v>
      </c>
      <c r="K603" s="105" t="str">
        <f t="shared" ref="K603:L608" si="151">IFERROR(IF(FIND("开",K602,1),"开","关"),"关")</f>
        <v>关</v>
      </c>
      <c r="L603" s="105" t="str">
        <f t="shared" si="151"/>
        <v>开</v>
      </c>
      <c r="M603" s="600"/>
      <c r="N603" s="75" t="s">
        <v>24</v>
      </c>
      <c r="O603" s="75" t="str">
        <f>MID(J603,FIND("setting",J603,1)+8,FIND("kg",J603,1)-FIND("setting",J603,1)-8)</f>
        <v xml:space="preserve"> 61.75</v>
      </c>
      <c r="Q603" s="75" t="str">
        <f>SUBSTITUTE(T603&amp;N603," ","")</f>
        <v>3.22.2DMF</v>
      </c>
      <c r="R603" s="74">
        <f>VLOOKUP(Q603,MOR投料表!A:L,9,FALSE)</f>
        <v>61.75</v>
      </c>
      <c r="T603" s="75" t="s">
        <v>376</v>
      </c>
      <c r="U603" s="74" t="b">
        <f>TEXT(O603,"0.00")=TEXT(R603,"0.00")</f>
        <v>1</v>
      </c>
    </row>
    <row r="604" spans="1:21" ht="45" customHeight="1">
      <c r="A604" s="595" t="s">
        <v>377</v>
      </c>
      <c r="B604" s="649" t="s">
        <v>378</v>
      </c>
      <c r="C604" s="105" t="s">
        <v>3</v>
      </c>
      <c r="D604" s="106" t="s">
        <v>35</v>
      </c>
      <c r="E604" s="101" t="s">
        <v>63</v>
      </c>
      <c r="F604" s="105" t="s">
        <v>37</v>
      </c>
      <c r="G604" s="105" t="str">
        <f>IFERROR(IF(FIND("开",G603,1),"开","关"),"关")</f>
        <v>关</v>
      </c>
      <c r="H604" s="105" t="str">
        <f>IFERROR(IF(FIND("开",H603,1),"开","关"),"关")</f>
        <v>关</v>
      </c>
      <c r="I604" s="106"/>
      <c r="J604" s="101"/>
      <c r="K604" s="105" t="str">
        <f t="shared" si="151"/>
        <v>关</v>
      </c>
      <c r="L604" s="105" t="str">
        <f t="shared" si="151"/>
        <v>开</v>
      </c>
      <c r="M604" s="598">
        <v>1</v>
      </c>
      <c r="T604" s="75" t="str">
        <f t="shared" ref="T604:T635" si="152">IF(ISBLANK(A604),T603,LEFT(A604,FIND(" ",A604,1)-1))</f>
        <v>3.22.3</v>
      </c>
    </row>
    <row r="605" spans="1:21" ht="45" customHeight="1">
      <c r="A605" s="596"/>
      <c r="B605" s="599"/>
      <c r="C605" s="105" t="s">
        <v>3</v>
      </c>
      <c r="D605" s="106" t="s">
        <v>64</v>
      </c>
      <c r="E605" s="101" t="s">
        <v>65</v>
      </c>
      <c r="F605" s="105" t="str">
        <f t="shared" ref="F605:F614" si="153">IFERROR(IF(FIND("开",F604,1),"开","关"),"关")</f>
        <v>开</v>
      </c>
      <c r="G605" s="105" t="s">
        <v>37</v>
      </c>
      <c r="H605" s="105" t="str">
        <f t="shared" ref="H605:H631" si="154">IFERROR(IF(FIND("开",H604,1),"开","关"),"关")</f>
        <v>关</v>
      </c>
      <c r="I605" s="106"/>
      <c r="J605" s="101"/>
      <c r="K605" s="105" t="str">
        <f t="shared" si="151"/>
        <v>关</v>
      </c>
      <c r="L605" s="105" t="str">
        <f t="shared" si="151"/>
        <v>开</v>
      </c>
      <c r="M605" s="599"/>
      <c r="T605" s="75" t="str">
        <f t="shared" si="152"/>
        <v>3.22.3</v>
      </c>
    </row>
    <row r="606" spans="1:21" ht="45" customHeight="1">
      <c r="A606" s="596"/>
      <c r="B606" s="599"/>
      <c r="C606" s="105" t="s">
        <v>8</v>
      </c>
      <c r="D606" s="105"/>
      <c r="E606" s="104"/>
      <c r="F606" s="105" t="str">
        <f t="shared" si="153"/>
        <v>开</v>
      </c>
      <c r="G606" s="105" t="str">
        <f t="shared" ref="G606:G613" si="155">IFERROR(IF(FIND("开",G605,1),"开","关"),"关")</f>
        <v>开</v>
      </c>
      <c r="H606" s="105" t="str">
        <f t="shared" si="154"/>
        <v>关</v>
      </c>
      <c r="I606" s="106" t="s">
        <v>61</v>
      </c>
      <c r="J606" s="101" t="s">
        <v>26</v>
      </c>
      <c r="K606" s="105" t="str">
        <f t="shared" si="151"/>
        <v>关</v>
      </c>
      <c r="L606" s="105" t="str">
        <f t="shared" si="151"/>
        <v>开</v>
      </c>
      <c r="M606" s="599"/>
      <c r="T606" s="75" t="str">
        <f t="shared" si="152"/>
        <v>3.22.3</v>
      </c>
    </row>
    <row r="607" spans="1:21" ht="45" customHeight="1">
      <c r="A607" s="596"/>
      <c r="B607" s="599"/>
      <c r="C607" s="105" t="s">
        <v>30</v>
      </c>
      <c r="D607" s="106" t="s">
        <v>31</v>
      </c>
      <c r="E607" s="381" t="s">
        <v>32</v>
      </c>
      <c r="F607" s="105" t="str">
        <f t="shared" si="153"/>
        <v>开</v>
      </c>
      <c r="G607" s="105" t="str">
        <f t="shared" si="155"/>
        <v>开</v>
      </c>
      <c r="H607" s="105" t="str">
        <f t="shared" si="154"/>
        <v>关</v>
      </c>
      <c r="I607" s="106"/>
      <c r="J607" s="101"/>
      <c r="K607" s="105" t="str">
        <f t="shared" si="151"/>
        <v>关</v>
      </c>
      <c r="L607" s="105" t="str">
        <f t="shared" si="151"/>
        <v>开</v>
      </c>
      <c r="M607" s="599"/>
      <c r="T607" s="75" t="str">
        <f t="shared" si="152"/>
        <v>3.22.3</v>
      </c>
    </row>
    <row r="608" spans="1:21" ht="45" customHeight="1">
      <c r="A608" s="596"/>
      <c r="B608" s="599"/>
      <c r="C608" s="105" t="s">
        <v>30</v>
      </c>
      <c r="D608" s="106" t="s">
        <v>33</v>
      </c>
      <c r="E608" s="101" t="s">
        <v>34</v>
      </c>
      <c r="F608" s="105" t="str">
        <f t="shared" si="153"/>
        <v>开</v>
      </c>
      <c r="G608" s="105" t="str">
        <f t="shared" si="155"/>
        <v>开</v>
      </c>
      <c r="H608" s="105" t="str">
        <f t="shared" si="154"/>
        <v>关</v>
      </c>
      <c r="I608" s="106"/>
      <c r="J608" s="101"/>
      <c r="K608" s="105" t="str">
        <f t="shared" si="151"/>
        <v>关</v>
      </c>
      <c r="L608" s="105" t="str">
        <f t="shared" si="151"/>
        <v>开</v>
      </c>
      <c r="M608" s="599"/>
      <c r="N608" s="75"/>
      <c r="O608" s="75"/>
      <c r="T608" s="75" t="str">
        <f t="shared" si="152"/>
        <v>3.22.3</v>
      </c>
      <c r="U608" s="74" t="b">
        <f>TEXT(O608,"0.00")=TEXT(R608,"0.00")</f>
        <v>1</v>
      </c>
    </row>
    <row r="609" spans="1:22" ht="45" customHeight="1">
      <c r="A609" s="596"/>
      <c r="B609" s="599"/>
      <c r="C609" s="105" t="s">
        <v>8</v>
      </c>
      <c r="D609" s="106"/>
      <c r="E609" s="78"/>
      <c r="F609" s="105" t="str">
        <f t="shared" si="153"/>
        <v>开</v>
      </c>
      <c r="G609" s="105" t="str">
        <f t="shared" si="155"/>
        <v>开</v>
      </c>
      <c r="H609" s="105" t="str">
        <f t="shared" si="154"/>
        <v>关</v>
      </c>
      <c r="I609" s="106" t="s">
        <v>123</v>
      </c>
      <c r="J609" s="101" t="s">
        <v>268</v>
      </c>
      <c r="K609" s="105" t="str">
        <f t="shared" ref="K609:K635" si="156">IFERROR(IF(FIND("开",K608,1),"开","关"),"关")</f>
        <v>关</v>
      </c>
      <c r="L609" s="105" t="s">
        <v>42</v>
      </c>
      <c r="M609" s="599"/>
      <c r="T609" s="75" t="str">
        <f t="shared" si="152"/>
        <v>3.22.3</v>
      </c>
    </row>
    <row r="610" spans="1:22" ht="45" customHeight="1">
      <c r="A610" s="596"/>
      <c r="B610" s="599"/>
      <c r="C610" s="105" t="s">
        <v>8</v>
      </c>
      <c r="D610" s="106"/>
      <c r="E610" s="78"/>
      <c r="F610" s="105" t="str">
        <f t="shared" si="153"/>
        <v>开</v>
      </c>
      <c r="G610" s="105" t="str">
        <f t="shared" si="155"/>
        <v>开</v>
      </c>
      <c r="H610" s="105" t="str">
        <f t="shared" si="154"/>
        <v>关</v>
      </c>
      <c r="I610" s="106" t="s">
        <v>125</v>
      </c>
      <c r="J610" s="101" t="s">
        <v>126</v>
      </c>
      <c r="K610" s="105" t="str">
        <f t="shared" si="156"/>
        <v>关</v>
      </c>
      <c r="L610" s="105" t="str">
        <f t="shared" ref="L610:L635" si="157">IFERROR(IF(FIND("开",L609,1),"开","关"),"关")</f>
        <v>关</v>
      </c>
      <c r="M610" s="599"/>
      <c r="T610" s="75" t="str">
        <f t="shared" si="152"/>
        <v>3.22.3</v>
      </c>
    </row>
    <row r="611" spans="1:22" ht="45" customHeight="1">
      <c r="A611" s="596"/>
      <c r="B611" s="599"/>
      <c r="C611" s="105" t="s">
        <v>3</v>
      </c>
      <c r="D611" s="106" t="s">
        <v>66</v>
      </c>
      <c r="E611" s="382" t="s">
        <v>127</v>
      </c>
      <c r="F611" s="105" t="str">
        <f t="shared" si="153"/>
        <v>开</v>
      </c>
      <c r="G611" s="105" t="str">
        <f t="shared" si="155"/>
        <v>开</v>
      </c>
      <c r="H611" s="105" t="str">
        <f t="shared" si="154"/>
        <v>关</v>
      </c>
      <c r="J611" s="101"/>
      <c r="K611" s="105" t="str">
        <f t="shared" si="156"/>
        <v>关</v>
      </c>
      <c r="L611" s="105" t="str">
        <f t="shared" si="157"/>
        <v>关</v>
      </c>
      <c r="M611" s="599"/>
      <c r="T611" s="75" t="str">
        <f t="shared" si="152"/>
        <v>3.22.3</v>
      </c>
    </row>
    <row r="612" spans="1:22" ht="45" customHeight="1">
      <c r="A612" s="596"/>
      <c r="B612" s="599"/>
      <c r="C612" s="105" t="s">
        <v>3</v>
      </c>
      <c r="D612" s="106" t="s">
        <v>128</v>
      </c>
      <c r="E612" s="383" t="s">
        <v>162</v>
      </c>
      <c r="F612" s="105" t="str">
        <f t="shared" si="153"/>
        <v>开</v>
      </c>
      <c r="G612" s="105" t="str">
        <f t="shared" si="155"/>
        <v>开</v>
      </c>
      <c r="H612" s="105" t="str">
        <f t="shared" si="154"/>
        <v>关</v>
      </c>
      <c r="J612" s="101"/>
      <c r="K612" s="105" t="str">
        <f t="shared" si="156"/>
        <v>关</v>
      </c>
      <c r="L612" s="105" t="str">
        <f t="shared" si="157"/>
        <v>关</v>
      </c>
      <c r="M612" s="599"/>
      <c r="T612" s="75" t="str">
        <f t="shared" si="152"/>
        <v>3.22.3</v>
      </c>
    </row>
    <row r="613" spans="1:22" ht="45" customHeight="1">
      <c r="A613" s="596"/>
      <c r="B613" s="599"/>
      <c r="C613" s="105" t="s">
        <v>3</v>
      </c>
      <c r="D613" s="106" t="s">
        <v>233</v>
      </c>
      <c r="E613" s="384" t="s">
        <v>234</v>
      </c>
      <c r="F613" s="105" t="str">
        <f t="shared" si="153"/>
        <v>开</v>
      </c>
      <c r="G613" s="105" t="str">
        <f t="shared" si="155"/>
        <v>开</v>
      </c>
      <c r="H613" s="105" t="str">
        <f t="shared" si="154"/>
        <v>关</v>
      </c>
      <c r="J613" s="101"/>
      <c r="K613" s="105" t="str">
        <f t="shared" si="156"/>
        <v>关</v>
      </c>
      <c r="L613" s="105" t="str">
        <f t="shared" si="157"/>
        <v>关</v>
      </c>
      <c r="M613" s="599"/>
      <c r="T613" s="75" t="str">
        <f t="shared" si="152"/>
        <v>3.22.3</v>
      </c>
    </row>
    <row r="614" spans="1:22" ht="45" customHeight="1">
      <c r="A614" s="596"/>
      <c r="B614" s="599"/>
      <c r="C614" s="105" t="s">
        <v>3</v>
      </c>
      <c r="D614" s="106" t="s">
        <v>70</v>
      </c>
      <c r="E614" s="101" t="s">
        <v>71</v>
      </c>
      <c r="F614" s="105" t="str">
        <f t="shared" si="153"/>
        <v>开</v>
      </c>
      <c r="G614" s="105" t="s">
        <v>42</v>
      </c>
      <c r="H614" s="105" t="str">
        <f t="shared" si="154"/>
        <v>关</v>
      </c>
      <c r="J614" s="101"/>
      <c r="K614" s="105" t="str">
        <f t="shared" si="156"/>
        <v>关</v>
      </c>
      <c r="L614" s="105" t="str">
        <f t="shared" si="157"/>
        <v>关</v>
      </c>
      <c r="M614" s="599"/>
      <c r="T614" s="75" t="str">
        <f t="shared" si="152"/>
        <v>3.22.3</v>
      </c>
    </row>
    <row r="615" spans="1:22" ht="45" customHeight="1">
      <c r="A615" s="596"/>
      <c r="B615" s="599"/>
      <c r="C615" s="105" t="s">
        <v>3</v>
      </c>
      <c r="D615" s="106" t="s">
        <v>40</v>
      </c>
      <c r="E615" s="101" t="s">
        <v>41</v>
      </c>
      <c r="F615" s="105" t="s">
        <v>42</v>
      </c>
      <c r="G615" s="105" t="str">
        <f t="shared" ref="G615:G628" si="158">IFERROR(IF(FIND("开",G614,1),"开","关"),"关")</f>
        <v>关</v>
      </c>
      <c r="H615" s="105" t="str">
        <f t="shared" si="154"/>
        <v>关</v>
      </c>
      <c r="J615" s="101"/>
      <c r="K615" s="105" t="str">
        <f t="shared" si="156"/>
        <v>关</v>
      </c>
      <c r="L615" s="105" t="str">
        <f t="shared" si="157"/>
        <v>关</v>
      </c>
      <c r="M615" s="599"/>
      <c r="N615" s="75"/>
      <c r="O615" s="75"/>
      <c r="T615" s="75" t="str">
        <f t="shared" si="152"/>
        <v>3.22.3</v>
      </c>
      <c r="U615" s="74" t="b">
        <f>TEXT(O615,"0.00")=TEXT(R615,"0.00")</f>
        <v>1</v>
      </c>
    </row>
    <row r="616" spans="1:22" ht="45" customHeight="1">
      <c r="A616" s="597"/>
      <c r="B616" s="599"/>
      <c r="C616" s="105" t="s">
        <v>3</v>
      </c>
      <c r="D616" s="106" t="s">
        <v>45</v>
      </c>
      <c r="E616" s="385" t="s">
        <v>46</v>
      </c>
      <c r="F616" s="105" t="str">
        <f t="shared" ref="F616:F627" si="159">IFERROR(IF(FIND("开",F615,1),"开","关"),"关")</f>
        <v>关</v>
      </c>
      <c r="G616" s="105" t="str">
        <f t="shared" si="158"/>
        <v>关</v>
      </c>
      <c r="H616" s="105" t="str">
        <f t="shared" si="154"/>
        <v>关</v>
      </c>
      <c r="J616" s="101"/>
      <c r="K616" s="105" t="str">
        <f t="shared" si="156"/>
        <v>关</v>
      </c>
      <c r="L616" s="105" t="str">
        <f t="shared" si="157"/>
        <v>关</v>
      </c>
      <c r="M616" s="600"/>
      <c r="T616" s="75" t="str">
        <f t="shared" si="152"/>
        <v>3.22.3</v>
      </c>
    </row>
    <row r="617" spans="1:22" ht="45" customHeight="1">
      <c r="A617" s="603" t="s">
        <v>379</v>
      </c>
      <c r="B617" s="686" t="s">
        <v>354</v>
      </c>
      <c r="C617" s="105" t="s">
        <v>8</v>
      </c>
      <c r="D617" s="74"/>
      <c r="E617" s="102"/>
      <c r="F617" s="105" t="str">
        <f t="shared" si="159"/>
        <v>关</v>
      </c>
      <c r="G617" s="105" t="str">
        <f t="shared" si="158"/>
        <v>关</v>
      </c>
      <c r="H617" s="105" t="str">
        <f t="shared" si="154"/>
        <v>关</v>
      </c>
      <c r="I617" s="84" t="s">
        <v>77</v>
      </c>
      <c r="J617" s="101" t="s">
        <v>355</v>
      </c>
      <c r="K617" s="105" t="str">
        <f t="shared" si="156"/>
        <v>关</v>
      </c>
      <c r="L617" s="105" t="str">
        <f t="shared" si="157"/>
        <v>关</v>
      </c>
      <c r="M617" s="601">
        <v>3</v>
      </c>
      <c r="N617" s="75" t="s">
        <v>24</v>
      </c>
      <c r="O617" s="75" t="str">
        <f>MID(J617,FIND("setting",J617,1)+8,FIND("kg",J617,1)-FIND("setting",J617,1)-8)</f>
        <v xml:space="preserve"> 616.20</v>
      </c>
      <c r="Q617" s="75" t="str">
        <f>SUBSTITUTE(T617&amp;N617," ","")</f>
        <v>3.22.6DMF</v>
      </c>
      <c r="R617" s="74">
        <f>VLOOKUP(Q617,MOR投料表!A:L,9,FALSE)</f>
        <v>616.20000000000005</v>
      </c>
      <c r="T617" s="75" t="str">
        <f t="shared" si="152"/>
        <v>3.22.6</v>
      </c>
      <c r="U617" s="74" t="b">
        <f>TEXT(O617,"0.00")=TEXT(R617,"0.00")</f>
        <v>1</v>
      </c>
    </row>
    <row r="618" spans="1:22" ht="45" customHeight="1">
      <c r="A618" s="603"/>
      <c r="B618" s="602"/>
      <c r="C618" s="105" t="s">
        <v>8</v>
      </c>
      <c r="D618" s="74"/>
      <c r="E618" s="102"/>
      <c r="F618" s="105" t="str">
        <f t="shared" si="159"/>
        <v>关</v>
      </c>
      <c r="G618" s="105" t="str">
        <f t="shared" si="158"/>
        <v>关</v>
      </c>
      <c r="H618" s="105" t="str">
        <f t="shared" si="154"/>
        <v>关</v>
      </c>
      <c r="I618" s="84" t="s">
        <v>61</v>
      </c>
      <c r="J618" s="101" t="s">
        <v>26</v>
      </c>
      <c r="K618" s="105" t="str">
        <f t="shared" si="156"/>
        <v>关</v>
      </c>
      <c r="L618" s="105" t="str">
        <f t="shared" si="157"/>
        <v>关</v>
      </c>
      <c r="M618" s="601"/>
      <c r="T618" s="75" t="str">
        <f t="shared" si="152"/>
        <v>3.22.6</v>
      </c>
    </row>
    <row r="619" spans="1:22" ht="45" customHeight="1">
      <c r="A619" s="603"/>
      <c r="B619" s="602"/>
      <c r="C619" s="105" t="s">
        <v>8</v>
      </c>
      <c r="E619" s="102"/>
      <c r="F619" s="105" t="str">
        <f t="shared" si="159"/>
        <v>关</v>
      </c>
      <c r="G619" s="105" t="str">
        <f t="shared" si="158"/>
        <v>关</v>
      </c>
      <c r="H619" s="105" t="str">
        <f t="shared" si="154"/>
        <v>关</v>
      </c>
      <c r="I619" s="84" t="s">
        <v>137</v>
      </c>
      <c r="J619" s="101" t="s">
        <v>138</v>
      </c>
      <c r="K619" s="105" t="str">
        <f t="shared" si="156"/>
        <v>关</v>
      </c>
      <c r="L619" s="105" t="str">
        <f t="shared" si="157"/>
        <v>关</v>
      </c>
      <c r="M619" s="601"/>
      <c r="N619" s="75"/>
      <c r="O619" s="75"/>
      <c r="P619" s="75"/>
      <c r="S619" s="74">
        <f>ROUND(R619*0.03,2)</f>
        <v>0</v>
      </c>
      <c r="T619" s="75" t="str">
        <f t="shared" si="152"/>
        <v>3.22.6</v>
      </c>
      <c r="U619" s="74" t="b">
        <f>TEXT(O619,"0.00")=TEXT(R619,"0.00")</f>
        <v>1</v>
      </c>
      <c r="V619" s="74">
        <f>S619-P619</f>
        <v>0</v>
      </c>
    </row>
    <row r="620" spans="1:22" ht="45" customHeight="1">
      <c r="A620" s="603"/>
      <c r="B620" s="602"/>
      <c r="C620" s="105" t="s">
        <v>8</v>
      </c>
      <c r="E620" s="102"/>
      <c r="F620" s="105" t="str">
        <f t="shared" si="159"/>
        <v>关</v>
      </c>
      <c r="G620" s="105" t="str">
        <f t="shared" si="158"/>
        <v>关</v>
      </c>
      <c r="H620" s="105" t="str">
        <f t="shared" si="154"/>
        <v>关</v>
      </c>
      <c r="I620" s="84" t="s">
        <v>139</v>
      </c>
      <c r="J620" s="101" t="s">
        <v>140</v>
      </c>
      <c r="K620" s="105" t="str">
        <f t="shared" si="156"/>
        <v>关</v>
      </c>
      <c r="L620" s="105" t="str">
        <f t="shared" si="157"/>
        <v>关</v>
      </c>
      <c r="M620" s="601"/>
      <c r="N620" s="75"/>
      <c r="O620" s="75"/>
      <c r="P620" s="75"/>
      <c r="S620" s="74">
        <f>ROUND(R620*0.03,2)</f>
        <v>0</v>
      </c>
      <c r="T620" s="75" t="str">
        <f t="shared" si="152"/>
        <v>3.22.6</v>
      </c>
      <c r="U620" s="74" t="b">
        <f>TEXT(O620,"0.00")=TEXT(R620,"0.00")</f>
        <v>1</v>
      </c>
      <c r="V620" s="74">
        <f>S620-P620</f>
        <v>0</v>
      </c>
    </row>
    <row r="621" spans="1:22" ht="45" customHeight="1">
      <c r="A621" s="603"/>
      <c r="B621" s="602"/>
      <c r="C621" s="105" t="s">
        <v>8</v>
      </c>
      <c r="E621" s="102"/>
      <c r="F621" s="105" t="str">
        <f t="shared" si="159"/>
        <v>关</v>
      </c>
      <c r="G621" s="105" t="str">
        <f t="shared" si="158"/>
        <v>关</v>
      </c>
      <c r="H621" s="105" t="str">
        <f t="shared" si="154"/>
        <v>关</v>
      </c>
      <c r="I621" s="84" t="s">
        <v>141</v>
      </c>
      <c r="J621" s="101" t="s">
        <v>142</v>
      </c>
      <c r="K621" s="105" t="str">
        <f t="shared" si="156"/>
        <v>关</v>
      </c>
      <c r="L621" s="105" t="str">
        <f t="shared" si="157"/>
        <v>关</v>
      </c>
      <c r="M621" s="601"/>
      <c r="N621" s="75"/>
      <c r="O621" s="75"/>
      <c r="T621" s="75" t="str">
        <f t="shared" si="152"/>
        <v>3.22.6</v>
      </c>
      <c r="U621" s="74" t="b">
        <f>TEXT(O621,"0.00")=TEXT(R621,"0.00")</f>
        <v>1</v>
      </c>
    </row>
    <row r="622" spans="1:22" ht="45" customHeight="1">
      <c r="A622" s="603"/>
      <c r="B622" s="602"/>
      <c r="C622" s="105" t="s">
        <v>8</v>
      </c>
      <c r="E622" s="102"/>
      <c r="F622" s="105" t="str">
        <f t="shared" si="159"/>
        <v>关</v>
      </c>
      <c r="G622" s="105" t="str">
        <f t="shared" si="158"/>
        <v>关</v>
      </c>
      <c r="H622" s="105" t="str">
        <f t="shared" si="154"/>
        <v>关</v>
      </c>
      <c r="I622" s="84" t="s">
        <v>143</v>
      </c>
      <c r="J622" s="101" t="s">
        <v>144</v>
      </c>
      <c r="K622" s="105" t="str">
        <f t="shared" si="156"/>
        <v>关</v>
      </c>
      <c r="L622" s="105" t="str">
        <f t="shared" si="157"/>
        <v>关</v>
      </c>
      <c r="M622" s="601"/>
      <c r="N622" s="75"/>
      <c r="T622" s="75" t="str">
        <f t="shared" si="152"/>
        <v>3.22.6</v>
      </c>
    </row>
    <row r="623" spans="1:22" ht="45" customHeight="1">
      <c r="A623" s="603"/>
      <c r="B623" s="602"/>
      <c r="C623" s="105" t="s">
        <v>8</v>
      </c>
      <c r="E623" s="102"/>
      <c r="F623" s="105" t="str">
        <f t="shared" si="159"/>
        <v>关</v>
      </c>
      <c r="G623" s="105" t="str">
        <f t="shared" si="158"/>
        <v>关</v>
      </c>
      <c r="H623" s="105" t="str">
        <f t="shared" si="154"/>
        <v>关</v>
      </c>
      <c r="I623" s="84" t="s">
        <v>145</v>
      </c>
      <c r="J623" s="101" t="s">
        <v>146</v>
      </c>
      <c r="K623" s="105" t="str">
        <f t="shared" si="156"/>
        <v>关</v>
      </c>
      <c r="L623" s="105" t="str">
        <f t="shared" si="157"/>
        <v>关</v>
      </c>
      <c r="M623" s="601"/>
      <c r="N623" s="75"/>
      <c r="T623" s="75" t="str">
        <f t="shared" si="152"/>
        <v>3.22.6</v>
      </c>
    </row>
    <row r="624" spans="1:22" ht="45" customHeight="1">
      <c r="A624" s="603"/>
      <c r="B624" s="602"/>
      <c r="C624" s="105" t="s">
        <v>8</v>
      </c>
      <c r="E624" s="102"/>
      <c r="F624" s="105" t="str">
        <f t="shared" si="159"/>
        <v>关</v>
      </c>
      <c r="G624" s="105" t="str">
        <f t="shared" si="158"/>
        <v>关</v>
      </c>
      <c r="H624" s="105" t="str">
        <f t="shared" si="154"/>
        <v>关</v>
      </c>
      <c r="I624" s="84" t="s">
        <v>147</v>
      </c>
      <c r="J624" s="101" t="s">
        <v>148</v>
      </c>
      <c r="K624" s="105" t="str">
        <f t="shared" si="156"/>
        <v>关</v>
      </c>
      <c r="L624" s="105" t="str">
        <f t="shared" si="157"/>
        <v>关</v>
      </c>
      <c r="M624" s="601"/>
      <c r="T624" s="75" t="str">
        <f t="shared" si="152"/>
        <v>3.22.6</v>
      </c>
    </row>
    <row r="625" spans="1:21" ht="45" customHeight="1">
      <c r="A625" s="603"/>
      <c r="B625" s="602"/>
      <c r="C625" s="105" t="s">
        <v>30</v>
      </c>
      <c r="D625" s="106" t="s">
        <v>31</v>
      </c>
      <c r="E625" s="386" t="s">
        <v>32</v>
      </c>
      <c r="F625" s="105" t="str">
        <f t="shared" si="159"/>
        <v>关</v>
      </c>
      <c r="G625" s="105" t="str">
        <f t="shared" si="158"/>
        <v>关</v>
      </c>
      <c r="H625" s="105" t="str">
        <f t="shared" si="154"/>
        <v>关</v>
      </c>
      <c r="I625" s="106"/>
      <c r="J625" s="101"/>
      <c r="K625" s="105" t="str">
        <f t="shared" si="156"/>
        <v>关</v>
      </c>
      <c r="L625" s="105" t="str">
        <f t="shared" si="157"/>
        <v>关</v>
      </c>
      <c r="M625" s="601"/>
      <c r="T625" s="75" t="str">
        <f t="shared" si="152"/>
        <v>3.22.6</v>
      </c>
    </row>
    <row r="626" spans="1:21" ht="45" customHeight="1">
      <c r="A626" s="603"/>
      <c r="B626" s="602"/>
      <c r="C626" s="105" t="s">
        <v>30</v>
      </c>
      <c r="D626" s="106" t="s">
        <v>33</v>
      </c>
      <c r="E626" s="101" t="s">
        <v>34</v>
      </c>
      <c r="F626" s="105" t="str">
        <f t="shared" si="159"/>
        <v>关</v>
      </c>
      <c r="G626" s="105" t="str">
        <f t="shared" si="158"/>
        <v>关</v>
      </c>
      <c r="H626" s="105" t="str">
        <f t="shared" si="154"/>
        <v>关</v>
      </c>
      <c r="J626" s="101"/>
      <c r="K626" s="105" t="str">
        <f t="shared" si="156"/>
        <v>关</v>
      </c>
      <c r="L626" s="105" t="str">
        <f t="shared" si="157"/>
        <v>关</v>
      </c>
      <c r="M626" s="601"/>
      <c r="N626" s="75"/>
      <c r="O626" s="75"/>
      <c r="T626" s="75" t="str">
        <f t="shared" si="152"/>
        <v>3.22.6</v>
      </c>
      <c r="U626" s="74" t="b">
        <f>TEXT(O626,"0.00")=TEXT(R626,"0.00")</f>
        <v>1</v>
      </c>
    </row>
    <row r="627" spans="1:21" ht="45" customHeight="1">
      <c r="A627" s="603"/>
      <c r="B627" s="602"/>
      <c r="C627" s="105" t="s">
        <v>8</v>
      </c>
      <c r="D627" s="106"/>
      <c r="E627" s="78"/>
      <c r="F627" s="105" t="str">
        <f t="shared" si="159"/>
        <v>关</v>
      </c>
      <c r="G627" s="105" t="str">
        <f t="shared" si="158"/>
        <v>关</v>
      </c>
      <c r="H627" s="105" t="str">
        <f t="shared" si="154"/>
        <v>关</v>
      </c>
      <c r="I627" s="106" t="s">
        <v>54</v>
      </c>
      <c r="J627" s="387" t="s">
        <v>149</v>
      </c>
      <c r="K627" s="105" t="str">
        <f t="shared" si="156"/>
        <v>关</v>
      </c>
      <c r="L627" s="105" t="str">
        <f t="shared" si="157"/>
        <v>关</v>
      </c>
      <c r="M627" s="601"/>
      <c r="T627" s="75" t="str">
        <f t="shared" si="152"/>
        <v>3.22.6</v>
      </c>
    </row>
    <row r="628" spans="1:21" ht="45" customHeight="1">
      <c r="A628" s="603"/>
      <c r="B628" s="602"/>
      <c r="C628" s="105" t="s">
        <v>3</v>
      </c>
      <c r="D628" s="106" t="s">
        <v>35</v>
      </c>
      <c r="E628" s="101" t="s">
        <v>63</v>
      </c>
      <c r="F628" s="105" t="s">
        <v>37</v>
      </c>
      <c r="G628" s="105" t="str">
        <f t="shared" si="158"/>
        <v>关</v>
      </c>
      <c r="H628" s="105" t="str">
        <f t="shared" si="154"/>
        <v>关</v>
      </c>
      <c r="J628" s="101"/>
      <c r="K628" s="105" t="str">
        <f t="shared" si="156"/>
        <v>关</v>
      </c>
      <c r="L628" s="105" t="str">
        <f t="shared" si="157"/>
        <v>关</v>
      </c>
      <c r="M628" s="601"/>
      <c r="T628" s="75" t="str">
        <f t="shared" si="152"/>
        <v>3.22.6</v>
      </c>
    </row>
    <row r="629" spans="1:21" ht="45" customHeight="1">
      <c r="A629" s="603"/>
      <c r="B629" s="602"/>
      <c r="C629" s="105" t="s">
        <v>3</v>
      </c>
      <c r="D629" s="106" t="s">
        <v>38</v>
      </c>
      <c r="E629" s="101" t="s">
        <v>101</v>
      </c>
      <c r="F629" s="105" t="str">
        <f>IFERROR(IF(FIND("开",F628,1),"开","关"),"关")</f>
        <v>开</v>
      </c>
      <c r="G629" s="105" t="s">
        <v>29</v>
      </c>
      <c r="H629" s="105" t="str">
        <f t="shared" si="154"/>
        <v>关</v>
      </c>
      <c r="I629" s="106"/>
      <c r="J629" s="101"/>
      <c r="K629" s="105" t="str">
        <f t="shared" si="156"/>
        <v>关</v>
      </c>
      <c r="L629" s="105" t="str">
        <f t="shared" si="157"/>
        <v>关</v>
      </c>
      <c r="M629" s="601"/>
      <c r="T629" s="75" t="str">
        <f t="shared" si="152"/>
        <v>3.22.6</v>
      </c>
    </row>
    <row r="630" spans="1:21" ht="45" customHeight="1">
      <c r="A630" s="603"/>
      <c r="B630" s="602"/>
      <c r="C630" s="105" t="s">
        <v>3</v>
      </c>
      <c r="D630" s="106" t="s">
        <v>40</v>
      </c>
      <c r="E630" s="101" t="s">
        <v>41</v>
      </c>
      <c r="F630" s="105" t="s">
        <v>42</v>
      </c>
      <c r="G630" s="105" t="str">
        <f t="shared" ref="G630:G635" si="160">IFERROR(IF(FIND("开",G629,1),"开","关"),"关")</f>
        <v>关</v>
      </c>
      <c r="H630" s="105" t="str">
        <f t="shared" si="154"/>
        <v>关</v>
      </c>
      <c r="I630" s="106"/>
      <c r="J630" s="101"/>
      <c r="K630" s="105" t="str">
        <f t="shared" si="156"/>
        <v>关</v>
      </c>
      <c r="L630" s="105" t="str">
        <f t="shared" si="157"/>
        <v>关</v>
      </c>
      <c r="M630" s="601"/>
      <c r="T630" s="75" t="str">
        <f t="shared" si="152"/>
        <v>3.22.6</v>
      </c>
    </row>
    <row r="631" spans="1:21" ht="45" customHeight="1">
      <c r="A631" s="603"/>
      <c r="B631" s="602"/>
      <c r="C631" s="105" t="s">
        <v>3</v>
      </c>
      <c r="D631" s="106" t="s">
        <v>45</v>
      </c>
      <c r="E631" s="388" t="s">
        <v>46</v>
      </c>
      <c r="F631" s="105" t="str">
        <f>IFERROR(IF(FIND("开",F630,1),"开","关"),"关")</f>
        <v>关</v>
      </c>
      <c r="G631" s="105" t="str">
        <f t="shared" si="160"/>
        <v>关</v>
      </c>
      <c r="H631" s="105" t="str">
        <f t="shared" si="154"/>
        <v>关</v>
      </c>
      <c r="I631" s="74"/>
      <c r="J631" s="77"/>
      <c r="K631" s="105" t="str">
        <f t="shared" si="156"/>
        <v>关</v>
      </c>
      <c r="L631" s="105" t="str">
        <f t="shared" si="157"/>
        <v>关</v>
      </c>
      <c r="M631" s="601"/>
      <c r="T631" s="75" t="str">
        <f t="shared" si="152"/>
        <v>3.22.6</v>
      </c>
    </row>
    <row r="632" spans="1:21" ht="45" customHeight="1">
      <c r="A632" s="603" t="s">
        <v>168</v>
      </c>
      <c r="B632" s="602" t="s">
        <v>169</v>
      </c>
      <c r="C632" s="105" t="s">
        <v>3</v>
      </c>
      <c r="D632" s="106" t="s">
        <v>130</v>
      </c>
      <c r="E632" s="389" t="s">
        <v>131</v>
      </c>
      <c r="F632" s="105" t="str">
        <f>IFERROR(IF(FIND("开",F631,1),"开","关"),"关")</f>
        <v>关</v>
      </c>
      <c r="G632" s="105" t="str">
        <f t="shared" si="160"/>
        <v>关</v>
      </c>
      <c r="H632" s="105" t="s">
        <v>42</v>
      </c>
      <c r="I632" s="106"/>
      <c r="J632" s="101"/>
      <c r="K632" s="105" t="str">
        <f t="shared" si="156"/>
        <v>关</v>
      </c>
      <c r="L632" s="105" t="str">
        <f t="shared" si="157"/>
        <v>关</v>
      </c>
      <c r="M632" s="601">
        <v>1</v>
      </c>
      <c r="N632" s="75"/>
      <c r="O632" s="75"/>
      <c r="T632" s="75" t="e">
        <f t="shared" si="152"/>
        <v>#VALUE!</v>
      </c>
      <c r="U632" s="74" t="b">
        <f>TEXT(O632,"0.00")=TEXT(R632,"0.00")</f>
        <v>1</v>
      </c>
    </row>
    <row r="633" spans="1:21" ht="45" customHeight="1">
      <c r="A633" s="603"/>
      <c r="B633" s="602"/>
      <c r="C633" s="105" t="s">
        <v>3</v>
      </c>
      <c r="D633" s="106" t="s">
        <v>171</v>
      </c>
      <c r="E633" s="101" t="s">
        <v>44</v>
      </c>
      <c r="F633" s="105" t="str">
        <f>IFERROR(IF(FIND("开",F632,1),"开","关"),"关")</f>
        <v>关</v>
      </c>
      <c r="G633" s="105" t="str">
        <f t="shared" si="160"/>
        <v>关</v>
      </c>
      <c r="H633" s="105" t="str">
        <f>IFERROR(IF(FIND("开",H632,1),"开","关"),"关")</f>
        <v>关</v>
      </c>
      <c r="J633" s="77"/>
      <c r="K633" s="105" t="str">
        <f t="shared" si="156"/>
        <v>关</v>
      </c>
      <c r="L633" s="105" t="str">
        <f t="shared" si="157"/>
        <v>关</v>
      </c>
      <c r="M633" s="601"/>
      <c r="T633" s="75" t="e">
        <f t="shared" si="152"/>
        <v>#VALUE!</v>
      </c>
    </row>
    <row r="634" spans="1:21" ht="45" customHeight="1">
      <c r="A634" s="603"/>
      <c r="B634" s="602"/>
      <c r="C634" s="105" t="s">
        <v>8</v>
      </c>
      <c r="E634" s="77"/>
      <c r="F634" s="105" t="str">
        <f>IFERROR(IF(FIND("开",F633,1),"开","关"),"关")</f>
        <v>关</v>
      </c>
      <c r="G634" s="105" t="str">
        <f t="shared" si="160"/>
        <v>关</v>
      </c>
      <c r="H634" s="105" t="str">
        <f>IFERROR(IF(FIND("开",H633,1),"开","关"),"关")</f>
        <v>关</v>
      </c>
      <c r="I634" s="106" t="s">
        <v>172</v>
      </c>
      <c r="J634" s="101" t="s">
        <v>126</v>
      </c>
      <c r="K634" s="105" t="str">
        <f t="shared" si="156"/>
        <v>关</v>
      </c>
      <c r="L634" s="105" t="str">
        <f t="shared" si="157"/>
        <v>关</v>
      </c>
      <c r="M634" s="601"/>
      <c r="T634" s="75" t="e">
        <f t="shared" si="152"/>
        <v>#VALUE!</v>
      </c>
    </row>
    <row r="635" spans="1:21" ht="45" customHeight="1">
      <c r="A635" s="89" t="s">
        <v>381</v>
      </c>
      <c r="E635" s="102"/>
      <c r="F635" s="105" t="str">
        <f>IFERROR(IF(FIND("开",F634,1),"开","关"),"关")</f>
        <v>关</v>
      </c>
      <c r="G635" s="105" t="str">
        <f t="shared" si="160"/>
        <v>关</v>
      </c>
      <c r="H635" s="105" t="str">
        <f>IFERROR(IF(FIND("开",H634,1),"开","关"),"关")</f>
        <v>关</v>
      </c>
      <c r="I635" s="106"/>
      <c r="J635" s="101"/>
      <c r="K635" s="105" t="str">
        <f t="shared" si="156"/>
        <v>关</v>
      </c>
      <c r="L635" s="105" t="str">
        <f t="shared" si="157"/>
        <v>关</v>
      </c>
      <c r="T635" s="75" t="str">
        <f t="shared" si="152"/>
        <v>3.23</v>
      </c>
    </row>
    <row r="636" spans="1:21" ht="45" customHeight="1">
      <c r="A636" s="595" t="s">
        <v>382</v>
      </c>
      <c r="B636" s="700" t="s">
        <v>383</v>
      </c>
      <c r="C636" s="105" t="s">
        <v>3</v>
      </c>
      <c r="D636" s="106" t="s">
        <v>52</v>
      </c>
      <c r="E636" s="390" t="s">
        <v>176</v>
      </c>
      <c r="F636" s="105" t="str">
        <f>IFERROR(IF(FIND("开",#REF!,1),"开","关"),"关")</f>
        <v>关</v>
      </c>
      <c r="G636" s="105" t="str">
        <f>IFERROR(IF(FIND("开",#REF!,1),"开","关"),"关")</f>
        <v>关</v>
      </c>
      <c r="H636" s="105" t="s">
        <v>37</v>
      </c>
      <c r="J636" s="101"/>
      <c r="K636" s="105" t="str">
        <f>IFERROR(IF(FIND("开",#REF!,1),"开","关"),"关")</f>
        <v>关</v>
      </c>
      <c r="L636" s="105" t="str">
        <f>IFERROR(IF(FIND("开",#REF!,1),"开","关"),"关")</f>
        <v>关</v>
      </c>
      <c r="M636" s="598">
        <v>1</v>
      </c>
      <c r="N636" s="75"/>
      <c r="O636" s="75"/>
      <c r="Q636" s="75"/>
      <c r="T636" s="75" t="str">
        <f>IF(ISBLANK(A636),#REF!,LEFT(A636,FIND(" ",A636,1)-1))</f>
        <v>3.23.1</v>
      </c>
    </row>
    <row r="637" spans="1:21" ht="45" customHeight="1">
      <c r="A637" s="596"/>
      <c r="B637" s="599"/>
      <c r="C637" s="105" t="s">
        <v>178</v>
      </c>
      <c r="D637" s="106"/>
      <c r="E637" s="101"/>
      <c r="I637" s="84" t="s">
        <v>179</v>
      </c>
      <c r="J637" s="391" t="s">
        <v>149</v>
      </c>
      <c r="M637" s="599"/>
      <c r="N637" s="75"/>
      <c r="O637" s="75"/>
      <c r="Q637" s="75"/>
      <c r="T637" s="75"/>
    </row>
    <row r="638" spans="1:21" ht="45" customHeight="1">
      <c r="A638" s="596"/>
      <c r="B638" s="599"/>
      <c r="C638" s="105" t="s">
        <v>3</v>
      </c>
      <c r="D638" s="106" t="s">
        <v>180</v>
      </c>
      <c r="E638" s="392" t="s">
        <v>181</v>
      </c>
      <c r="F638" s="105" t="str">
        <f>IFERROR(IF(FIND("开",F636,1),"开","关"),"关")</f>
        <v>关</v>
      </c>
      <c r="G638" s="105" t="str">
        <f>IFERROR(IF(FIND("开",G636,1),"开","关"),"关")</f>
        <v>关</v>
      </c>
      <c r="H638" s="105" t="str">
        <f>IFERROR(IF(FIND("开",H636,1),"开","关"),"关")</f>
        <v>开</v>
      </c>
      <c r="J638" s="101"/>
      <c r="K638" s="105" t="str">
        <f>IFERROR(IF(FIND("开",K636,1),"开","关"),"关")</f>
        <v>关</v>
      </c>
      <c r="L638" s="105" t="str">
        <f>IFERROR(IF(FIND("开",L636,1),"开","关"),"关")</f>
        <v>关</v>
      </c>
      <c r="M638" s="599"/>
      <c r="N638" s="75" t="s">
        <v>182</v>
      </c>
      <c r="O638" s="75" t="str">
        <f>MID(E638,FIND("setting",E638,1)+8,FIND("kg",E638,1)-FIND("setting",E638,1)-8)</f>
        <v xml:space="preserve"> 483.60</v>
      </c>
      <c r="Q638" s="75" t="str">
        <f>SUBSTITUTE(T638&amp;N638," ","")</f>
        <v>3.23.120%piperidinesolution</v>
      </c>
      <c r="R638" s="74">
        <f>VLOOKUP(Q638,MOR投料表!A:L,9,FALSE)</f>
        <v>483.6</v>
      </c>
      <c r="T638" s="75" t="str">
        <f>IF(ISBLANK(A638),T636,LEFT(A638,FIND(" ",A638,1)-1))</f>
        <v>3.23.1</v>
      </c>
      <c r="U638" s="74" t="b">
        <f>TEXT(O638,"0.00")=TEXT(R638,"0.00")</f>
        <v>1</v>
      </c>
    </row>
    <row r="639" spans="1:21" ht="45" customHeight="1">
      <c r="A639" s="596"/>
      <c r="B639" s="599"/>
      <c r="C639" s="105" t="s">
        <v>3</v>
      </c>
      <c r="D639" s="106" t="s">
        <v>183</v>
      </c>
      <c r="E639" s="101" t="s">
        <v>184</v>
      </c>
      <c r="F639" s="105" t="str">
        <f>IFERROR(IF(FIND("开",F638,1),"开","关"),"关")</f>
        <v>关</v>
      </c>
      <c r="G639" s="105" t="str">
        <f>IFERROR(IF(FIND("开",G638,1),"开","关"),"关")</f>
        <v>关</v>
      </c>
      <c r="H639" s="105" t="str">
        <f>IFERROR(IF(FIND("开",H638,1),"开","关"),"关")</f>
        <v>开</v>
      </c>
      <c r="J639" s="101"/>
      <c r="K639" s="105" t="str">
        <f t="shared" ref="K639:K664" si="161">IFERROR(IF(FIND("开",K638,1),"开","关"),"关")</f>
        <v>关</v>
      </c>
      <c r="L639" s="105" t="str">
        <f t="shared" ref="L639:L664" si="162">IFERROR(IF(FIND("开",L638,1),"开","关"),"关")</f>
        <v>关</v>
      </c>
      <c r="M639" s="599"/>
      <c r="N639" s="75"/>
      <c r="O639" s="75"/>
      <c r="T639" s="75" t="str">
        <f t="shared" ref="T639:T668" si="163">IF(ISBLANK(A639),T638,LEFT(A639,FIND(" ",A639,1)-1))</f>
        <v>3.23.1</v>
      </c>
    </row>
    <row r="640" spans="1:21" ht="45" customHeight="1">
      <c r="A640" s="596"/>
      <c r="B640" s="599"/>
      <c r="C640" s="105" t="s">
        <v>3</v>
      </c>
      <c r="D640" s="106" t="s">
        <v>35</v>
      </c>
      <c r="E640" s="101" t="s">
        <v>63</v>
      </c>
      <c r="F640" s="105" t="s">
        <v>37</v>
      </c>
      <c r="G640" s="105" t="str">
        <f>IFERROR(IF(FIND("开",G639,1),"开","关"),"关")</f>
        <v>关</v>
      </c>
      <c r="H640" s="105" t="str">
        <f>IFERROR(IF(FIND("开",H639,1),"开","关"),"关")</f>
        <v>开</v>
      </c>
      <c r="J640" s="101"/>
      <c r="K640" s="105" t="str">
        <f t="shared" si="161"/>
        <v>关</v>
      </c>
      <c r="L640" s="105" t="str">
        <f t="shared" si="162"/>
        <v>关</v>
      </c>
      <c r="M640" s="599"/>
      <c r="N640" s="75"/>
      <c r="O640" s="75"/>
      <c r="T640" s="75" t="str">
        <f t="shared" si="163"/>
        <v>3.23.1</v>
      </c>
      <c r="U640" s="74" t="b">
        <f>TEXT(O640,"0.00")=TEXT(R640,"0.00")</f>
        <v>1</v>
      </c>
    </row>
    <row r="641" spans="1:21" ht="45" customHeight="1">
      <c r="A641" s="596"/>
      <c r="B641" s="599"/>
      <c r="C641" s="105" t="s">
        <v>3</v>
      </c>
      <c r="D641" s="106" t="s">
        <v>64</v>
      </c>
      <c r="E641" s="101" t="s">
        <v>65</v>
      </c>
      <c r="F641" s="105" t="str">
        <f>IFERROR(IF(FIND("开",F640,1),"开","关"),"关")</f>
        <v>开</v>
      </c>
      <c r="G641" s="105" t="s">
        <v>37</v>
      </c>
      <c r="H641" s="105" t="str">
        <f t="shared" ref="H641:H665" si="164">IFERROR(IF(FIND("开",H640,1),"开","关"),"关")</f>
        <v>开</v>
      </c>
      <c r="J641" s="101"/>
      <c r="K641" s="105" t="str">
        <f t="shared" si="161"/>
        <v>关</v>
      </c>
      <c r="L641" s="105" t="str">
        <f t="shared" si="162"/>
        <v>关</v>
      </c>
      <c r="M641" s="599"/>
      <c r="T641" s="75" t="str">
        <f t="shared" si="163"/>
        <v>3.23.1</v>
      </c>
    </row>
    <row r="642" spans="1:21" ht="45" customHeight="1">
      <c r="A642" s="596"/>
      <c r="B642" s="599"/>
      <c r="C642" s="105" t="s">
        <v>3</v>
      </c>
      <c r="D642" s="106" t="s">
        <v>66</v>
      </c>
      <c r="E642" s="393" t="s">
        <v>67</v>
      </c>
      <c r="F642" s="105" t="str">
        <f>IFERROR(IF(FIND("开",F641,1),"开","关"),"关")</f>
        <v>开</v>
      </c>
      <c r="G642" s="105" t="str">
        <f>IFERROR(IF(FIND("开",G641,1),"开","关"),"关")</f>
        <v>开</v>
      </c>
      <c r="H642" s="105" t="str">
        <f t="shared" si="164"/>
        <v>开</v>
      </c>
      <c r="J642" s="101"/>
      <c r="K642" s="105" t="str">
        <f t="shared" si="161"/>
        <v>关</v>
      </c>
      <c r="L642" s="105" t="str">
        <f t="shared" si="162"/>
        <v>关</v>
      </c>
      <c r="M642" s="599"/>
      <c r="T642" s="75" t="str">
        <f t="shared" si="163"/>
        <v>3.23.1</v>
      </c>
    </row>
    <row r="643" spans="1:21" ht="45" customHeight="1">
      <c r="A643" s="596"/>
      <c r="B643" s="599"/>
      <c r="C643" s="105" t="s">
        <v>3</v>
      </c>
      <c r="D643" s="106" t="s">
        <v>68</v>
      </c>
      <c r="E643" s="394" t="s">
        <v>185</v>
      </c>
      <c r="F643" s="105" t="str">
        <f>IFERROR(IF(FIND("开",F642,1),"开","关"),"关")</f>
        <v>开</v>
      </c>
      <c r="G643" s="105" t="str">
        <f>IFERROR(IF(FIND("开",G642,1),"开","关"),"关")</f>
        <v>开</v>
      </c>
      <c r="H643" s="105" t="str">
        <f t="shared" si="164"/>
        <v>开</v>
      </c>
      <c r="J643" s="101"/>
      <c r="K643" s="105" t="str">
        <f t="shared" si="161"/>
        <v>关</v>
      </c>
      <c r="L643" s="105" t="str">
        <f t="shared" si="162"/>
        <v>关</v>
      </c>
      <c r="M643" s="599"/>
      <c r="T643" s="75" t="str">
        <f t="shared" si="163"/>
        <v>3.23.1</v>
      </c>
    </row>
    <row r="644" spans="1:21" ht="45" customHeight="1">
      <c r="A644" s="596"/>
      <c r="B644" s="599"/>
      <c r="C644" s="105" t="s">
        <v>3</v>
      </c>
      <c r="D644" s="106" t="s">
        <v>70</v>
      </c>
      <c r="E644" s="101" t="s">
        <v>71</v>
      </c>
      <c r="F644" s="105" t="str">
        <f>IFERROR(IF(FIND("开",F643,1),"开","关"),"关")</f>
        <v>开</v>
      </c>
      <c r="G644" s="105" t="s">
        <v>42</v>
      </c>
      <c r="H644" s="105" t="str">
        <f t="shared" si="164"/>
        <v>开</v>
      </c>
      <c r="J644" s="101"/>
      <c r="K644" s="105" t="str">
        <f t="shared" si="161"/>
        <v>关</v>
      </c>
      <c r="L644" s="105" t="str">
        <f t="shared" si="162"/>
        <v>关</v>
      </c>
      <c r="M644" s="599"/>
      <c r="T644" s="75" t="str">
        <f t="shared" si="163"/>
        <v>3.23.1</v>
      </c>
    </row>
    <row r="645" spans="1:21" ht="45" customHeight="1">
      <c r="A645" s="596"/>
      <c r="B645" s="599"/>
      <c r="C645" s="105" t="s">
        <v>3</v>
      </c>
      <c r="D645" s="106" t="s">
        <v>40</v>
      </c>
      <c r="E645" s="101" t="s">
        <v>41</v>
      </c>
      <c r="F645" s="105" t="s">
        <v>42</v>
      </c>
      <c r="G645" s="105" t="str">
        <f>IFERROR(IF(FIND("开",G644,1),"开","关"),"关")</f>
        <v>关</v>
      </c>
      <c r="H645" s="105" t="str">
        <f t="shared" si="164"/>
        <v>开</v>
      </c>
      <c r="J645" s="101"/>
      <c r="K645" s="105" t="str">
        <f t="shared" si="161"/>
        <v>关</v>
      </c>
      <c r="L645" s="105" t="str">
        <f t="shared" si="162"/>
        <v>关</v>
      </c>
      <c r="M645" s="599"/>
      <c r="T645" s="75" t="str">
        <f t="shared" si="163"/>
        <v>3.23.1</v>
      </c>
    </row>
    <row r="646" spans="1:21" ht="45" customHeight="1">
      <c r="A646" s="597"/>
      <c r="B646" s="600"/>
      <c r="C646" s="105" t="s">
        <v>3</v>
      </c>
      <c r="D646" s="106" t="s">
        <v>45</v>
      </c>
      <c r="E646" s="395" t="s">
        <v>46</v>
      </c>
      <c r="F646" s="105" t="str">
        <f>IFERROR(IF(FIND("开",F645,1),"开","关"),"关")</f>
        <v>关</v>
      </c>
      <c r="G646" s="105" t="str">
        <f>IFERROR(IF(FIND("开",G645,1),"开","关"),"关")</f>
        <v>关</v>
      </c>
      <c r="H646" s="105" t="str">
        <f t="shared" si="164"/>
        <v>开</v>
      </c>
      <c r="J646" s="101"/>
      <c r="K646" s="105" t="str">
        <f t="shared" si="161"/>
        <v>关</v>
      </c>
      <c r="L646" s="105" t="str">
        <f t="shared" si="162"/>
        <v>关</v>
      </c>
      <c r="M646" s="600"/>
      <c r="N646" s="75"/>
      <c r="O646" s="75"/>
      <c r="T646" s="75" t="str">
        <f t="shared" si="163"/>
        <v>3.23.1</v>
      </c>
      <c r="U646" s="74" t="b">
        <f>TEXT(O646,"0.00")=TEXT(R646,"0.00")</f>
        <v>1</v>
      </c>
    </row>
    <row r="647" spans="1:21" ht="45" customHeight="1">
      <c r="A647" s="603" t="s">
        <v>385</v>
      </c>
      <c r="B647" s="650" t="s">
        <v>386</v>
      </c>
      <c r="C647" s="105" t="s">
        <v>3</v>
      </c>
      <c r="D647" s="106" t="s">
        <v>188</v>
      </c>
      <c r="E647" s="101" t="s">
        <v>363</v>
      </c>
      <c r="F647" s="105" t="str">
        <f>IFERROR(IF(FIND("开",F646,1),"开","关"),"关")</f>
        <v>关</v>
      </c>
      <c r="G647" s="105" t="str">
        <f>IFERROR(IF(FIND("开",G646,1),"开","关"),"关")</f>
        <v>关</v>
      </c>
      <c r="H647" s="105" t="str">
        <f t="shared" si="164"/>
        <v>开</v>
      </c>
      <c r="J647" s="101"/>
      <c r="K647" s="105" t="str">
        <f t="shared" si="161"/>
        <v>关</v>
      </c>
      <c r="L647" s="105" t="str">
        <f t="shared" si="162"/>
        <v>关</v>
      </c>
      <c r="M647" s="601">
        <v>4</v>
      </c>
      <c r="N647" s="75" t="str">
        <f>MID(E647,FIND("线路-》",E647,1)+4,FIND("-&gt;",E647,1)-13)</f>
        <v>IPAC</v>
      </c>
      <c r="O647" s="75" t="str">
        <f>MID(E647,FIND("setting",E647,1)+8,FIND("kg",E647,1)-FIND("setting",E647,1)-8)</f>
        <v xml:space="preserve"> 567.45</v>
      </c>
      <c r="Q647" s="75" t="str">
        <f>SUBSTITUTE(T647&amp;N647," ","")</f>
        <v>3.23.4IPAC</v>
      </c>
      <c r="R647" s="74">
        <f>VLOOKUP(Q647,MOR投料表!A:L,9,FALSE)</f>
        <v>567.45000000000005</v>
      </c>
      <c r="T647" s="75" t="str">
        <f t="shared" si="163"/>
        <v>3.23.4</v>
      </c>
      <c r="U647" s="74" t="b">
        <f>TEXT(O647,"0.00")=TEXT(R647,"0.00")</f>
        <v>1</v>
      </c>
    </row>
    <row r="648" spans="1:21" ht="45" customHeight="1">
      <c r="A648" s="603"/>
      <c r="B648" s="602"/>
      <c r="C648" s="105" t="s">
        <v>3</v>
      </c>
      <c r="D648" s="106" t="s">
        <v>191</v>
      </c>
      <c r="E648" s="101" t="s">
        <v>192</v>
      </c>
      <c r="F648" s="105" t="str">
        <f>IFERROR(IF(FIND("开",F647,1),"开","关"),"关")</f>
        <v>关</v>
      </c>
      <c r="G648" s="105" t="str">
        <f>IFERROR(IF(FIND("开",G647,1),"开","关"),"关")</f>
        <v>关</v>
      </c>
      <c r="H648" s="105" t="str">
        <f t="shared" si="164"/>
        <v>开</v>
      </c>
      <c r="J648" s="101"/>
      <c r="K648" s="105" t="str">
        <f t="shared" si="161"/>
        <v>关</v>
      </c>
      <c r="L648" s="105" t="str">
        <f t="shared" si="162"/>
        <v>关</v>
      </c>
      <c r="M648" s="601"/>
      <c r="T648" s="75" t="str">
        <f t="shared" si="163"/>
        <v>3.23.4</v>
      </c>
    </row>
    <row r="649" spans="1:21" ht="45" customHeight="1">
      <c r="A649" s="603"/>
      <c r="B649" s="602"/>
      <c r="C649" s="105" t="s">
        <v>3</v>
      </c>
      <c r="D649" s="106" t="s">
        <v>35</v>
      </c>
      <c r="E649" s="101" t="s">
        <v>63</v>
      </c>
      <c r="F649" s="105" t="s">
        <v>37</v>
      </c>
      <c r="G649" s="105" t="str">
        <f>IFERROR(IF(FIND("开",G648,1),"开","关"),"关")</f>
        <v>关</v>
      </c>
      <c r="H649" s="105" t="str">
        <f t="shared" si="164"/>
        <v>开</v>
      </c>
      <c r="J649" s="101"/>
      <c r="K649" s="105" t="str">
        <f t="shared" si="161"/>
        <v>关</v>
      </c>
      <c r="L649" s="105" t="str">
        <f t="shared" si="162"/>
        <v>关</v>
      </c>
      <c r="M649" s="601"/>
      <c r="T649" s="75" t="str">
        <f t="shared" si="163"/>
        <v>3.23.4</v>
      </c>
    </row>
    <row r="650" spans="1:21" ht="45" customHeight="1">
      <c r="A650" s="603"/>
      <c r="B650" s="602"/>
      <c r="C650" s="105" t="s">
        <v>3</v>
      </c>
      <c r="D650" s="106" t="s">
        <v>38</v>
      </c>
      <c r="E650" s="101" t="s">
        <v>101</v>
      </c>
      <c r="F650" s="105" t="str">
        <f>IFERROR(IF(FIND("开",F649,1),"开","关"),"关")</f>
        <v>开</v>
      </c>
      <c r="G650" s="105" t="s">
        <v>29</v>
      </c>
      <c r="H650" s="105" t="str">
        <f t="shared" si="164"/>
        <v>开</v>
      </c>
      <c r="J650" s="101"/>
      <c r="K650" s="105" t="str">
        <f t="shared" si="161"/>
        <v>关</v>
      </c>
      <c r="L650" s="105" t="str">
        <f t="shared" si="162"/>
        <v>关</v>
      </c>
      <c r="M650" s="601"/>
      <c r="T650" s="75" t="str">
        <f t="shared" si="163"/>
        <v>3.23.4</v>
      </c>
    </row>
    <row r="651" spans="1:21" ht="45" customHeight="1">
      <c r="A651" s="603"/>
      <c r="B651" s="602"/>
      <c r="C651" s="105" t="s">
        <v>3</v>
      </c>
      <c r="D651" s="106" t="s">
        <v>40</v>
      </c>
      <c r="E651" s="101" t="s">
        <v>41</v>
      </c>
      <c r="F651" s="105" t="s">
        <v>42</v>
      </c>
      <c r="G651" s="105" t="str">
        <f>IFERROR(IF(FIND("开",G650,1),"开","关"),"关")</f>
        <v>关</v>
      </c>
      <c r="H651" s="105" t="str">
        <f t="shared" si="164"/>
        <v>开</v>
      </c>
      <c r="J651" s="101"/>
      <c r="K651" s="105" t="str">
        <f t="shared" si="161"/>
        <v>关</v>
      </c>
      <c r="L651" s="105" t="str">
        <f t="shared" si="162"/>
        <v>关</v>
      </c>
      <c r="M651" s="601"/>
      <c r="T651" s="75" t="str">
        <f t="shared" si="163"/>
        <v>3.23.4</v>
      </c>
    </row>
    <row r="652" spans="1:21" ht="45" customHeight="1">
      <c r="A652" s="603"/>
      <c r="B652" s="602"/>
      <c r="C652" s="105" t="s">
        <v>3</v>
      </c>
      <c r="D652" s="106" t="s">
        <v>193</v>
      </c>
      <c r="E652" s="396" t="s">
        <v>194</v>
      </c>
      <c r="F652" s="105" t="str">
        <f>IFERROR(IF(FIND("开",F651,1),"开","关"),"关")</f>
        <v>关</v>
      </c>
      <c r="G652" s="105" t="str">
        <f>IFERROR(IF(FIND("开",G651,1),"开","关"),"关")</f>
        <v>关</v>
      </c>
      <c r="H652" s="105" t="str">
        <f t="shared" si="164"/>
        <v>开</v>
      </c>
      <c r="J652" s="101"/>
      <c r="K652" s="105" t="str">
        <f t="shared" si="161"/>
        <v>关</v>
      </c>
      <c r="L652" s="105" t="str">
        <f t="shared" si="162"/>
        <v>关</v>
      </c>
      <c r="M652" s="601"/>
      <c r="T652" s="75" t="str">
        <f t="shared" si="163"/>
        <v>3.23.4</v>
      </c>
    </row>
    <row r="653" spans="1:21" ht="45" customHeight="1">
      <c r="A653" s="595" t="s">
        <v>388</v>
      </c>
      <c r="B653" s="651" t="s">
        <v>366</v>
      </c>
      <c r="C653" s="105" t="s">
        <v>3</v>
      </c>
      <c r="D653" s="106" t="s">
        <v>58</v>
      </c>
      <c r="E653" s="101" t="s">
        <v>367</v>
      </c>
      <c r="F653" s="105" t="str">
        <f>IFERROR(IF(FIND("开",F652,1),"开","关"),"关")</f>
        <v>关</v>
      </c>
      <c r="G653" s="105" t="str">
        <f>IFERROR(IF(FIND("开",G652,1),"开","关"),"关")</f>
        <v>关</v>
      </c>
      <c r="H653" s="105" t="str">
        <f t="shared" si="164"/>
        <v>开</v>
      </c>
      <c r="J653" s="101"/>
      <c r="K653" s="105" t="str">
        <f t="shared" si="161"/>
        <v>关</v>
      </c>
      <c r="L653" s="105" t="str">
        <f t="shared" si="162"/>
        <v>关</v>
      </c>
      <c r="M653" s="601">
        <v>1</v>
      </c>
      <c r="N653" s="75" t="s">
        <v>24</v>
      </c>
      <c r="O653" s="75" t="str">
        <f>MID(E653,FIND("setting",E653,1)+8,FIND("kg",E653,1)-FIND("setting",E653,1)-8)</f>
        <v xml:space="preserve"> 616.20</v>
      </c>
      <c r="Q653" s="75" t="str">
        <f>SUBSTITUTE(T653&amp;N653," ","")</f>
        <v>3.23.5DMF</v>
      </c>
      <c r="R653" s="74">
        <f>VLOOKUP(Q653,MOR投料表!A:L,9,FALSE)</f>
        <v>616.20000000000005</v>
      </c>
      <c r="T653" s="75" t="str">
        <f t="shared" si="163"/>
        <v>3.23.5</v>
      </c>
      <c r="U653" s="74" t="b">
        <f>TEXT(O653,"0.00")=TEXT(R653,"0.00")</f>
        <v>1</v>
      </c>
    </row>
    <row r="654" spans="1:21" ht="45" customHeight="1">
      <c r="A654" s="605"/>
      <c r="B654" s="602"/>
      <c r="C654" s="105" t="s">
        <v>3</v>
      </c>
      <c r="D654" s="106" t="s">
        <v>61</v>
      </c>
      <c r="E654" s="101" t="s">
        <v>62</v>
      </c>
      <c r="F654" s="105" t="str">
        <f>IFERROR(IF(FIND("开",F653,1),"开","关"),"关")</f>
        <v>关</v>
      </c>
      <c r="G654" s="105" t="str">
        <f>IFERROR(IF(FIND("开",G653,1),"开","关"),"关")</f>
        <v>关</v>
      </c>
      <c r="H654" s="105" t="str">
        <f t="shared" si="164"/>
        <v>开</v>
      </c>
      <c r="J654" s="101"/>
      <c r="K654" s="105" t="str">
        <f t="shared" si="161"/>
        <v>关</v>
      </c>
      <c r="L654" s="105" t="str">
        <f t="shared" si="162"/>
        <v>关</v>
      </c>
      <c r="M654" s="601"/>
      <c r="T654" s="75" t="str">
        <f t="shared" si="163"/>
        <v>3.23.5</v>
      </c>
    </row>
    <row r="655" spans="1:21" ht="45" customHeight="1">
      <c r="A655" s="605"/>
      <c r="B655" s="602"/>
      <c r="C655" s="105" t="s">
        <v>3</v>
      </c>
      <c r="D655" s="106" t="s">
        <v>35</v>
      </c>
      <c r="E655" s="101" t="s">
        <v>63</v>
      </c>
      <c r="F655" s="105" t="s">
        <v>37</v>
      </c>
      <c r="G655" s="105" t="str">
        <f>IFERROR(IF(FIND("开",G654,1),"开","关"),"关")</f>
        <v>关</v>
      </c>
      <c r="H655" s="105" t="str">
        <f t="shared" si="164"/>
        <v>开</v>
      </c>
      <c r="J655" s="101"/>
      <c r="K655" s="105" t="str">
        <f t="shared" si="161"/>
        <v>关</v>
      </c>
      <c r="L655" s="105" t="str">
        <f t="shared" si="162"/>
        <v>关</v>
      </c>
      <c r="M655" s="601"/>
      <c r="T655" s="75" t="str">
        <f t="shared" si="163"/>
        <v>3.23.5</v>
      </c>
    </row>
    <row r="656" spans="1:21" ht="45" customHeight="1">
      <c r="A656" s="605"/>
      <c r="B656" s="602"/>
      <c r="C656" s="105" t="s">
        <v>3</v>
      </c>
      <c r="D656" s="106" t="s">
        <v>38</v>
      </c>
      <c r="E656" s="101" t="s">
        <v>167</v>
      </c>
      <c r="F656" s="105" t="str">
        <f>IFERROR(IF(FIND("开",F655,1),"开","关"),"关")</f>
        <v>开</v>
      </c>
      <c r="G656" s="105" t="s">
        <v>29</v>
      </c>
      <c r="H656" s="105" t="str">
        <f t="shared" si="164"/>
        <v>开</v>
      </c>
      <c r="J656" s="101"/>
      <c r="K656" s="105" t="str">
        <f t="shared" si="161"/>
        <v>关</v>
      </c>
      <c r="L656" s="105" t="str">
        <f t="shared" si="162"/>
        <v>关</v>
      </c>
      <c r="M656" s="601"/>
      <c r="T656" s="75" t="str">
        <f t="shared" si="163"/>
        <v>3.23.5</v>
      </c>
    </row>
    <row r="657" spans="1:21" ht="45" customHeight="1">
      <c r="A657" s="605"/>
      <c r="B657" s="602"/>
      <c r="C657" s="105" t="s">
        <v>3</v>
      </c>
      <c r="D657" s="106" t="s">
        <v>40</v>
      </c>
      <c r="E657" s="101" t="s">
        <v>41</v>
      </c>
      <c r="F657" s="105" t="s">
        <v>42</v>
      </c>
      <c r="G657" s="105" t="str">
        <f>IFERROR(IF(FIND("开",G656,1),"开","关"),"关")</f>
        <v>关</v>
      </c>
      <c r="H657" s="105" t="str">
        <f t="shared" si="164"/>
        <v>开</v>
      </c>
      <c r="J657" s="101"/>
      <c r="K657" s="105" t="str">
        <f t="shared" si="161"/>
        <v>关</v>
      </c>
      <c r="L657" s="105" t="str">
        <f t="shared" si="162"/>
        <v>关</v>
      </c>
      <c r="M657" s="601"/>
      <c r="T657" s="75" t="str">
        <f t="shared" si="163"/>
        <v>3.23.5</v>
      </c>
    </row>
    <row r="658" spans="1:21" ht="45" customHeight="1">
      <c r="A658" s="606"/>
      <c r="B658" s="602"/>
      <c r="C658" s="105" t="s">
        <v>3</v>
      </c>
      <c r="D658" s="106" t="s">
        <v>198</v>
      </c>
      <c r="E658" s="397" t="s">
        <v>194</v>
      </c>
      <c r="F658" s="105" t="str">
        <f>IFERROR(IF(FIND("开",F657,1),"开","关"),"关")</f>
        <v>关</v>
      </c>
      <c r="G658" s="105" t="str">
        <f>IFERROR(IF(FIND("开",G657,1),"开","关"),"关")</f>
        <v>关</v>
      </c>
      <c r="H658" s="105" t="str">
        <f t="shared" si="164"/>
        <v>开</v>
      </c>
      <c r="J658" s="101"/>
      <c r="K658" s="105" t="str">
        <f t="shared" si="161"/>
        <v>关</v>
      </c>
      <c r="L658" s="105" t="str">
        <f t="shared" si="162"/>
        <v>关</v>
      </c>
      <c r="M658" s="601"/>
      <c r="T658" s="75" t="str">
        <f t="shared" si="163"/>
        <v>3.23.5</v>
      </c>
    </row>
    <row r="659" spans="1:21" ht="45" customHeight="1">
      <c r="A659" s="595" t="s">
        <v>390</v>
      </c>
      <c r="B659" s="652" t="s">
        <v>366</v>
      </c>
      <c r="C659" s="105" t="s">
        <v>3</v>
      </c>
      <c r="D659" s="106" t="s">
        <v>58</v>
      </c>
      <c r="E659" s="101" t="s">
        <v>367</v>
      </c>
      <c r="F659" s="105" t="str">
        <f>IFERROR(IF(FIND("开",F658,1),"开","关"),"关")</f>
        <v>关</v>
      </c>
      <c r="G659" s="105" t="str">
        <f>IFERROR(IF(FIND("开",G658,1),"开","关"),"关")</f>
        <v>关</v>
      </c>
      <c r="H659" s="105" t="str">
        <f t="shared" si="164"/>
        <v>开</v>
      </c>
      <c r="J659" s="101"/>
      <c r="K659" s="105" t="str">
        <f t="shared" si="161"/>
        <v>关</v>
      </c>
      <c r="L659" s="105" t="str">
        <f t="shared" si="162"/>
        <v>关</v>
      </c>
      <c r="M659" s="601">
        <v>1</v>
      </c>
      <c r="N659" s="75" t="s">
        <v>24</v>
      </c>
      <c r="O659" s="75" t="str">
        <f>MID(E659,FIND("setting",E659,1)+8,FIND("kg",E659,1)-FIND("setting",E659,1)-8)</f>
        <v xml:space="preserve"> 616.20</v>
      </c>
      <c r="Q659" s="75" t="str">
        <f>SUBSTITUTE(T659&amp;N659," ","")</f>
        <v>3.23.7DMF</v>
      </c>
      <c r="R659" s="74">
        <f>VLOOKUP(Q659,MOR投料表!A:L,9,FALSE)</f>
        <v>616.20000000000005</v>
      </c>
      <c r="T659" s="75" t="str">
        <f t="shared" si="163"/>
        <v>3.23.7</v>
      </c>
      <c r="U659" s="74" t="b">
        <f>TEXT(O659,"0.00")=TEXT(R659,"0.00")</f>
        <v>1</v>
      </c>
    </row>
    <row r="660" spans="1:21" ht="45" customHeight="1">
      <c r="A660" s="605"/>
      <c r="B660" s="602"/>
      <c r="C660" s="105" t="s">
        <v>3</v>
      </c>
      <c r="D660" s="106" t="s">
        <v>61</v>
      </c>
      <c r="E660" s="101" t="s">
        <v>62</v>
      </c>
      <c r="F660" s="105" t="str">
        <f>IFERROR(IF(FIND("开",F659,1),"开","关"),"关")</f>
        <v>关</v>
      </c>
      <c r="G660" s="105" t="str">
        <f>IFERROR(IF(FIND("开",G659,1),"开","关"),"关")</f>
        <v>关</v>
      </c>
      <c r="H660" s="105" t="str">
        <f t="shared" si="164"/>
        <v>开</v>
      </c>
      <c r="J660" s="101"/>
      <c r="K660" s="105" t="str">
        <f t="shared" si="161"/>
        <v>关</v>
      </c>
      <c r="L660" s="105" t="str">
        <f t="shared" si="162"/>
        <v>关</v>
      </c>
      <c r="M660" s="601"/>
      <c r="T660" s="75" t="str">
        <f t="shared" si="163"/>
        <v>3.23.7</v>
      </c>
    </row>
    <row r="661" spans="1:21" ht="45" customHeight="1">
      <c r="A661" s="605"/>
      <c r="B661" s="602"/>
      <c r="C661" s="105" t="s">
        <v>3</v>
      </c>
      <c r="D661" s="106" t="s">
        <v>35</v>
      </c>
      <c r="E661" s="101" t="s">
        <v>63</v>
      </c>
      <c r="F661" s="105" t="s">
        <v>37</v>
      </c>
      <c r="G661" s="105" t="str">
        <f>IFERROR(IF(FIND("开",G660,1),"开","关"),"关")</f>
        <v>关</v>
      </c>
      <c r="H661" s="105" t="str">
        <f t="shared" si="164"/>
        <v>开</v>
      </c>
      <c r="J661" s="101"/>
      <c r="K661" s="105" t="str">
        <f t="shared" si="161"/>
        <v>关</v>
      </c>
      <c r="L661" s="105" t="str">
        <f t="shared" si="162"/>
        <v>关</v>
      </c>
      <c r="M661" s="601"/>
      <c r="T661" s="75" t="str">
        <f t="shared" si="163"/>
        <v>3.23.7</v>
      </c>
    </row>
    <row r="662" spans="1:21" ht="45" customHeight="1">
      <c r="A662" s="605"/>
      <c r="B662" s="602"/>
      <c r="C662" s="105" t="s">
        <v>3</v>
      </c>
      <c r="D662" s="106" t="s">
        <v>38</v>
      </c>
      <c r="E662" s="101" t="s">
        <v>167</v>
      </c>
      <c r="F662" s="105" t="str">
        <f>IFERROR(IF(FIND("开",F661,1),"开","关"),"关")</f>
        <v>开</v>
      </c>
      <c r="G662" s="105" t="s">
        <v>29</v>
      </c>
      <c r="H662" s="105" t="str">
        <f t="shared" si="164"/>
        <v>开</v>
      </c>
      <c r="J662" s="101"/>
      <c r="K662" s="105" t="str">
        <f t="shared" si="161"/>
        <v>关</v>
      </c>
      <c r="L662" s="105" t="str">
        <f t="shared" si="162"/>
        <v>关</v>
      </c>
      <c r="M662" s="601"/>
      <c r="T662" s="75" t="str">
        <f t="shared" si="163"/>
        <v>3.23.7</v>
      </c>
    </row>
    <row r="663" spans="1:21" ht="45" customHeight="1">
      <c r="A663" s="605"/>
      <c r="B663" s="602"/>
      <c r="C663" s="105" t="s">
        <v>3</v>
      </c>
      <c r="D663" s="106" t="s">
        <v>40</v>
      </c>
      <c r="E663" s="101" t="s">
        <v>41</v>
      </c>
      <c r="F663" s="105" t="s">
        <v>42</v>
      </c>
      <c r="G663" s="105" t="str">
        <f>IFERROR(IF(FIND("开",G662,1),"开","关"),"关")</f>
        <v>关</v>
      </c>
      <c r="H663" s="105" t="str">
        <f t="shared" si="164"/>
        <v>开</v>
      </c>
      <c r="J663" s="101"/>
      <c r="K663" s="105" t="str">
        <f t="shared" si="161"/>
        <v>关</v>
      </c>
      <c r="L663" s="105" t="str">
        <f t="shared" si="162"/>
        <v>关</v>
      </c>
      <c r="M663" s="601"/>
      <c r="T663" s="75" t="str">
        <f t="shared" si="163"/>
        <v>3.23.7</v>
      </c>
    </row>
    <row r="664" spans="1:21" ht="45" customHeight="1">
      <c r="A664" s="606"/>
      <c r="B664" s="602"/>
      <c r="C664" s="105" t="s">
        <v>3</v>
      </c>
      <c r="D664" s="106" t="s">
        <v>45</v>
      </c>
      <c r="E664" s="398" t="s">
        <v>46</v>
      </c>
      <c r="F664" s="105" t="str">
        <f>IFERROR(IF(FIND("开",F663,1),"开","关"),"关")</f>
        <v>关</v>
      </c>
      <c r="G664" s="105" t="str">
        <f>IFERROR(IF(FIND("开",G663,1),"开","关"),"关")</f>
        <v>关</v>
      </c>
      <c r="H664" s="105" t="str">
        <f t="shared" si="164"/>
        <v>开</v>
      </c>
      <c r="J664" s="101"/>
      <c r="K664" s="105" t="str">
        <f t="shared" si="161"/>
        <v>关</v>
      </c>
      <c r="L664" s="105" t="str">
        <f t="shared" si="162"/>
        <v>关</v>
      </c>
      <c r="M664" s="601"/>
      <c r="T664" s="75" t="str">
        <f t="shared" si="163"/>
        <v>3.23.7</v>
      </c>
    </row>
    <row r="665" spans="1:21" ht="45" customHeight="1">
      <c r="A665" s="595" t="s">
        <v>392</v>
      </c>
      <c r="B665" s="682" t="s">
        <v>393</v>
      </c>
      <c r="C665" s="105" t="s">
        <v>8</v>
      </c>
      <c r="D665" s="106"/>
      <c r="E665" s="101"/>
      <c r="F665" s="105" t="str">
        <f>IFERROR(IF(FIND("开",F664,1),"开","关"),"关")</f>
        <v>关</v>
      </c>
      <c r="G665" s="105" t="str">
        <f>IFERROR(IF(FIND("开",G664,1),"开","关"),"关")</f>
        <v>关</v>
      </c>
      <c r="H665" s="105" t="str">
        <f t="shared" si="164"/>
        <v>开</v>
      </c>
      <c r="I665" s="84" t="s">
        <v>89</v>
      </c>
      <c r="J665" s="399" t="s">
        <v>204</v>
      </c>
      <c r="K665" s="105" t="str">
        <f>IFERROR(IF(FIND("开",K664,1),"开","关"),"关")</f>
        <v>关</v>
      </c>
      <c r="L665" s="105" t="s">
        <v>37</v>
      </c>
      <c r="M665" s="598">
        <v>1</v>
      </c>
      <c r="T665" s="75" t="str">
        <f t="shared" si="163"/>
        <v>3.24.1</v>
      </c>
    </row>
    <row r="666" spans="1:21" ht="45" customHeight="1">
      <c r="A666" s="634"/>
      <c r="B666" s="634"/>
      <c r="C666" s="105" t="s">
        <v>8</v>
      </c>
      <c r="E666" s="77"/>
      <c r="F666" s="105" t="str">
        <f>IFERROR(IF(FIND("开",#REF!,1),"开","关"),"关")</f>
        <v>关</v>
      </c>
      <c r="G666" s="105" t="str">
        <f>IFERROR(IF(FIND("开",#REF!,1),"开","关"),"关")</f>
        <v>关</v>
      </c>
      <c r="H666" s="105" t="str">
        <f>IFERROR(IF(FIND("开",#REF!,1),"开","关"),"关")</f>
        <v>关</v>
      </c>
      <c r="I666" s="106" t="s">
        <v>77</v>
      </c>
      <c r="J666" s="400" t="s">
        <v>23</v>
      </c>
      <c r="K666" s="105" t="str">
        <f>IFERROR(IF(FIND("开",#REF!,1),"开","关"),"关")</f>
        <v>关</v>
      </c>
      <c r="L666" s="105" t="str">
        <f>IFERROR(IF(FIND("开",#REF!,1),"开","关"),"关")</f>
        <v>关</v>
      </c>
      <c r="M666" s="634"/>
      <c r="N666" s="75" t="s">
        <v>24</v>
      </c>
      <c r="O666" s="75" t="str">
        <f>MID(J666,FIND("setting",J666,1)+8,FIND("kg",J666,1)-FIND("setting",J666,1)-8)</f>
        <v xml:space="preserve"> 369.85</v>
      </c>
      <c r="Q666" s="75" t="str">
        <f>SUBSTITUTE(T666&amp;N666," ","")</f>
        <v>3.24.1DMF</v>
      </c>
      <c r="R666" s="74">
        <f>VLOOKUP(Q666,MOR投料表!A:L,9,FALSE)</f>
        <v>369.85</v>
      </c>
      <c r="T666" s="75" t="str">
        <f t="shared" si="163"/>
        <v>3.24.1</v>
      </c>
      <c r="U666" s="74" t="b">
        <f>TEXT(O666,"0.00")=TEXT(R666,"0.00")</f>
        <v>1</v>
      </c>
    </row>
    <row r="667" spans="1:21" ht="45" customHeight="1">
      <c r="A667" s="634"/>
      <c r="B667" s="634"/>
      <c r="C667" s="105" t="s">
        <v>8</v>
      </c>
      <c r="E667" s="77"/>
      <c r="F667" s="105" t="str">
        <f t="shared" ref="F667:H669" si="165">IFERROR(IF(FIND("开",F666,1),"开","关"),"关")</f>
        <v>关</v>
      </c>
      <c r="G667" s="105" t="str">
        <f t="shared" si="165"/>
        <v>关</v>
      </c>
      <c r="H667" s="105" t="str">
        <f t="shared" si="165"/>
        <v>关</v>
      </c>
      <c r="I667" s="106" t="s">
        <v>61</v>
      </c>
      <c r="J667" s="101" t="s">
        <v>26</v>
      </c>
      <c r="K667" s="105" t="str">
        <f>IFERROR(IF(FIND("开",K666,1),"开","关"),"关")</f>
        <v>关</v>
      </c>
      <c r="L667" s="105" t="str">
        <f>IFERROR(IF(FIND("开",L666,1),"开","关"),"关")</f>
        <v>关</v>
      </c>
      <c r="M667" s="634"/>
      <c r="T667" s="75" t="str">
        <f t="shared" si="163"/>
        <v>3.24.1</v>
      </c>
    </row>
    <row r="668" spans="1:21" ht="45" customHeight="1">
      <c r="A668" s="634"/>
      <c r="B668" s="634"/>
      <c r="C668" s="105" t="s">
        <v>8</v>
      </c>
      <c r="E668" s="77"/>
      <c r="F668" s="105" t="str">
        <f t="shared" si="165"/>
        <v>关</v>
      </c>
      <c r="G668" s="105" t="str">
        <f t="shared" si="165"/>
        <v>关</v>
      </c>
      <c r="H668" s="105" t="str">
        <f t="shared" si="165"/>
        <v>关</v>
      </c>
      <c r="I668" s="106" t="s">
        <v>78</v>
      </c>
      <c r="J668" s="101" t="s">
        <v>79</v>
      </c>
      <c r="K668" s="105" t="s">
        <v>37</v>
      </c>
      <c r="L668" s="105" t="str">
        <f>IFERROR(IF(FIND("开",L667,1),"开","关"),"关")</f>
        <v>关</v>
      </c>
      <c r="M668" s="634"/>
      <c r="T668" s="75" t="str">
        <f t="shared" si="163"/>
        <v>3.24.1</v>
      </c>
    </row>
    <row r="669" spans="1:21" ht="56.25" customHeight="1">
      <c r="A669" s="634"/>
      <c r="B669" s="634"/>
      <c r="C669" s="105" t="s">
        <v>8</v>
      </c>
      <c r="E669" s="77"/>
      <c r="F669" s="105" t="str">
        <f t="shared" si="165"/>
        <v>关</v>
      </c>
      <c r="G669" s="105" t="str">
        <f t="shared" si="165"/>
        <v>关</v>
      </c>
      <c r="H669" s="105" t="str">
        <f t="shared" si="165"/>
        <v>关</v>
      </c>
      <c r="I669" s="106" t="s">
        <v>395</v>
      </c>
      <c r="J669" s="101" t="s">
        <v>396</v>
      </c>
      <c r="K669" s="105" t="str">
        <f>IFERROR(IF(FIND("开",K668,1),"开","关"),"关")</f>
        <v>开</v>
      </c>
      <c r="L669" s="105" t="str">
        <f>IFERROR(IF(FIND("开",L668,1),"开","关"),"关")</f>
        <v>关</v>
      </c>
      <c r="M669" s="634"/>
      <c r="N669" s="75" t="str">
        <f>MID(J669,FIND("物料",J669,1)+3,FIND("投料重量",J669,1)-FIND("物料",J669,1)-4)</f>
        <v>Fmoc-L-Asn(Trt)-OH</v>
      </c>
      <c r="O669" s="75" t="e">
        <f>MID(J669,FIND("投料重量",J669,1)+5,FIND("kg",J669,1)-FIND("投料重量",J669,1)-5)</f>
        <v>#VALUE!</v>
      </c>
      <c r="P669" s="75" t="str">
        <f>SUBSTITUTE(RIGHT(J669,LEN(J669)-FIND("重量误差",J669,1)-4),"kg","")</f>
        <v>______</v>
      </c>
      <c r="Q669" s="75" t="str">
        <f>SUBSTITUTE(T669&amp;N669," ","")</f>
        <v>3.23.7Fmoc-L-Asn(Trt)-OH</v>
      </c>
      <c r="R669" s="74" t="e">
        <f>VLOOKUP(Q669,氨基酸和溶剂信息!A:P,8,FALSE)</f>
        <v>#N/A</v>
      </c>
      <c r="T669" s="75" t="str">
        <f>IF(ISBLANK(A669),T664,LEFT(A669,FIND(" ",A669,1)-1))</f>
        <v>3.23.7</v>
      </c>
      <c r="U669" s="74" t="e">
        <f>TEXT(O669,"0.00")=TEXT(R669,"0.00")</f>
        <v>#VALUE!</v>
      </c>
    </row>
    <row r="670" spans="1:21" ht="45" customHeight="1">
      <c r="A670" s="634"/>
      <c r="B670" s="634"/>
      <c r="C670" s="105" t="s">
        <v>8</v>
      </c>
      <c r="E670" s="77"/>
      <c r="I670" s="106" t="s">
        <v>93</v>
      </c>
      <c r="J670" s="401" t="s">
        <v>209</v>
      </c>
      <c r="M670" s="634"/>
      <c r="N670" s="75"/>
      <c r="O670" s="75"/>
      <c r="P670" s="75"/>
      <c r="Q670" s="75"/>
      <c r="T670" s="75"/>
    </row>
    <row r="671" spans="1:21" ht="45" customHeight="1">
      <c r="A671" s="634"/>
      <c r="B671" s="634"/>
      <c r="C671" s="105" t="s">
        <v>8</v>
      </c>
      <c r="E671" s="77"/>
      <c r="F671" s="105" t="str">
        <f>IFERROR(IF(FIND("开",F669,1),"开","关"),"关")</f>
        <v>关</v>
      </c>
      <c r="G671" s="105" t="str">
        <f>IFERROR(IF(FIND("开",G669,1),"开","关"),"关")</f>
        <v>关</v>
      </c>
      <c r="H671" s="105" t="str">
        <f>IFERROR(IF(FIND("开",H669,1),"开","关"),"关")</f>
        <v>关</v>
      </c>
      <c r="I671" s="106" t="s">
        <v>95</v>
      </c>
      <c r="J671" s="402" t="s">
        <v>210</v>
      </c>
      <c r="K671" s="105" t="str">
        <f>IFERROR(IF(FIND("开",K669,1),"开","关"),"关")</f>
        <v>开</v>
      </c>
      <c r="L671" s="105" t="str">
        <f>IFERROR(IF(FIND("开",L669,1),"开","关"),"关")</f>
        <v>关</v>
      </c>
      <c r="M671" s="634"/>
      <c r="N671" s="75"/>
      <c r="O671" s="75"/>
      <c r="P671" s="75"/>
      <c r="Q671" s="75"/>
      <c r="T671" s="75" t="str">
        <f>IF(ISBLANK(A671),T669,LEFT(A671,FIND(" ",A671,1)-1))</f>
        <v>3.23.7</v>
      </c>
    </row>
    <row r="672" spans="1:21" ht="45" customHeight="1">
      <c r="A672" s="634"/>
      <c r="B672" s="634"/>
      <c r="C672" s="105" t="s">
        <v>8</v>
      </c>
      <c r="E672" s="77"/>
      <c r="F672" s="105" t="str">
        <f t="shared" ref="F672:F680" si="166">IFERROR(IF(FIND("开",F671,1),"开","关"),"关")</f>
        <v>关</v>
      </c>
      <c r="G672" s="105" t="str">
        <f t="shared" ref="G672:G680" si="167">IFERROR(IF(FIND("开",G671,1),"开","关"),"关")</f>
        <v>关</v>
      </c>
      <c r="H672" s="105" t="str">
        <f t="shared" ref="H672:H680" si="168">IFERROR(IF(FIND("开",H671,1),"开","关"),"关")</f>
        <v>关</v>
      </c>
      <c r="I672" s="106" t="s">
        <v>123</v>
      </c>
      <c r="J672" s="403" t="s">
        <v>211</v>
      </c>
      <c r="K672" s="105" t="str">
        <f t="shared" ref="K672:K680" si="169">IFERROR(IF(FIND("开",K671,1),"开","关"),"关")</f>
        <v>开</v>
      </c>
      <c r="L672" s="105" t="s">
        <v>42</v>
      </c>
      <c r="M672" s="634"/>
      <c r="N672" s="75"/>
      <c r="O672" s="75"/>
      <c r="P672" s="75"/>
      <c r="Q672" s="75"/>
      <c r="T672" s="75" t="str">
        <f>IF(ISBLANK(A672),T671,LEFT(A672,FIND(" ",A672,1)-1))</f>
        <v>3.23.7</v>
      </c>
    </row>
    <row r="673" spans="1:21" ht="45" customHeight="1">
      <c r="A673" s="634"/>
      <c r="B673" s="634"/>
      <c r="C673" s="105" t="s">
        <v>8</v>
      </c>
      <c r="E673" s="77"/>
      <c r="F673" s="105" t="str">
        <f t="shared" si="166"/>
        <v>关</v>
      </c>
      <c r="G673" s="105" t="str">
        <f t="shared" si="167"/>
        <v>关</v>
      </c>
      <c r="H673" s="105" t="str">
        <f t="shared" si="168"/>
        <v>关</v>
      </c>
      <c r="I673" s="106" t="s">
        <v>203</v>
      </c>
      <c r="J673" s="101" t="s">
        <v>255</v>
      </c>
      <c r="K673" s="105" t="str">
        <f t="shared" si="169"/>
        <v>开</v>
      </c>
      <c r="L673" s="105" t="s">
        <v>37</v>
      </c>
      <c r="M673" s="634"/>
      <c r="N673" s="75"/>
      <c r="O673" s="75"/>
      <c r="P673" s="75"/>
      <c r="Q673" s="75"/>
      <c r="T673" s="75" t="str">
        <f>IF(ISBLANK(A673),T672,LEFT(A673,FIND(" ",A673,1)-1))</f>
        <v>3.23.7</v>
      </c>
    </row>
    <row r="674" spans="1:21" ht="45" customHeight="1">
      <c r="A674" s="634"/>
      <c r="B674" s="634"/>
      <c r="C674" s="105" t="s">
        <v>8</v>
      </c>
      <c r="E674" s="77"/>
      <c r="F674" s="105" t="str">
        <f t="shared" si="166"/>
        <v>关</v>
      </c>
      <c r="G674" s="105" t="str">
        <f t="shared" si="167"/>
        <v>关</v>
      </c>
      <c r="H674" s="105" t="str">
        <f t="shared" si="168"/>
        <v>关</v>
      </c>
      <c r="I674" s="106" t="s">
        <v>91</v>
      </c>
      <c r="J674" s="404" t="s">
        <v>256</v>
      </c>
      <c r="K674" s="105" t="str">
        <f t="shared" si="169"/>
        <v>开</v>
      </c>
      <c r="L674" s="105" t="str">
        <f t="shared" ref="L674:L680" si="170">IFERROR(IF(FIND("开",L673,1),"开","关"),"关")</f>
        <v>开</v>
      </c>
      <c r="M674" s="634"/>
      <c r="N674" s="75"/>
      <c r="O674" s="75"/>
      <c r="P674" s="75"/>
      <c r="Q674" s="75"/>
      <c r="T674" s="75" t="str">
        <f>IF(ISBLANK(A674),T673,LEFT(A674,FIND(" ",A674,1)-1))</f>
        <v>3.23.7</v>
      </c>
    </row>
    <row r="675" spans="1:21" ht="45" customHeight="1">
      <c r="A675" s="634"/>
      <c r="B675" s="634"/>
      <c r="C675" s="105" t="s">
        <v>8</v>
      </c>
      <c r="E675" s="77"/>
      <c r="F675" s="105" t="str">
        <f t="shared" si="166"/>
        <v>关</v>
      </c>
      <c r="G675" s="105" t="str">
        <f t="shared" si="167"/>
        <v>关</v>
      </c>
      <c r="H675" s="105" t="str">
        <f t="shared" si="168"/>
        <v>关</v>
      </c>
      <c r="I675" s="106" t="s">
        <v>217</v>
      </c>
      <c r="J675" s="101" t="s">
        <v>218</v>
      </c>
      <c r="K675" s="105" t="str">
        <f t="shared" si="169"/>
        <v>开</v>
      </c>
      <c r="L675" s="105" t="str">
        <f t="shared" si="170"/>
        <v>开</v>
      </c>
      <c r="M675" s="634"/>
      <c r="N675" s="75" t="str">
        <f>MID(J675,FIND("物料",J675,1)+3,FIND("投料重量",J675,1)-FIND("物料",J675,1)-4)</f>
        <v>OxymaPure</v>
      </c>
      <c r="O675" s="75" t="e">
        <f>MID(J675,FIND("投料重量",J675,1)+5,FIND("kg",J675,1)-FIND("投料重量",J675,1)-5)</f>
        <v>#VALUE!</v>
      </c>
      <c r="P675" s="75" t="str">
        <f>SUBSTITUTE(RIGHT(J675,LEN(J675)-FIND("重量误差",J675,1)-4),"kg","")</f>
        <v>______</v>
      </c>
      <c r="Q675" s="75" t="str">
        <f>SUBSTITUTE(T675&amp;N675," ","")</f>
        <v>3.23.7OxymaPure</v>
      </c>
      <c r="R675" s="74" t="e">
        <f>VLOOKUP(Q675,氨基酸和溶剂信息!A:P,8,FALSE)</f>
        <v>#N/A</v>
      </c>
      <c r="T675" s="75" t="str">
        <f>IF(ISBLANK(A675),T674,LEFT(A675,FIND(" ",A675,1)-1))</f>
        <v>3.23.7</v>
      </c>
      <c r="U675" s="74" t="e">
        <f>TEXT(O675,"0.00")=TEXT(R675,"0.00")</f>
        <v>#VALUE!</v>
      </c>
    </row>
    <row r="676" spans="1:21" ht="45" customHeight="1">
      <c r="A676" s="634"/>
      <c r="B676" s="634"/>
      <c r="C676" s="105" t="s">
        <v>8</v>
      </c>
      <c r="E676" s="77"/>
      <c r="F676" s="105" t="str">
        <f t="shared" si="166"/>
        <v>关</v>
      </c>
      <c r="G676" s="105" t="str">
        <f t="shared" si="167"/>
        <v>关</v>
      </c>
      <c r="H676" s="105" t="str">
        <f t="shared" si="168"/>
        <v>关</v>
      </c>
      <c r="I676" s="106" t="s">
        <v>82</v>
      </c>
      <c r="J676" s="405" t="s">
        <v>83</v>
      </c>
      <c r="K676" s="105" t="str">
        <f t="shared" si="169"/>
        <v>开</v>
      </c>
      <c r="L676" s="105" t="str">
        <f t="shared" si="170"/>
        <v>开</v>
      </c>
      <c r="M676" s="634"/>
      <c r="N676" s="75" t="s">
        <v>24</v>
      </c>
      <c r="O676" s="75" t="str">
        <f>MID(J676,FIND("setting",J676,1)+8,FIND("kg",J676,1)-FIND("setting",J676,1)-8)</f>
        <v xml:space="preserve"> 61.75</v>
      </c>
      <c r="Q676" s="75" t="str">
        <f>SUBSTITUTE(T676&amp;N676," ","")</f>
        <v>3.24.5DMF</v>
      </c>
      <c r="R676" s="74">
        <f>VLOOKUP(Q676,MOR投料表!A:L,9,FALSE)</f>
        <v>61.75</v>
      </c>
      <c r="T676" s="75" t="s">
        <v>397</v>
      </c>
      <c r="U676" s="74" t="b">
        <f>TEXT(O676,"0.00")=TEXT(R676,"0.00")</f>
        <v>1</v>
      </c>
    </row>
    <row r="677" spans="1:21" ht="45" customHeight="1">
      <c r="A677" s="634"/>
      <c r="B677" s="634"/>
      <c r="C677" s="105" t="s">
        <v>8</v>
      </c>
      <c r="E677" s="77"/>
      <c r="F677" s="105" t="str">
        <f t="shared" si="166"/>
        <v>关</v>
      </c>
      <c r="G677" s="105" t="str">
        <f t="shared" si="167"/>
        <v>关</v>
      </c>
      <c r="H677" s="105" t="str">
        <f t="shared" si="168"/>
        <v>关</v>
      </c>
      <c r="I677" s="106" t="s">
        <v>85</v>
      </c>
      <c r="J677" s="101" t="s">
        <v>86</v>
      </c>
      <c r="K677" s="105" t="str">
        <f t="shared" si="169"/>
        <v>开</v>
      </c>
      <c r="L677" s="105" t="str">
        <f t="shared" si="170"/>
        <v>开</v>
      </c>
      <c r="M677" s="634"/>
      <c r="T677" s="75" t="str">
        <f>IF(ISBLANK(A677),T676,LEFT(A677,FIND(" ",A677,1)-1))</f>
        <v>3.24.5</v>
      </c>
    </row>
    <row r="678" spans="1:21" ht="60" customHeight="1">
      <c r="A678" s="634"/>
      <c r="B678" s="634"/>
      <c r="C678" s="105" t="s">
        <v>30</v>
      </c>
      <c r="D678" s="106" t="s">
        <v>68</v>
      </c>
      <c r="E678" s="406" t="s">
        <v>258</v>
      </c>
      <c r="F678" s="105" t="str">
        <f t="shared" si="166"/>
        <v>关</v>
      </c>
      <c r="G678" s="105" t="str">
        <f t="shared" si="167"/>
        <v>关</v>
      </c>
      <c r="H678" s="105" t="str">
        <f t="shared" si="168"/>
        <v>关</v>
      </c>
      <c r="I678" s="76"/>
      <c r="J678" s="88"/>
      <c r="K678" s="105" t="str">
        <f t="shared" si="169"/>
        <v>开</v>
      </c>
      <c r="L678" s="105" t="str">
        <f t="shared" si="170"/>
        <v>开</v>
      </c>
      <c r="M678" s="634"/>
      <c r="T678" s="75" t="str">
        <f>IF(ISBLANK(A678),T677,LEFT(A678,FIND(" ",A678,1)-1))</f>
        <v>3.24.5</v>
      </c>
    </row>
    <row r="679" spans="1:21" ht="45" customHeight="1">
      <c r="A679" s="634"/>
      <c r="B679" s="634"/>
      <c r="C679" s="105" t="s">
        <v>8</v>
      </c>
      <c r="E679" s="77"/>
      <c r="F679" s="105" t="str">
        <f t="shared" si="166"/>
        <v>关</v>
      </c>
      <c r="G679" s="105" t="str">
        <f t="shared" si="167"/>
        <v>关</v>
      </c>
      <c r="H679" s="105" t="str">
        <f t="shared" si="168"/>
        <v>关</v>
      </c>
      <c r="I679" s="106" t="s">
        <v>259</v>
      </c>
      <c r="J679" s="77" t="s">
        <v>260</v>
      </c>
      <c r="K679" s="105" t="str">
        <f t="shared" si="169"/>
        <v>开</v>
      </c>
      <c r="L679" s="105" t="str">
        <f t="shared" si="170"/>
        <v>开</v>
      </c>
      <c r="M679" s="634"/>
      <c r="N679" s="75" t="str">
        <f>SUBSTITUTE(MID(J679,FIND("-》",J679,1)+11,FIND(", weight",J679,1)-FIND("-》",J679,1)-11),"-喷淋-固体喷淋","")</f>
        <v xml:space="preserve"> DIC</v>
      </c>
      <c r="O679" s="75" t="e">
        <f>MID(J679,FIND("量",J679,1)+2,FIND("kg",J679,1)-FIND("量",J679,1)-2)</f>
        <v>#VALUE!</v>
      </c>
      <c r="Q679" s="75" t="str">
        <f>SUBSTITUTE(T679&amp;N679," ","")</f>
        <v>3.24.5DIC</v>
      </c>
      <c r="R679" s="74" t="e">
        <f>VLOOKUP(Q679,氨基酸和溶剂信息!A:P,8,FALSE)</f>
        <v>#N/A</v>
      </c>
      <c r="T679" s="75" t="str">
        <f>IF(ISBLANK(A679),T678,LEFT(A679,FIND(" ",A679,1)-1))</f>
        <v>3.24.5</v>
      </c>
      <c r="U679" s="74" t="e">
        <f>TEXT(O679,"0.00")=TEXT(R679,"0.00")</f>
        <v>#VALUE!</v>
      </c>
    </row>
    <row r="680" spans="1:21" ht="45" customHeight="1">
      <c r="A680" s="634"/>
      <c r="B680" s="634"/>
      <c r="C680" s="105" t="s">
        <v>8</v>
      </c>
      <c r="E680" s="77"/>
      <c r="F680" s="105" t="str">
        <f t="shared" si="166"/>
        <v>关</v>
      </c>
      <c r="G680" s="105" t="str">
        <f t="shared" si="167"/>
        <v>关</v>
      </c>
      <c r="H680" s="105" t="str">
        <f t="shared" si="168"/>
        <v>关</v>
      </c>
      <c r="I680" s="106" t="s">
        <v>261</v>
      </c>
      <c r="J680" s="77" t="s">
        <v>262</v>
      </c>
      <c r="K680" s="105" t="str">
        <f t="shared" si="169"/>
        <v>开</v>
      </c>
      <c r="L680" s="105" t="str">
        <f t="shared" si="170"/>
        <v>开</v>
      </c>
      <c r="M680" s="634"/>
      <c r="T680" s="75" t="str">
        <f>IF(ISBLANK(A680),T679,LEFT(A680,FIND(" ",A680,1)-1))</f>
        <v>3.24.5</v>
      </c>
    </row>
    <row r="681" spans="1:21" ht="45" customHeight="1">
      <c r="A681" s="634"/>
      <c r="B681" s="634"/>
      <c r="C681" s="105" t="s">
        <v>8</v>
      </c>
      <c r="E681" s="77"/>
      <c r="I681" s="106" t="s">
        <v>221</v>
      </c>
      <c r="J681" s="407" t="s">
        <v>263</v>
      </c>
      <c r="M681" s="634"/>
      <c r="T681" s="75"/>
    </row>
    <row r="682" spans="1:21" ht="45" customHeight="1">
      <c r="A682" s="634"/>
      <c r="B682" s="634"/>
      <c r="C682" s="105" t="s">
        <v>8</v>
      </c>
      <c r="E682" s="77"/>
      <c r="F682" s="105" t="str">
        <f>IFERROR(IF(FIND("开",#REF!,1),"开","关"),"关")</f>
        <v>关</v>
      </c>
      <c r="G682" s="105" t="str">
        <f>IFERROR(IF(FIND("开",#REF!,1),"开","关"),"关")</f>
        <v>关</v>
      </c>
      <c r="H682" s="105" t="str">
        <f>IFERROR(IF(FIND("开",#REF!,1),"开","关"),"关")</f>
        <v>关</v>
      </c>
      <c r="I682" s="106" t="s">
        <v>110</v>
      </c>
      <c r="J682" s="101" t="s">
        <v>111</v>
      </c>
      <c r="K682" s="105" t="s">
        <v>42</v>
      </c>
      <c r="L682" s="105" t="str">
        <f>IFERROR(IF(FIND("开",#REF!,1),"开","关"),"关")</f>
        <v>关</v>
      </c>
      <c r="M682" s="634"/>
      <c r="N682" s="75"/>
      <c r="O682" s="75"/>
      <c r="T682" s="75" t="e">
        <f>IF(ISBLANK(A682),#REF!,LEFT(A682,FIND(" ",A682,1)-1))</f>
        <v>#REF!</v>
      </c>
      <c r="U682" s="74" t="b">
        <f>TEXT(O682,"0.00")=TEXT(R682,"0.00")</f>
        <v>1</v>
      </c>
    </row>
    <row r="683" spans="1:21" ht="45" customHeight="1">
      <c r="A683" s="634"/>
      <c r="B683" s="634"/>
      <c r="C683" s="105" t="s">
        <v>8</v>
      </c>
      <c r="E683" s="77"/>
      <c r="I683" s="106" t="s">
        <v>112</v>
      </c>
      <c r="J683" s="408" t="s">
        <v>113</v>
      </c>
      <c r="M683" s="635"/>
      <c r="N683" s="75"/>
      <c r="O683" s="75"/>
      <c r="T683" s="75"/>
    </row>
    <row r="684" spans="1:21" ht="45" customHeight="1">
      <c r="A684" s="595" t="s">
        <v>398</v>
      </c>
      <c r="B684" s="679" t="s">
        <v>115</v>
      </c>
      <c r="C684" s="105" t="s">
        <v>30</v>
      </c>
      <c r="D684" s="106" t="s">
        <v>31</v>
      </c>
      <c r="E684" s="409" t="s">
        <v>32</v>
      </c>
      <c r="F684" s="105" t="str">
        <f>IFERROR(IF(FIND("开",F682,1),"开","关"),"关")</f>
        <v>关</v>
      </c>
      <c r="G684" s="105" t="str">
        <f>IFERROR(IF(FIND("开",G682,1),"开","关"),"关")</f>
        <v>关</v>
      </c>
      <c r="H684" s="105" t="str">
        <f>IFERROR(IF(FIND("开",H682,1),"开","关"),"关")</f>
        <v>关</v>
      </c>
      <c r="I684" s="74"/>
      <c r="J684" s="77"/>
      <c r="K684" s="105" t="str">
        <f>IFERROR(IF(FIND("开",K682,1),"开","关"),"关")</f>
        <v>关</v>
      </c>
      <c r="L684" s="105" t="str">
        <f>IFERROR(IF(FIND("开",L682,1),"开","关"),"关")</f>
        <v>关</v>
      </c>
      <c r="M684" s="598">
        <v>1</v>
      </c>
      <c r="T684" s="75" t="str">
        <f>IF(ISBLANK(A684),T682,LEFT(A684,FIND(" ",A684,1)-1))</f>
        <v>3.25.1</v>
      </c>
    </row>
    <row r="685" spans="1:21" ht="45" customHeight="1">
      <c r="A685" s="596"/>
      <c r="B685" s="622"/>
      <c r="C685" s="105" t="s">
        <v>8</v>
      </c>
      <c r="D685" s="106"/>
      <c r="E685" s="101"/>
      <c r="I685" s="74" t="s">
        <v>116</v>
      </c>
      <c r="J685" s="410" t="s">
        <v>117</v>
      </c>
      <c r="M685" s="599"/>
      <c r="T685" s="75"/>
    </row>
    <row r="686" spans="1:21" ht="45" customHeight="1">
      <c r="A686" s="596"/>
      <c r="B686" s="622"/>
      <c r="C686" s="105" t="s">
        <v>30</v>
      </c>
      <c r="D686" s="106" t="s">
        <v>33</v>
      </c>
      <c r="E686" s="101" t="s">
        <v>34</v>
      </c>
      <c r="F686" s="105" t="str">
        <f>IFERROR(IF(FIND("开",F684,1),"开","关"),"关")</f>
        <v>关</v>
      </c>
      <c r="G686" s="105" t="str">
        <f>IFERROR(IF(FIND("开",G684,1),"开","关"),"关")</f>
        <v>关</v>
      </c>
      <c r="H686" s="105" t="str">
        <f>IFERROR(IF(FIND("开",H684,1),"开","关"),"关")</f>
        <v>关</v>
      </c>
      <c r="I686" s="74"/>
      <c r="J686" s="77"/>
      <c r="K686" s="105" t="str">
        <f>IFERROR(IF(FIND("开",K684,1),"开","关"),"关")</f>
        <v>关</v>
      </c>
      <c r="L686" s="105" t="str">
        <f>IFERROR(IF(FIND("开",L684,1),"开","关"),"关")</f>
        <v>关</v>
      </c>
      <c r="M686" s="599"/>
      <c r="T686" s="75" t="str">
        <f>IF(ISBLANK(A686),T684,LEFT(A686,FIND(" ",A686,1)-1))</f>
        <v>3.25.1</v>
      </c>
    </row>
    <row r="687" spans="1:21" ht="45" customHeight="1">
      <c r="A687" s="596"/>
      <c r="B687" s="622"/>
      <c r="C687" s="105" t="s">
        <v>8</v>
      </c>
      <c r="D687" s="105"/>
      <c r="E687" s="104"/>
      <c r="F687" s="105" t="str">
        <f>IFERROR(IF(FIND("开",F686,1),"开","关"),"关")</f>
        <v>关</v>
      </c>
      <c r="G687" s="105" t="str">
        <f>IFERROR(IF(FIND("开",G686,1),"开","关"),"关")</f>
        <v>关</v>
      </c>
      <c r="H687" s="105" t="str">
        <f>IFERROR(IF(FIND("开",H686,1),"开","关"),"关")</f>
        <v>关</v>
      </c>
      <c r="I687" s="106" t="s">
        <v>22</v>
      </c>
      <c r="J687" s="411" t="s">
        <v>118</v>
      </c>
      <c r="K687" s="105" t="str">
        <f t="shared" ref="K687:L692" si="171">IFERROR(IF(FIND("开",K686,1),"开","关"),"关")</f>
        <v>关</v>
      </c>
      <c r="L687" s="105" t="str">
        <f t="shared" si="171"/>
        <v>关</v>
      </c>
      <c r="M687" s="600"/>
      <c r="N687" s="75" t="s">
        <v>24</v>
      </c>
      <c r="O687" s="75" t="str">
        <f>MID(J687,FIND("setting",J687,1)+8,FIND("kg",J687,1)-FIND("setting",J687,1)-8)</f>
        <v xml:space="preserve"> 61.75</v>
      </c>
      <c r="Q687" s="75" t="str">
        <f>SUBSTITUTE(T687&amp;N687," ","")</f>
        <v>3.25.2DMF</v>
      </c>
      <c r="R687" s="74">
        <f>VLOOKUP(Q687,MOR投料表!A:L,9,FALSE)</f>
        <v>61.75</v>
      </c>
      <c r="T687" s="75" t="s">
        <v>399</v>
      </c>
      <c r="U687" s="74" t="b">
        <f>TEXT(O687,"0.00")=TEXT(R687,"0.00")</f>
        <v>1</v>
      </c>
    </row>
    <row r="688" spans="1:21" ht="45" customHeight="1">
      <c r="A688" s="595" t="s">
        <v>400</v>
      </c>
      <c r="B688" s="653" t="s">
        <v>401</v>
      </c>
      <c r="C688" s="105" t="s">
        <v>3</v>
      </c>
      <c r="D688" s="106" t="s">
        <v>35</v>
      </c>
      <c r="E688" s="101" t="s">
        <v>63</v>
      </c>
      <c r="F688" s="105" t="s">
        <v>37</v>
      </c>
      <c r="G688" s="105" t="str">
        <f>IFERROR(IF(FIND("开",G687,1),"开","关"),"关")</f>
        <v>关</v>
      </c>
      <c r="H688" s="105" t="str">
        <f>IFERROR(IF(FIND("开",H687,1),"开","关"),"关")</f>
        <v>关</v>
      </c>
      <c r="I688" s="106"/>
      <c r="J688" s="101"/>
      <c r="K688" s="105" t="str">
        <f t="shared" si="171"/>
        <v>关</v>
      </c>
      <c r="L688" s="105" t="str">
        <f t="shared" si="171"/>
        <v>关</v>
      </c>
      <c r="M688" s="598">
        <v>1</v>
      </c>
      <c r="T688" s="75" t="str">
        <f t="shared" ref="T688:T719" si="172">IF(ISBLANK(A688),T687,LEFT(A688,FIND(" ",A688,1)-1))</f>
        <v>3.25.3</v>
      </c>
    </row>
    <row r="689" spans="1:21" ht="45" customHeight="1">
      <c r="A689" s="596"/>
      <c r="B689" s="599"/>
      <c r="C689" s="105" t="s">
        <v>3</v>
      </c>
      <c r="D689" s="106" t="s">
        <v>64</v>
      </c>
      <c r="E689" s="101" t="s">
        <v>65</v>
      </c>
      <c r="F689" s="105" t="str">
        <f t="shared" ref="F689:F698" si="173">IFERROR(IF(FIND("开",F688,1),"开","关"),"关")</f>
        <v>开</v>
      </c>
      <c r="G689" s="105" t="s">
        <v>37</v>
      </c>
      <c r="H689" s="105" t="str">
        <f t="shared" ref="H689:H715" si="174">IFERROR(IF(FIND("开",H688,1),"开","关"),"关")</f>
        <v>关</v>
      </c>
      <c r="I689" s="106"/>
      <c r="J689" s="101"/>
      <c r="K689" s="105" t="str">
        <f t="shared" si="171"/>
        <v>关</v>
      </c>
      <c r="L689" s="105" t="str">
        <f t="shared" si="171"/>
        <v>关</v>
      </c>
      <c r="M689" s="599"/>
      <c r="T689" s="75" t="str">
        <f t="shared" si="172"/>
        <v>3.25.3</v>
      </c>
    </row>
    <row r="690" spans="1:21" ht="45" customHeight="1">
      <c r="A690" s="596"/>
      <c r="B690" s="599"/>
      <c r="C690" s="105" t="s">
        <v>8</v>
      </c>
      <c r="D690" s="105"/>
      <c r="E690" s="104"/>
      <c r="F690" s="105" t="str">
        <f t="shared" si="173"/>
        <v>开</v>
      </c>
      <c r="G690" s="105" t="str">
        <f t="shared" ref="G690:G697" si="175">IFERROR(IF(FIND("开",G689,1),"开","关"),"关")</f>
        <v>开</v>
      </c>
      <c r="H690" s="105" t="str">
        <f t="shared" si="174"/>
        <v>关</v>
      </c>
      <c r="I690" s="106" t="s">
        <v>61</v>
      </c>
      <c r="J690" s="101" t="s">
        <v>26</v>
      </c>
      <c r="K690" s="105" t="str">
        <f t="shared" si="171"/>
        <v>关</v>
      </c>
      <c r="L690" s="105" t="str">
        <f t="shared" si="171"/>
        <v>关</v>
      </c>
      <c r="M690" s="599"/>
      <c r="T690" s="75" t="str">
        <f t="shared" si="172"/>
        <v>3.25.3</v>
      </c>
    </row>
    <row r="691" spans="1:21" ht="45" customHeight="1">
      <c r="A691" s="596"/>
      <c r="B691" s="599"/>
      <c r="C691" s="105" t="s">
        <v>30</v>
      </c>
      <c r="D691" s="106" t="s">
        <v>31</v>
      </c>
      <c r="E691" s="412" t="s">
        <v>32</v>
      </c>
      <c r="F691" s="105" t="str">
        <f t="shared" si="173"/>
        <v>开</v>
      </c>
      <c r="G691" s="105" t="str">
        <f t="shared" si="175"/>
        <v>开</v>
      </c>
      <c r="H691" s="105" t="str">
        <f t="shared" si="174"/>
        <v>关</v>
      </c>
      <c r="I691" s="106"/>
      <c r="J691" s="101"/>
      <c r="K691" s="105" t="str">
        <f t="shared" si="171"/>
        <v>关</v>
      </c>
      <c r="L691" s="105" t="str">
        <f t="shared" si="171"/>
        <v>关</v>
      </c>
      <c r="M691" s="599"/>
      <c r="T691" s="75" t="str">
        <f t="shared" si="172"/>
        <v>3.25.3</v>
      </c>
    </row>
    <row r="692" spans="1:21" ht="45" customHeight="1">
      <c r="A692" s="596"/>
      <c r="B692" s="599"/>
      <c r="C692" s="105" t="s">
        <v>30</v>
      </c>
      <c r="D692" s="106" t="s">
        <v>33</v>
      </c>
      <c r="E692" s="101" t="s">
        <v>34</v>
      </c>
      <c r="F692" s="105" t="str">
        <f t="shared" si="173"/>
        <v>开</v>
      </c>
      <c r="G692" s="105" t="str">
        <f t="shared" si="175"/>
        <v>开</v>
      </c>
      <c r="H692" s="105" t="str">
        <f t="shared" si="174"/>
        <v>关</v>
      </c>
      <c r="I692" s="106"/>
      <c r="J692" s="101"/>
      <c r="K692" s="105" t="str">
        <f t="shared" si="171"/>
        <v>关</v>
      </c>
      <c r="L692" s="105" t="str">
        <f t="shared" si="171"/>
        <v>关</v>
      </c>
      <c r="M692" s="599"/>
      <c r="T692" s="75" t="str">
        <f t="shared" si="172"/>
        <v>3.25.3</v>
      </c>
    </row>
    <row r="693" spans="1:21" ht="45" customHeight="1">
      <c r="A693" s="596"/>
      <c r="B693" s="599"/>
      <c r="C693" s="105" t="s">
        <v>8</v>
      </c>
      <c r="D693" s="106"/>
      <c r="E693" s="78"/>
      <c r="F693" s="105" t="str">
        <f t="shared" si="173"/>
        <v>开</v>
      </c>
      <c r="G693" s="105" t="str">
        <f t="shared" si="175"/>
        <v>开</v>
      </c>
      <c r="H693" s="105" t="str">
        <f t="shared" si="174"/>
        <v>关</v>
      </c>
      <c r="I693" s="106" t="s">
        <v>123</v>
      </c>
      <c r="J693" s="101" t="s">
        <v>268</v>
      </c>
      <c r="K693" s="105" t="str">
        <f>IFERROR(IF(FIND("开",K692,1),"开","关"),"关")</f>
        <v>关</v>
      </c>
      <c r="L693" s="105" t="s">
        <v>42</v>
      </c>
      <c r="M693" s="599"/>
      <c r="T693" s="75" t="str">
        <f t="shared" si="172"/>
        <v>3.25.3</v>
      </c>
    </row>
    <row r="694" spans="1:21" ht="45" customHeight="1">
      <c r="A694" s="596"/>
      <c r="B694" s="599"/>
      <c r="C694" s="105" t="s">
        <v>8</v>
      </c>
      <c r="D694" s="106"/>
      <c r="E694" s="78"/>
      <c r="F694" s="105" t="str">
        <f t="shared" si="173"/>
        <v>开</v>
      </c>
      <c r="G694" s="105" t="str">
        <f t="shared" si="175"/>
        <v>开</v>
      </c>
      <c r="H694" s="105" t="str">
        <f t="shared" si="174"/>
        <v>关</v>
      </c>
      <c r="I694" s="106" t="s">
        <v>125</v>
      </c>
      <c r="J694" s="101" t="s">
        <v>126</v>
      </c>
      <c r="K694" s="105" t="str">
        <f>IFERROR(IF(FIND("开",K693,1),"开","关"),"关")</f>
        <v>关</v>
      </c>
      <c r="L694" s="105" t="str">
        <f>IFERROR(IF(FIND("开",L693,1),"开","关"),"关")</f>
        <v>关</v>
      </c>
      <c r="M694" s="599"/>
      <c r="N694" s="75"/>
      <c r="O694" s="75"/>
      <c r="T694" s="75" t="str">
        <f t="shared" si="172"/>
        <v>3.25.3</v>
      </c>
      <c r="U694" s="74" t="b">
        <f>TEXT(O694,"0.00")=TEXT(R694,"0.00")</f>
        <v>1</v>
      </c>
    </row>
    <row r="695" spans="1:21" ht="45" customHeight="1">
      <c r="A695" s="596"/>
      <c r="B695" s="599"/>
      <c r="C695" s="105" t="s">
        <v>3</v>
      </c>
      <c r="D695" s="106" t="s">
        <v>66</v>
      </c>
      <c r="E695" s="413" t="s">
        <v>127</v>
      </c>
      <c r="F695" s="105" t="str">
        <f t="shared" si="173"/>
        <v>开</v>
      </c>
      <c r="G695" s="105" t="str">
        <f t="shared" si="175"/>
        <v>开</v>
      </c>
      <c r="H695" s="105" t="str">
        <f t="shared" si="174"/>
        <v>关</v>
      </c>
      <c r="J695" s="101"/>
      <c r="K695" s="105" t="str">
        <f>IFERROR(IF(FIND("开",K694,1),"开","关"),"关")</f>
        <v>关</v>
      </c>
      <c r="L695" s="105" t="str">
        <f>IFERROR(IF(FIND("开",L694,1),"开","关"),"关")</f>
        <v>关</v>
      </c>
      <c r="M695" s="599"/>
      <c r="T695" s="75" t="str">
        <f t="shared" si="172"/>
        <v>3.25.3</v>
      </c>
    </row>
    <row r="696" spans="1:21" ht="45" customHeight="1">
      <c r="A696" s="596"/>
      <c r="B696" s="599"/>
      <c r="C696" s="105" t="s">
        <v>3</v>
      </c>
      <c r="D696" s="106" t="s">
        <v>128</v>
      </c>
      <c r="E696" s="414" t="s">
        <v>162</v>
      </c>
      <c r="F696" s="105" t="str">
        <f t="shared" si="173"/>
        <v>开</v>
      </c>
      <c r="G696" s="105" t="str">
        <f t="shared" si="175"/>
        <v>开</v>
      </c>
      <c r="H696" s="105" t="str">
        <f t="shared" si="174"/>
        <v>关</v>
      </c>
      <c r="J696" s="101"/>
      <c r="K696" s="105" t="str">
        <f>IFERROR(IF(FIND("开",#REF!,1),"开","关"),"关")</f>
        <v>关</v>
      </c>
      <c r="L696" s="105" t="str">
        <f>IFERROR(IF(FIND("开",#REF!,1),"开","关"),"关")</f>
        <v>关</v>
      </c>
      <c r="M696" s="599"/>
      <c r="N696" s="75"/>
      <c r="O696" s="75"/>
      <c r="T696" s="75" t="str">
        <f t="shared" si="172"/>
        <v>3.25.3</v>
      </c>
      <c r="U696" s="74" t="b">
        <f>TEXT(O696,"0.00")=TEXT(R696,"0.00")</f>
        <v>1</v>
      </c>
    </row>
    <row r="697" spans="1:21" ht="45" customHeight="1">
      <c r="A697" s="596"/>
      <c r="B697" s="599"/>
      <c r="C697" s="105" t="s">
        <v>3</v>
      </c>
      <c r="D697" s="106" t="s">
        <v>402</v>
      </c>
      <c r="E697" s="415" t="s">
        <v>234</v>
      </c>
      <c r="F697" s="105" t="str">
        <f t="shared" si="173"/>
        <v>开</v>
      </c>
      <c r="G697" s="105" t="str">
        <f t="shared" si="175"/>
        <v>开</v>
      </c>
      <c r="H697" s="105" t="str">
        <f t="shared" si="174"/>
        <v>关</v>
      </c>
      <c r="J697" s="101"/>
      <c r="K697" s="105" t="str">
        <f t="shared" ref="K697:K719" si="176">IFERROR(IF(FIND("开",K696,1),"开","关"),"关")</f>
        <v>关</v>
      </c>
      <c r="L697" s="105" t="str">
        <f t="shared" ref="L697:L719" si="177">IFERROR(IF(FIND("开",L696,1),"开","关"),"关")</f>
        <v>关</v>
      </c>
      <c r="M697" s="599"/>
      <c r="T697" s="75" t="str">
        <f t="shared" si="172"/>
        <v>3.25.3</v>
      </c>
    </row>
    <row r="698" spans="1:21" ht="45" customHeight="1">
      <c r="A698" s="596"/>
      <c r="B698" s="599"/>
      <c r="C698" s="105" t="s">
        <v>3</v>
      </c>
      <c r="D698" s="106" t="s">
        <v>70</v>
      </c>
      <c r="E698" s="101" t="s">
        <v>71</v>
      </c>
      <c r="F698" s="105" t="str">
        <f t="shared" si="173"/>
        <v>开</v>
      </c>
      <c r="G698" s="105" t="s">
        <v>42</v>
      </c>
      <c r="H698" s="105" t="str">
        <f t="shared" si="174"/>
        <v>关</v>
      </c>
      <c r="J698" s="101"/>
      <c r="K698" s="105" t="str">
        <f t="shared" si="176"/>
        <v>关</v>
      </c>
      <c r="L698" s="105" t="str">
        <f t="shared" si="177"/>
        <v>关</v>
      </c>
      <c r="M698" s="599"/>
      <c r="T698" s="75" t="str">
        <f t="shared" si="172"/>
        <v>3.25.3</v>
      </c>
    </row>
    <row r="699" spans="1:21" ht="45" customHeight="1">
      <c r="A699" s="596"/>
      <c r="B699" s="599"/>
      <c r="C699" s="105" t="s">
        <v>3</v>
      </c>
      <c r="D699" s="106" t="s">
        <v>40</v>
      </c>
      <c r="E699" s="101" t="s">
        <v>41</v>
      </c>
      <c r="F699" s="105" t="s">
        <v>42</v>
      </c>
      <c r="G699" s="105" t="str">
        <f t="shared" ref="G699:G712" si="178">IFERROR(IF(FIND("开",G698,1),"开","关"),"关")</f>
        <v>关</v>
      </c>
      <c r="H699" s="105" t="str">
        <f t="shared" si="174"/>
        <v>关</v>
      </c>
      <c r="J699" s="101"/>
      <c r="K699" s="105" t="str">
        <f t="shared" si="176"/>
        <v>关</v>
      </c>
      <c r="L699" s="105" t="str">
        <f t="shared" si="177"/>
        <v>关</v>
      </c>
      <c r="M699" s="599"/>
      <c r="T699" s="75" t="str">
        <f t="shared" si="172"/>
        <v>3.25.3</v>
      </c>
    </row>
    <row r="700" spans="1:21" ht="45" customHeight="1">
      <c r="A700" s="597"/>
      <c r="B700" s="599"/>
      <c r="C700" s="105" t="s">
        <v>3</v>
      </c>
      <c r="D700" s="106" t="s">
        <v>45</v>
      </c>
      <c r="E700" s="416" t="s">
        <v>46</v>
      </c>
      <c r="F700" s="105" t="str">
        <f t="shared" ref="F700:F711" si="179">IFERROR(IF(FIND("开",F699,1),"开","关"),"关")</f>
        <v>关</v>
      </c>
      <c r="G700" s="105" t="str">
        <f t="shared" si="178"/>
        <v>关</v>
      </c>
      <c r="H700" s="105" t="str">
        <f t="shared" si="174"/>
        <v>关</v>
      </c>
      <c r="J700" s="101"/>
      <c r="K700" s="105" t="str">
        <f t="shared" si="176"/>
        <v>关</v>
      </c>
      <c r="L700" s="105" t="str">
        <f t="shared" si="177"/>
        <v>关</v>
      </c>
      <c r="M700" s="600"/>
      <c r="T700" s="75" t="str">
        <f t="shared" si="172"/>
        <v>3.25.3</v>
      </c>
    </row>
    <row r="701" spans="1:21" ht="45" customHeight="1">
      <c r="A701" s="603" t="s">
        <v>403</v>
      </c>
      <c r="B701" s="687" t="s">
        <v>354</v>
      </c>
      <c r="C701" s="105" t="s">
        <v>8</v>
      </c>
      <c r="D701" s="74"/>
      <c r="E701" s="102"/>
      <c r="F701" s="105" t="str">
        <f t="shared" si="179"/>
        <v>关</v>
      </c>
      <c r="G701" s="105" t="str">
        <f t="shared" si="178"/>
        <v>关</v>
      </c>
      <c r="H701" s="105" t="str">
        <f t="shared" si="174"/>
        <v>关</v>
      </c>
      <c r="I701" s="84" t="s">
        <v>77</v>
      </c>
      <c r="J701" s="101" t="s">
        <v>355</v>
      </c>
      <c r="K701" s="105" t="str">
        <f t="shared" si="176"/>
        <v>关</v>
      </c>
      <c r="L701" s="105" t="str">
        <f t="shared" si="177"/>
        <v>关</v>
      </c>
      <c r="M701" s="601">
        <v>3</v>
      </c>
      <c r="N701" s="75" t="s">
        <v>24</v>
      </c>
      <c r="O701" s="75" t="str">
        <f>MID(J701,FIND("setting",J701,1)+8,FIND("kg",J701,1)-FIND("setting",J701,1)-8)</f>
        <v xml:space="preserve"> 616.20</v>
      </c>
      <c r="Q701" s="75" t="str">
        <f>SUBSTITUTE(T701&amp;N701," ","")</f>
        <v>3.25.6DMF</v>
      </c>
      <c r="R701" s="74">
        <f>VLOOKUP(Q701,MOR投料表!A:L,9,FALSE)</f>
        <v>616.20000000000005</v>
      </c>
      <c r="T701" s="75" t="str">
        <f t="shared" si="172"/>
        <v>3.25.6</v>
      </c>
      <c r="U701" s="74" t="b">
        <f>TEXT(O701,"0.00")=TEXT(R701,"0.00")</f>
        <v>1</v>
      </c>
    </row>
    <row r="702" spans="1:21" ht="45" customHeight="1">
      <c r="A702" s="603"/>
      <c r="B702" s="602"/>
      <c r="C702" s="105" t="s">
        <v>8</v>
      </c>
      <c r="D702" s="74"/>
      <c r="E702" s="102"/>
      <c r="F702" s="105" t="str">
        <f t="shared" si="179"/>
        <v>关</v>
      </c>
      <c r="G702" s="105" t="str">
        <f t="shared" si="178"/>
        <v>关</v>
      </c>
      <c r="H702" s="105" t="str">
        <f t="shared" si="174"/>
        <v>关</v>
      </c>
      <c r="I702" s="84" t="s">
        <v>61</v>
      </c>
      <c r="J702" s="101" t="s">
        <v>26</v>
      </c>
      <c r="K702" s="105" t="str">
        <f t="shared" si="176"/>
        <v>关</v>
      </c>
      <c r="L702" s="105" t="str">
        <f t="shared" si="177"/>
        <v>关</v>
      </c>
      <c r="M702" s="601"/>
      <c r="N702" s="75"/>
      <c r="O702" s="75"/>
      <c r="T702" s="75" t="str">
        <f t="shared" si="172"/>
        <v>3.25.6</v>
      </c>
      <c r="U702" s="74" t="b">
        <f>TEXT(O702,"0.00")=TEXT(R702,"0.00")</f>
        <v>1</v>
      </c>
    </row>
    <row r="703" spans="1:21" ht="45" customHeight="1">
      <c r="A703" s="603"/>
      <c r="B703" s="602"/>
      <c r="C703" s="105" t="s">
        <v>8</v>
      </c>
      <c r="E703" s="102"/>
      <c r="F703" s="105" t="str">
        <f t="shared" si="179"/>
        <v>关</v>
      </c>
      <c r="G703" s="105" t="str">
        <f t="shared" si="178"/>
        <v>关</v>
      </c>
      <c r="H703" s="105" t="str">
        <f t="shared" si="174"/>
        <v>关</v>
      </c>
      <c r="I703" s="84" t="s">
        <v>137</v>
      </c>
      <c r="J703" s="101" t="s">
        <v>138</v>
      </c>
      <c r="K703" s="105" t="str">
        <f t="shared" si="176"/>
        <v>关</v>
      </c>
      <c r="L703" s="105" t="str">
        <f t="shared" si="177"/>
        <v>关</v>
      </c>
      <c r="M703" s="601"/>
      <c r="T703" s="75" t="str">
        <f t="shared" si="172"/>
        <v>3.25.6</v>
      </c>
    </row>
    <row r="704" spans="1:21" ht="45" customHeight="1">
      <c r="A704" s="603"/>
      <c r="B704" s="602"/>
      <c r="C704" s="105" t="s">
        <v>8</v>
      </c>
      <c r="E704" s="102"/>
      <c r="F704" s="105" t="str">
        <f t="shared" si="179"/>
        <v>关</v>
      </c>
      <c r="G704" s="105" t="str">
        <f t="shared" si="178"/>
        <v>关</v>
      </c>
      <c r="H704" s="105" t="str">
        <f t="shared" si="174"/>
        <v>关</v>
      </c>
      <c r="I704" s="84" t="s">
        <v>139</v>
      </c>
      <c r="J704" s="101" t="s">
        <v>140</v>
      </c>
      <c r="K704" s="105" t="str">
        <f t="shared" si="176"/>
        <v>关</v>
      </c>
      <c r="L704" s="105" t="str">
        <f t="shared" si="177"/>
        <v>关</v>
      </c>
      <c r="M704" s="601"/>
      <c r="T704" s="75" t="str">
        <f t="shared" si="172"/>
        <v>3.25.6</v>
      </c>
    </row>
    <row r="705" spans="1:22" ht="45" customHeight="1">
      <c r="A705" s="603"/>
      <c r="B705" s="602"/>
      <c r="C705" s="105" t="s">
        <v>8</v>
      </c>
      <c r="E705" s="102"/>
      <c r="F705" s="105" t="str">
        <f t="shared" si="179"/>
        <v>关</v>
      </c>
      <c r="G705" s="105" t="str">
        <f t="shared" si="178"/>
        <v>关</v>
      </c>
      <c r="H705" s="105" t="str">
        <f t="shared" si="174"/>
        <v>关</v>
      </c>
      <c r="I705" s="84" t="s">
        <v>141</v>
      </c>
      <c r="J705" s="101" t="s">
        <v>142</v>
      </c>
      <c r="K705" s="105" t="str">
        <f t="shared" si="176"/>
        <v>关</v>
      </c>
      <c r="L705" s="105" t="str">
        <f t="shared" si="177"/>
        <v>关</v>
      </c>
      <c r="M705" s="601"/>
      <c r="T705" s="75" t="str">
        <f t="shared" si="172"/>
        <v>3.25.6</v>
      </c>
    </row>
    <row r="706" spans="1:22" ht="45" customHeight="1">
      <c r="A706" s="603"/>
      <c r="B706" s="602"/>
      <c r="C706" s="105" t="s">
        <v>8</v>
      </c>
      <c r="E706" s="102"/>
      <c r="F706" s="105" t="str">
        <f t="shared" si="179"/>
        <v>关</v>
      </c>
      <c r="G706" s="105" t="str">
        <f t="shared" si="178"/>
        <v>关</v>
      </c>
      <c r="H706" s="105" t="str">
        <f t="shared" si="174"/>
        <v>关</v>
      </c>
      <c r="I706" s="84" t="s">
        <v>143</v>
      </c>
      <c r="J706" s="101" t="s">
        <v>144</v>
      </c>
      <c r="K706" s="105" t="str">
        <f t="shared" si="176"/>
        <v>关</v>
      </c>
      <c r="L706" s="105" t="str">
        <f t="shared" si="177"/>
        <v>关</v>
      </c>
      <c r="M706" s="601"/>
      <c r="T706" s="75" t="str">
        <f t="shared" si="172"/>
        <v>3.25.6</v>
      </c>
    </row>
    <row r="707" spans="1:22" ht="45" customHeight="1">
      <c r="A707" s="603"/>
      <c r="B707" s="602"/>
      <c r="C707" s="105" t="s">
        <v>8</v>
      </c>
      <c r="E707" s="102"/>
      <c r="F707" s="105" t="str">
        <f t="shared" si="179"/>
        <v>关</v>
      </c>
      <c r="G707" s="105" t="str">
        <f t="shared" si="178"/>
        <v>关</v>
      </c>
      <c r="H707" s="105" t="str">
        <f t="shared" si="174"/>
        <v>关</v>
      </c>
      <c r="I707" s="84" t="s">
        <v>145</v>
      </c>
      <c r="J707" s="101" t="s">
        <v>146</v>
      </c>
      <c r="K707" s="105" t="str">
        <f t="shared" si="176"/>
        <v>关</v>
      </c>
      <c r="L707" s="105" t="str">
        <f t="shared" si="177"/>
        <v>关</v>
      </c>
      <c r="M707" s="601"/>
      <c r="T707" s="75" t="str">
        <f t="shared" si="172"/>
        <v>3.25.6</v>
      </c>
    </row>
    <row r="708" spans="1:22" ht="45" customHeight="1">
      <c r="A708" s="603"/>
      <c r="B708" s="602"/>
      <c r="C708" s="105" t="s">
        <v>8</v>
      </c>
      <c r="E708" s="102"/>
      <c r="F708" s="105" t="str">
        <f t="shared" si="179"/>
        <v>关</v>
      </c>
      <c r="G708" s="105" t="str">
        <f t="shared" si="178"/>
        <v>关</v>
      </c>
      <c r="H708" s="105" t="str">
        <f t="shared" si="174"/>
        <v>关</v>
      </c>
      <c r="I708" s="84" t="s">
        <v>147</v>
      </c>
      <c r="J708" s="101" t="s">
        <v>148</v>
      </c>
      <c r="K708" s="105" t="str">
        <f t="shared" si="176"/>
        <v>关</v>
      </c>
      <c r="L708" s="105" t="str">
        <f t="shared" si="177"/>
        <v>关</v>
      </c>
      <c r="M708" s="601"/>
      <c r="N708" s="75"/>
      <c r="O708" s="75"/>
      <c r="P708" s="75"/>
      <c r="S708" s="74">
        <f>ROUND(R708*0.03,2)</f>
        <v>0</v>
      </c>
      <c r="T708" s="75" t="str">
        <f t="shared" si="172"/>
        <v>3.25.6</v>
      </c>
      <c r="U708" s="74" t="b">
        <f>TEXT(O708,"0.00")=TEXT(R708,"0.00")</f>
        <v>1</v>
      </c>
      <c r="V708" s="74">
        <f>S708-P708</f>
        <v>0</v>
      </c>
    </row>
    <row r="709" spans="1:22" ht="45" customHeight="1">
      <c r="A709" s="603"/>
      <c r="B709" s="602"/>
      <c r="C709" s="105" t="s">
        <v>30</v>
      </c>
      <c r="D709" s="106" t="s">
        <v>31</v>
      </c>
      <c r="E709" s="417" t="s">
        <v>32</v>
      </c>
      <c r="F709" s="105" t="str">
        <f t="shared" si="179"/>
        <v>关</v>
      </c>
      <c r="G709" s="105" t="str">
        <f t="shared" si="178"/>
        <v>关</v>
      </c>
      <c r="H709" s="105" t="str">
        <f t="shared" si="174"/>
        <v>关</v>
      </c>
      <c r="I709" s="106"/>
      <c r="J709" s="101"/>
      <c r="K709" s="105" t="str">
        <f t="shared" si="176"/>
        <v>关</v>
      </c>
      <c r="L709" s="105" t="str">
        <f t="shared" si="177"/>
        <v>关</v>
      </c>
      <c r="M709" s="601"/>
      <c r="N709" s="75"/>
      <c r="O709" s="75"/>
      <c r="P709" s="75"/>
      <c r="S709" s="74">
        <f>ROUND(R709*0.03,2)</f>
        <v>0</v>
      </c>
      <c r="T709" s="75" t="str">
        <f t="shared" si="172"/>
        <v>3.25.6</v>
      </c>
      <c r="U709" s="74" t="b">
        <f>TEXT(O709,"0.00")=TEXT(R709,"0.00")</f>
        <v>1</v>
      </c>
      <c r="V709" s="74">
        <f>S709-P709</f>
        <v>0</v>
      </c>
    </row>
    <row r="710" spans="1:22" ht="45" customHeight="1">
      <c r="A710" s="603"/>
      <c r="B710" s="602"/>
      <c r="C710" s="105" t="s">
        <v>30</v>
      </c>
      <c r="D710" s="106" t="s">
        <v>33</v>
      </c>
      <c r="E710" s="101" t="s">
        <v>34</v>
      </c>
      <c r="F710" s="105" t="str">
        <f t="shared" si="179"/>
        <v>关</v>
      </c>
      <c r="G710" s="105" t="str">
        <f t="shared" si="178"/>
        <v>关</v>
      </c>
      <c r="H710" s="105" t="str">
        <f t="shared" si="174"/>
        <v>关</v>
      </c>
      <c r="J710" s="101"/>
      <c r="K710" s="105" t="str">
        <f t="shared" si="176"/>
        <v>关</v>
      </c>
      <c r="L710" s="105" t="str">
        <f t="shared" si="177"/>
        <v>关</v>
      </c>
      <c r="M710" s="601"/>
      <c r="N710" s="75"/>
      <c r="O710" s="75"/>
      <c r="T710" s="75" t="str">
        <f t="shared" si="172"/>
        <v>3.25.6</v>
      </c>
      <c r="U710" s="74" t="b">
        <f>TEXT(O710,"0.00")=TEXT(R710,"0.00")</f>
        <v>1</v>
      </c>
    </row>
    <row r="711" spans="1:22" ht="45" customHeight="1">
      <c r="A711" s="603"/>
      <c r="B711" s="602"/>
      <c r="C711" s="105" t="s">
        <v>8</v>
      </c>
      <c r="D711" s="106"/>
      <c r="E711" s="78"/>
      <c r="F711" s="105" t="str">
        <f t="shared" si="179"/>
        <v>关</v>
      </c>
      <c r="G711" s="105" t="str">
        <f t="shared" si="178"/>
        <v>关</v>
      </c>
      <c r="H711" s="105" t="str">
        <f t="shared" si="174"/>
        <v>关</v>
      </c>
      <c r="I711" s="106" t="s">
        <v>54</v>
      </c>
      <c r="J711" s="418" t="s">
        <v>149</v>
      </c>
      <c r="K711" s="105" t="str">
        <f t="shared" si="176"/>
        <v>关</v>
      </c>
      <c r="L711" s="105" t="str">
        <f t="shared" si="177"/>
        <v>关</v>
      </c>
      <c r="M711" s="601"/>
      <c r="T711" s="75" t="str">
        <f t="shared" si="172"/>
        <v>3.25.6</v>
      </c>
    </row>
    <row r="712" spans="1:22" ht="45" customHeight="1">
      <c r="A712" s="603"/>
      <c r="B712" s="602"/>
      <c r="C712" s="105" t="s">
        <v>3</v>
      </c>
      <c r="D712" s="106" t="s">
        <v>35</v>
      </c>
      <c r="E712" s="101" t="s">
        <v>63</v>
      </c>
      <c r="F712" s="105" t="s">
        <v>37</v>
      </c>
      <c r="G712" s="105" t="str">
        <f t="shared" si="178"/>
        <v>关</v>
      </c>
      <c r="H712" s="105" t="str">
        <f t="shared" si="174"/>
        <v>关</v>
      </c>
      <c r="J712" s="101"/>
      <c r="K712" s="105" t="str">
        <f t="shared" si="176"/>
        <v>关</v>
      </c>
      <c r="L712" s="105" t="str">
        <f t="shared" si="177"/>
        <v>关</v>
      </c>
      <c r="M712" s="601"/>
      <c r="T712" s="75" t="str">
        <f t="shared" si="172"/>
        <v>3.25.6</v>
      </c>
    </row>
    <row r="713" spans="1:22" ht="45" customHeight="1">
      <c r="A713" s="603"/>
      <c r="B713" s="602"/>
      <c r="C713" s="105" t="s">
        <v>3</v>
      </c>
      <c r="D713" s="106" t="s">
        <v>38</v>
      </c>
      <c r="E713" s="101" t="s">
        <v>101</v>
      </c>
      <c r="F713" s="105" t="str">
        <f>IFERROR(IF(FIND("开",F712,1),"开","关"),"关")</f>
        <v>开</v>
      </c>
      <c r="G713" s="105" t="s">
        <v>29</v>
      </c>
      <c r="H713" s="105" t="str">
        <f t="shared" si="174"/>
        <v>关</v>
      </c>
      <c r="I713" s="106"/>
      <c r="J713" s="101"/>
      <c r="K713" s="105" t="str">
        <f t="shared" si="176"/>
        <v>关</v>
      </c>
      <c r="L713" s="105" t="str">
        <f t="shared" si="177"/>
        <v>关</v>
      </c>
      <c r="M713" s="601"/>
      <c r="T713" s="75" t="str">
        <f t="shared" si="172"/>
        <v>3.25.6</v>
      </c>
    </row>
    <row r="714" spans="1:22" ht="45" customHeight="1">
      <c r="A714" s="603"/>
      <c r="B714" s="602"/>
      <c r="C714" s="105" t="s">
        <v>3</v>
      </c>
      <c r="D714" s="106" t="s">
        <v>40</v>
      </c>
      <c r="E714" s="101" t="s">
        <v>41</v>
      </c>
      <c r="F714" s="105" t="s">
        <v>42</v>
      </c>
      <c r="G714" s="105" t="str">
        <f t="shared" ref="G714:G719" si="180">IFERROR(IF(FIND("开",G713,1),"开","关"),"关")</f>
        <v>关</v>
      </c>
      <c r="H714" s="105" t="str">
        <f t="shared" si="174"/>
        <v>关</v>
      </c>
      <c r="I714" s="106"/>
      <c r="J714" s="101"/>
      <c r="K714" s="105" t="str">
        <f t="shared" si="176"/>
        <v>关</v>
      </c>
      <c r="L714" s="105" t="str">
        <f t="shared" si="177"/>
        <v>关</v>
      </c>
      <c r="M714" s="601"/>
      <c r="T714" s="75" t="str">
        <f t="shared" si="172"/>
        <v>3.25.6</v>
      </c>
    </row>
    <row r="715" spans="1:22" ht="45" customHeight="1">
      <c r="A715" s="603"/>
      <c r="B715" s="602"/>
      <c r="C715" s="105" t="s">
        <v>3</v>
      </c>
      <c r="D715" s="106" t="s">
        <v>45</v>
      </c>
      <c r="E715" s="419" t="s">
        <v>46</v>
      </c>
      <c r="F715" s="105" t="str">
        <f>IFERROR(IF(FIND("开",F714,1),"开","关"),"关")</f>
        <v>关</v>
      </c>
      <c r="G715" s="105" t="str">
        <f t="shared" si="180"/>
        <v>关</v>
      </c>
      <c r="H715" s="105" t="str">
        <f t="shared" si="174"/>
        <v>关</v>
      </c>
      <c r="I715" s="74"/>
      <c r="J715" s="77"/>
      <c r="K715" s="105" t="str">
        <f t="shared" si="176"/>
        <v>关</v>
      </c>
      <c r="L715" s="105" t="str">
        <f t="shared" si="177"/>
        <v>关</v>
      </c>
      <c r="M715" s="601"/>
      <c r="N715" s="75"/>
      <c r="O715" s="75"/>
      <c r="T715" s="75" t="str">
        <f t="shared" si="172"/>
        <v>3.25.6</v>
      </c>
      <c r="U715" s="74" t="b">
        <f>TEXT(O715,"0.00")=TEXT(R715,"0.00")</f>
        <v>1</v>
      </c>
    </row>
    <row r="716" spans="1:22" ht="45" customHeight="1">
      <c r="A716" s="603" t="s">
        <v>168</v>
      </c>
      <c r="B716" s="602" t="s">
        <v>169</v>
      </c>
      <c r="C716" s="105" t="s">
        <v>3</v>
      </c>
      <c r="D716" s="106" t="s">
        <v>130</v>
      </c>
      <c r="E716" s="420" t="s">
        <v>131</v>
      </c>
      <c r="F716" s="105" t="str">
        <f>IFERROR(IF(FIND("开",F715,1),"开","关"),"关")</f>
        <v>关</v>
      </c>
      <c r="G716" s="105" t="str">
        <f t="shared" si="180"/>
        <v>关</v>
      </c>
      <c r="H716" s="105" t="s">
        <v>42</v>
      </c>
      <c r="I716" s="106"/>
      <c r="J716" s="101"/>
      <c r="K716" s="105" t="str">
        <f t="shared" si="176"/>
        <v>关</v>
      </c>
      <c r="L716" s="105" t="str">
        <f t="shared" si="177"/>
        <v>关</v>
      </c>
      <c r="M716" s="601">
        <v>1</v>
      </c>
      <c r="T716" s="75" t="e">
        <f t="shared" si="172"/>
        <v>#VALUE!</v>
      </c>
    </row>
    <row r="717" spans="1:22" ht="45" customHeight="1">
      <c r="A717" s="603"/>
      <c r="B717" s="602"/>
      <c r="C717" s="105" t="s">
        <v>3</v>
      </c>
      <c r="D717" s="106" t="s">
        <v>171</v>
      </c>
      <c r="E717" s="101" t="s">
        <v>44</v>
      </c>
      <c r="F717" s="105" t="str">
        <f>IFERROR(IF(FIND("开",F716,1),"开","关"),"关")</f>
        <v>关</v>
      </c>
      <c r="G717" s="105" t="str">
        <f t="shared" si="180"/>
        <v>关</v>
      </c>
      <c r="H717" s="105" t="str">
        <f>IFERROR(IF(FIND("开",H716,1),"开","关"),"关")</f>
        <v>关</v>
      </c>
      <c r="J717" s="77"/>
      <c r="K717" s="105" t="str">
        <f t="shared" si="176"/>
        <v>关</v>
      </c>
      <c r="L717" s="105" t="str">
        <f t="shared" si="177"/>
        <v>关</v>
      </c>
      <c r="M717" s="601"/>
      <c r="T717" s="75" t="e">
        <f t="shared" si="172"/>
        <v>#VALUE!</v>
      </c>
    </row>
    <row r="718" spans="1:22" ht="45" customHeight="1">
      <c r="A718" s="603"/>
      <c r="B718" s="602"/>
      <c r="C718" s="105" t="s">
        <v>8</v>
      </c>
      <c r="E718" s="77"/>
      <c r="F718" s="105" t="str">
        <f>IFERROR(IF(FIND("开",F717,1),"开","关"),"关")</f>
        <v>关</v>
      </c>
      <c r="G718" s="105" t="str">
        <f t="shared" si="180"/>
        <v>关</v>
      </c>
      <c r="H718" s="105" t="str">
        <f>IFERROR(IF(FIND("开",H717,1),"开","关"),"关")</f>
        <v>关</v>
      </c>
      <c r="I718" s="106" t="s">
        <v>172</v>
      </c>
      <c r="J718" s="101" t="s">
        <v>126</v>
      </c>
      <c r="K718" s="105" t="str">
        <f t="shared" si="176"/>
        <v>关</v>
      </c>
      <c r="L718" s="105" t="str">
        <f t="shared" si="177"/>
        <v>关</v>
      </c>
      <c r="M718" s="601"/>
      <c r="T718" s="75" t="e">
        <f t="shared" si="172"/>
        <v>#VALUE!</v>
      </c>
    </row>
    <row r="719" spans="1:22" ht="45" customHeight="1">
      <c r="A719" s="89" t="s">
        <v>405</v>
      </c>
      <c r="E719" s="102"/>
      <c r="F719" s="105" t="str">
        <f>IFERROR(IF(FIND("开",F718,1),"开","关"),"关")</f>
        <v>关</v>
      </c>
      <c r="G719" s="105" t="str">
        <f t="shared" si="180"/>
        <v>关</v>
      </c>
      <c r="H719" s="105" t="str">
        <f>IFERROR(IF(FIND("开",H718,1),"开","关"),"关")</f>
        <v>关</v>
      </c>
      <c r="I719" s="106"/>
      <c r="J719" s="101"/>
      <c r="K719" s="105" t="str">
        <f t="shared" si="176"/>
        <v>关</v>
      </c>
      <c r="L719" s="105" t="str">
        <f t="shared" si="177"/>
        <v>关</v>
      </c>
      <c r="T719" s="75" t="str">
        <f t="shared" si="172"/>
        <v>3.26</v>
      </c>
    </row>
    <row r="720" spans="1:22" ht="45" customHeight="1">
      <c r="A720" s="595" t="s">
        <v>406</v>
      </c>
      <c r="B720" s="701" t="s">
        <v>239</v>
      </c>
      <c r="C720" s="105" t="s">
        <v>3</v>
      </c>
      <c r="D720" s="106" t="s">
        <v>407</v>
      </c>
      <c r="E720" s="421" t="s">
        <v>176</v>
      </c>
      <c r="F720" s="105" t="str">
        <f>IFERROR(IF(FIND("开",F752,1),"开","关"),"关")</f>
        <v>关</v>
      </c>
      <c r="G720" s="105" t="str">
        <f>IFERROR(IF(FIND("开",G752,1),"开","关"),"关")</f>
        <v>关</v>
      </c>
      <c r="H720" s="105" t="s">
        <v>37</v>
      </c>
      <c r="J720" s="101"/>
      <c r="K720" s="105" t="str">
        <f>IFERROR(IF(FIND("开",K752,1),"开","关"),"关")</f>
        <v>开</v>
      </c>
      <c r="L720" s="105" t="str">
        <f>IFERROR(IF(FIND("开",L752,1),"开","关"),"关")</f>
        <v>关</v>
      </c>
      <c r="M720" s="601">
        <v>1</v>
      </c>
      <c r="T720" s="75" t="str">
        <f>IF(ISBLANK(A720),T752,LEFT(A720,FIND(" ",A720,1)-1))</f>
        <v>3.26.1</v>
      </c>
    </row>
    <row r="721" spans="1:21" ht="45" customHeight="1">
      <c r="A721" s="596"/>
      <c r="B721" s="599"/>
      <c r="C721" s="105" t="s">
        <v>178</v>
      </c>
      <c r="D721" s="106"/>
      <c r="E721" s="101"/>
      <c r="I721" s="84" t="s">
        <v>179</v>
      </c>
      <c r="J721" s="422" t="s">
        <v>149</v>
      </c>
      <c r="M721" s="601"/>
      <c r="N721" s="75"/>
      <c r="O721" s="75"/>
      <c r="Q721" s="75"/>
      <c r="T721" s="75"/>
    </row>
    <row r="722" spans="1:21" ht="45" customHeight="1">
      <c r="A722" s="596"/>
      <c r="B722" s="599"/>
      <c r="C722" s="105" t="s">
        <v>3</v>
      </c>
      <c r="D722" s="106" t="s">
        <v>180</v>
      </c>
      <c r="E722" s="423" t="s">
        <v>181</v>
      </c>
      <c r="F722" s="105" t="str">
        <f>IFERROR(IF(FIND("开",F720,1),"开","关"),"关")</f>
        <v>关</v>
      </c>
      <c r="G722" s="105" t="str">
        <f>IFERROR(IF(FIND("开",G720,1),"开","关"),"关")</f>
        <v>关</v>
      </c>
      <c r="H722" s="105" t="str">
        <f>IFERROR(IF(FIND("开",H720,1),"开","关"),"关")</f>
        <v>开</v>
      </c>
      <c r="J722" s="101"/>
      <c r="K722" s="105" t="str">
        <f>IFERROR(IF(FIND("开",K720,1),"开","关"),"关")</f>
        <v>开</v>
      </c>
      <c r="L722" s="105" t="str">
        <f>IFERROR(IF(FIND("开",L720,1),"开","关"),"关")</f>
        <v>关</v>
      </c>
      <c r="M722" s="601"/>
      <c r="N722" s="75" t="s">
        <v>182</v>
      </c>
      <c r="O722" s="75" t="str">
        <f>MID(E722,FIND("setting",E722,1)+8,FIND("kg",E722,1)-FIND("setting",E722,1)-8)</f>
        <v xml:space="preserve"> 483.60</v>
      </c>
      <c r="Q722" s="75" t="str">
        <f>SUBSTITUTE(T722&amp;N722," ","")</f>
        <v>3.26.120%piperidinesolution</v>
      </c>
      <c r="R722" s="74">
        <f>VLOOKUP(Q722,MOR投料表!A:L,9,FALSE)</f>
        <v>483.6</v>
      </c>
      <c r="T722" s="75" t="str">
        <f>IF(ISBLANK(A722),T720,LEFT(A722,FIND(" ",A722,1)-1))</f>
        <v>3.26.1</v>
      </c>
      <c r="U722" s="74" t="b">
        <f>TEXT(O722,"0.00")=TEXT(R722,"0.00")</f>
        <v>1</v>
      </c>
    </row>
    <row r="723" spans="1:21" ht="45" customHeight="1">
      <c r="A723" s="596"/>
      <c r="B723" s="599"/>
      <c r="C723" s="105" t="s">
        <v>3</v>
      </c>
      <c r="D723" s="106" t="s">
        <v>183</v>
      </c>
      <c r="E723" s="101" t="s">
        <v>184</v>
      </c>
      <c r="F723" s="105" t="str">
        <f>IFERROR(IF(FIND("开",F722,1),"开","关"),"关")</f>
        <v>关</v>
      </c>
      <c r="G723" s="105" t="str">
        <f>IFERROR(IF(FIND("开",G722,1),"开","关"),"关")</f>
        <v>关</v>
      </c>
      <c r="H723" s="105" t="str">
        <f>IFERROR(IF(FIND("开",H722,1),"开","关"),"关")</f>
        <v>开</v>
      </c>
      <c r="J723" s="101"/>
      <c r="K723" s="105" t="str">
        <f t="shared" ref="K723:K748" si="181">IFERROR(IF(FIND("开",K722,1),"开","关"),"关")</f>
        <v>开</v>
      </c>
      <c r="L723" s="105" t="str">
        <f t="shared" ref="L723:L748" si="182">IFERROR(IF(FIND("开",L722,1),"开","关"),"关")</f>
        <v>关</v>
      </c>
      <c r="M723" s="601"/>
      <c r="T723" s="75" t="str">
        <f t="shared" ref="T723:T748" si="183">IF(ISBLANK(A723),T722,LEFT(A723,FIND(" ",A723,1)-1))</f>
        <v>3.26.1</v>
      </c>
    </row>
    <row r="724" spans="1:21" ht="45" customHeight="1">
      <c r="A724" s="596"/>
      <c r="B724" s="599"/>
      <c r="C724" s="105" t="s">
        <v>3</v>
      </c>
      <c r="D724" s="106" t="s">
        <v>35</v>
      </c>
      <c r="E724" s="101" t="s">
        <v>63</v>
      </c>
      <c r="F724" s="105" t="s">
        <v>37</v>
      </c>
      <c r="G724" s="105" t="str">
        <f>IFERROR(IF(FIND("开",G723,1),"开","关"),"关")</f>
        <v>关</v>
      </c>
      <c r="H724" s="105" t="str">
        <f>IFERROR(IF(FIND("开",H723,1),"开","关"),"关")</f>
        <v>开</v>
      </c>
      <c r="J724" s="101"/>
      <c r="K724" s="105" t="str">
        <f t="shared" si="181"/>
        <v>开</v>
      </c>
      <c r="L724" s="105" t="str">
        <f t="shared" si="182"/>
        <v>关</v>
      </c>
      <c r="M724" s="601"/>
      <c r="T724" s="75" t="str">
        <f t="shared" si="183"/>
        <v>3.26.1</v>
      </c>
    </row>
    <row r="725" spans="1:21" ht="45" customHeight="1">
      <c r="A725" s="596"/>
      <c r="B725" s="599"/>
      <c r="C725" s="105" t="s">
        <v>3</v>
      </c>
      <c r="D725" s="106" t="s">
        <v>64</v>
      </c>
      <c r="E725" s="101" t="s">
        <v>65</v>
      </c>
      <c r="F725" s="105" t="str">
        <f>IFERROR(IF(FIND("开",F724,1),"开","关"),"关")</f>
        <v>开</v>
      </c>
      <c r="G725" s="105" t="s">
        <v>37</v>
      </c>
      <c r="H725" s="105" t="str">
        <f t="shared" ref="H725:H748" si="184">IFERROR(IF(FIND("开",H724,1),"开","关"),"关")</f>
        <v>开</v>
      </c>
      <c r="J725" s="101"/>
      <c r="K725" s="105" t="str">
        <f t="shared" si="181"/>
        <v>开</v>
      </c>
      <c r="L725" s="105" t="str">
        <f t="shared" si="182"/>
        <v>关</v>
      </c>
      <c r="M725" s="601"/>
      <c r="T725" s="75" t="str">
        <f t="shared" si="183"/>
        <v>3.26.1</v>
      </c>
    </row>
    <row r="726" spans="1:21" ht="45" customHeight="1">
      <c r="A726" s="596"/>
      <c r="B726" s="599"/>
      <c r="C726" s="105" t="s">
        <v>3</v>
      </c>
      <c r="D726" s="106" t="s">
        <v>66</v>
      </c>
      <c r="E726" s="424" t="s">
        <v>67</v>
      </c>
      <c r="F726" s="105" t="str">
        <f>IFERROR(IF(FIND("开",F725,1),"开","关"),"关")</f>
        <v>开</v>
      </c>
      <c r="G726" s="105" t="str">
        <f>IFERROR(IF(FIND("开",G725,1),"开","关"),"关")</f>
        <v>开</v>
      </c>
      <c r="H726" s="105" t="str">
        <f t="shared" si="184"/>
        <v>开</v>
      </c>
      <c r="J726" s="101"/>
      <c r="K726" s="105" t="str">
        <f t="shared" si="181"/>
        <v>开</v>
      </c>
      <c r="L726" s="105" t="str">
        <f t="shared" si="182"/>
        <v>关</v>
      </c>
      <c r="M726" s="601"/>
      <c r="T726" s="75" t="str">
        <f t="shared" si="183"/>
        <v>3.26.1</v>
      </c>
    </row>
    <row r="727" spans="1:21" ht="45" customHeight="1">
      <c r="A727" s="596"/>
      <c r="B727" s="599"/>
      <c r="C727" s="105" t="s">
        <v>3</v>
      </c>
      <c r="D727" s="106" t="s">
        <v>68</v>
      </c>
      <c r="E727" s="425" t="s">
        <v>185</v>
      </c>
      <c r="F727" s="105" t="str">
        <f>IFERROR(IF(FIND("开",F726,1),"开","关"),"关")</f>
        <v>开</v>
      </c>
      <c r="G727" s="105" t="str">
        <f>IFERROR(IF(FIND("开",G726,1),"开","关"),"关")</f>
        <v>开</v>
      </c>
      <c r="H727" s="105" t="str">
        <f t="shared" si="184"/>
        <v>开</v>
      </c>
      <c r="J727" s="101"/>
      <c r="K727" s="105" t="str">
        <f t="shared" si="181"/>
        <v>开</v>
      </c>
      <c r="L727" s="105" t="str">
        <f t="shared" si="182"/>
        <v>关</v>
      </c>
      <c r="M727" s="601"/>
      <c r="T727" s="75" t="str">
        <f t="shared" si="183"/>
        <v>3.26.1</v>
      </c>
    </row>
    <row r="728" spans="1:21" ht="45" customHeight="1">
      <c r="A728" s="596"/>
      <c r="B728" s="599"/>
      <c r="C728" s="105" t="s">
        <v>3</v>
      </c>
      <c r="D728" s="106" t="s">
        <v>70</v>
      </c>
      <c r="E728" s="101" t="s">
        <v>71</v>
      </c>
      <c r="F728" s="105" t="str">
        <f>IFERROR(IF(FIND("开",F727,1),"开","关"),"关")</f>
        <v>开</v>
      </c>
      <c r="G728" s="105" t="s">
        <v>42</v>
      </c>
      <c r="H728" s="105" t="str">
        <f t="shared" si="184"/>
        <v>开</v>
      </c>
      <c r="J728" s="101"/>
      <c r="K728" s="105" t="str">
        <f t="shared" si="181"/>
        <v>开</v>
      </c>
      <c r="L728" s="105" t="str">
        <f t="shared" si="182"/>
        <v>关</v>
      </c>
      <c r="M728" s="601"/>
      <c r="N728" s="75"/>
      <c r="O728" s="75"/>
      <c r="T728" s="75" t="str">
        <f t="shared" si="183"/>
        <v>3.26.1</v>
      </c>
    </row>
    <row r="729" spans="1:21" ht="45" customHeight="1">
      <c r="A729" s="596"/>
      <c r="B729" s="599"/>
      <c r="C729" s="105" t="s">
        <v>3</v>
      </c>
      <c r="D729" s="106" t="s">
        <v>40</v>
      </c>
      <c r="E729" s="101" t="s">
        <v>41</v>
      </c>
      <c r="F729" s="105" t="s">
        <v>42</v>
      </c>
      <c r="G729" s="105" t="str">
        <f>IFERROR(IF(FIND("开",G728,1),"开","关"),"关")</f>
        <v>关</v>
      </c>
      <c r="H729" s="105" t="str">
        <f t="shared" si="184"/>
        <v>开</v>
      </c>
      <c r="J729" s="101"/>
      <c r="K729" s="105" t="str">
        <f t="shared" si="181"/>
        <v>开</v>
      </c>
      <c r="L729" s="105" t="str">
        <f t="shared" si="182"/>
        <v>关</v>
      </c>
      <c r="M729" s="601"/>
      <c r="N729" s="75"/>
      <c r="O729" s="75"/>
      <c r="T729" s="75" t="str">
        <f t="shared" si="183"/>
        <v>3.26.1</v>
      </c>
      <c r="U729" s="74" t="b">
        <f>TEXT(O729,"0.00")=TEXT(R729,"0.00")</f>
        <v>1</v>
      </c>
    </row>
    <row r="730" spans="1:21" ht="45" customHeight="1">
      <c r="A730" s="596"/>
      <c r="B730" s="600"/>
      <c r="C730" s="105" t="s">
        <v>3</v>
      </c>
      <c r="D730" s="106" t="s">
        <v>45</v>
      </c>
      <c r="E730" s="426" t="s">
        <v>46</v>
      </c>
      <c r="F730" s="105" t="str">
        <f>IFERROR(IF(FIND("开",F729,1),"开","关"),"关")</f>
        <v>关</v>
      </c>
      <c r="G730" s="105" t="str">
        <f>IFERROR(IF(FIND("开",G729,1),"开","关"),"关")</f>
        <v>关</v>
      </c>
      <c r="H730" s="105" t="str">
        <f t="shared" si="184"/>
        <v>开</v>
      </c>
      <c r="J730" s="101"/>
      <c r="K730" s="105" t="str">
        <f t="shared" si="181"/>
        <v>开</v>
      </c>
      <c r="L730" s="105" t="str">
        <f t="shared" si="182"/>
        <v>关</v>
      </c>
      <c r="M730" s="601"/>
      <c r="T730" s="75" t="str">
        <f t="shared" si="183"/>
        <v>3.26.1</v>
      </c>
    </row>
    <row r="731" spans="1:21" ht="45" customHeight="1">
      <c r="A731" s="603" t="s">
        <v>409</v>
      </c>
      <c r="B731" s="654" t="s">
        <v>410</v>
      </c>
      <c r="C731" s="105" t="s">
        <v>3</v>
      </c>
      <c r="D731" s="106" t="s">
        <v>188</v>
      </c>
      <c r="E731" s="101" t="s">
        <v>363</v>
      </c>
      <c r="F731" s="105" t="str">
        <f>IFERROR(IF(FIND("开",F730,1),"开","关"),"关")</f>
        <v>关</v>
      </c>
      <c r="G731" s="105" t="str">
        <f>IFERROR(IF(FIND("开",G730,1),"开","关"),"关")</f>
        <v>关</v>
      </c>
      <c r="H731" s="105" t="str">
        <f t="shared" si="184"/>
        <v>开</v>
      </c>
      <c r="J731" s="101"/>
      <c r="K731" s="105" t="str">
        <f t="shared" si="181"/>
        <v>开</v>
      </c>
      <c r="L731" s="105" t="str">
        <f t="shared" si="182"/>
        <v>关</v>
      </c>
      <c r="M731" s="601">
        <v>4</v>
      </c>
      <c r="N731" s="75" t="str">
        <f>MID(E731,FIND("线路-》",E731,1)+4,FIND("-&gt;",E731,1)-13)</f>
        <v>IPAC</v>
      </c>
      <c r="O731" s="75" t="str">
        <f>MID(E731,FIND("setting",E731,1)+8,FIND("kg",E731,1)-FIND("setting",E731,1)-8)</f>
        <v xml:space="preserve"> 567.45</v>
      </c>
      <c r="Q731" s="75" t="str">
        <f>SUBSTITUTE(T731&amp;N731," ","")</f>
        <v>3.26.4IPAC</v>
      </c>
      <c r="R731" s="74">
        <f>VLOOKUP(Q731,MOR投料表!A:L,9,FALSE)</f>
        <v>567.45000000000005</v>
      </c>
      <c r="T731" s="75" t="str">
        <f t="shared" si="183"/>
        <v>3.26.4</v>
      </c>
      <c r="U731" s="74" t="b">
        <f>TEXT(O731,"0.00")=TEXT(R731,"0.00")</f>
        <v>1</v>
      </c>
    </row>
    <row r="732" spans="1:21" ht="45" customHeight="1">
      <c r="A732" s="603"/>
      <c r="B732" s="602"/>
      <c r="C732" s="105" t="s">
        <v>3</v>
      </c>
      <c r="D732" s="106" t="s">
        <v>191</v>
      </c>
      <c r="E732" s="101" t="s">
        <v>192</v>
      </c>
      <c r="F732" s="105" t="str">
        <f>IFERROR(IF(FIND("开",F731,1),"开","关"),"关")</f>
        <v>关</v>
      </c>
      <c r="G732" s="105" t="str">
        <f>IFERROR(IF(FIND("开",G731,1),"开","关"),"关")</f>
        <v>关</v>
      </c>
      <c r="H732" s="105" t="str">
        <f t="shared" si="184"/>
        <v>开</v>
      </c>
      <c r="J732" s="101"/>
      <c r="K732" s="105" t="str">
        <f t="shared" si="181"/>
        <v>开</v>
      </c>
      <c r="L732" s="105" t="str">
        <f t="shared" si="182"/>
        <v>关</v>
      </c>
      <c r="M732" s="601"/>
      <c r="T732" s="75" t="str">
        <f t="shared" si="183"/>
        <v>3.26.4</v>
      </c>
    </row>
    <row r="733" spans="1:21" ht="45" customHeight="1">
      <c r="A733" s="603"/>
      <c r="B733" s="602"/>
      <c r="C733" s="105" t="s">
        <v>3</v>
      </c>
      <c r="D733" s="106" t="s">
        <v>35</v>
      </c>
      <c r="E733" s="101" t="s">
        <v>63</v>
      </c>
      <c r="F733" s="105" t="s">
        <v>37</v>
      </c>
      <c r="G733" s="105" t="str">
        <f>IFERROR(IF(FIND("开",G732,1),"开","关"),"关")</f>
        <v>关</v>
      </c>
      <c r="H733" s="105" t="str">
        <f t="shared" si="184"/>
        <v>开</v>
      </c>
      <c r="J733" s="101"/>
      <c r="K733" s="105" t="str">
        <f t="shared" si="181"/>
        <v>开</v>
      </c>
      <c r="L733" s="105" t="str">
        <f t="shared" si="182"/>
        <v>关</v>
      </c>
      <c r="M733" s="601"/>
      <c r="N733" s="75"/>
      <c r="O733" s="75"/>
      <c r="T733" s="75" t="str">
        <f t="shared" si="183"/>
        <v>3.26.4</v>
      </c>
      <c r="U733" s="74" t="b">
        <f>TEXT(O733,"0.00")=TEXT(R733,"0.00")</f>
        <v>1</v>
      </c>
    </row>
    <row r="734" spans="1:21" ht="45" customHeight="1">
      <c r="A734" s="603"/>
      <c r="B734" s="602"/>
      <c r="C734" s="105" t="s">
        <v>3</v>
      </c>
      <c r="D734" s="106" t="s">
        <v>38</v>
      </c>
      <c r="E734" s="101" t="s">
        <v>101</v>
      </c>
      <c r="F734" s="105" t="str">
        <f>IFERROR(IF(FIND("开",F733,1),"开","关"),"关")</f>
        <v>开</v>
      </c>
      <c r="G734" s="105" t="s">
        <v>29</v>
      </c>
      <c r="H734" s="105" t="str">
        <f t="shared" si="184"/>
        <v>开</v>
      </c>
      <c r="J734" s="101"/>
      <c r="K734" s="105" t="str">
        <f t="shared" si="181"/>
        <v>开</v>
      </c>
      <c r="L734" s="105" t="str">
        <f t="shared" si="182"/>
        <v>关</v>
      </c>
      <c r="M734" s="601"/>
      <c r="T734" s="75" t="str">
        <f t="shared" si="183"/>
        <v>3.26.4</v>
      </c>
    </row>
    <row r="735" spans="1:21" ht="45" customHeight="1">
      <c r="A735" s="603"/>
      <c r="B735" s="602"/>
      <c r="C735" s="105" t="s">
        <v>3</v>
      </c>
      <c r="D735" s="106" t="s">
        <v>40</v>
      </c>
      <c r="E735" s="101" t="s">
        <v>41</v>
      </c>
      <c r="F735" s="105" t="s">
        <v>42</v>
      </c>
      <c r="G735" s="105" t="str">
        <f>IFERROR(IF(FIND("开",G734,1),"开","关"),"关")</f>
        <v>关</v>
      </c>
      <c r="H735" s="105" t="str">
        <f t="shared" si="184"/>
        <v>开</v>
      </c>
      <c r="J735" s="101"/>
      <c r="K735" s="105" t="str">
        <f t="shared" si="181"/>
        <v>开</v>
      </c>
      <c r="L735" s="105" t="str">
        <f t="shared" si="182"/>
        <v>关</v>
      </c>
      <c r="M735" s="601"/>
      <c r="T735" s="75" t="str">
        <f t="shared" si="183"/>
        <v>3.26.4</v>
      </c>
    </row>
    <row r="736" spans="1:21" ht="45" customHeight="1">
      <c r="A736" s="603"/>
      <c r="B736" s="602"/>
      <c r="C736" s="105" t="s">
        <v>3</v>
      </c>
      <c r="D736" s="106" t="s">
        <v>193</v>
      </c>
      <c r="E736" s="427" t="s">
        <v>194</v>
      </c>
      <c r="F736" s="105" t="str">
        <f>IFERROR(IF(FIND("开",F735,1),"开","关"),"关")</f>
        <v>关</v>
      </c>
      <c r="G736" s="105" t="str">
        <f>IFERROR(IF(FIND("开",G735,1),"开","关"),"关")</f>
        <v>关</v>
      </c>
      <c r="H736" s="105" t="str">
        <f t="shared" si="184"/>
        <v>开</v>
      </c>
      <c r="J736" s="101"/>
      <c r="K736" s="105" t="str">
        <f t="shared" si="181"/>
        <v>开</v>
      </c>
      <c r="L736" s="105" t="str">
        <f t="shared" si="182"/>
        <v>关</v>
      </c>
      <c r="M736" s="601"/>
      <c r="T736" s="75" t="str">
        <f t="shared" si="183"/>
        <v>3.26.4</v>
      </c>
    </row>
    <row r="737" spans="1:21" ht="45" customHeight="1">
      <c r="A737" s="595" t="s">
        <v>412</v>
      </c>
      <c r="B737" s="655" t="s">
        <v>366</v>
      </c>
      <c r="C737" s="105" t="s">
        <v>3</v>
      </c>
      <c r="D737" s="106" t="s">
        <v>58</v>
      </c>
      <c r="E737" s="101" t="s">
        <v>367</v>
      </c>
      <c r="F737" s="105" t="str">
        <f>IFERROR(IF(FIND("开",F736,1),"开","关"),"关")</f>
        <v>关</v>
      </c>
      <c r="G737" s="105" t="str">
        <f>IFERROR(IF(FIND("开",G736,1),"开","关"),"关")</f>
        <v>关</v>
      </c>
      <c r="H737" s="105" t="str">
        <f t="shared" si="184"/>
        <v>开</v>
      </c>
      <c r="J737" s="101"/>
      <c r="K737" s="105" t="str">
        <f t="shared" si="181"/>
        <v>开</v>
      </c>
      <c r="L737" s="105" t="str">
        <f t="shared" si="182"/>
        <v>关</v>
      </c>
      <c r="M737" s="601">
        <v>1</v>
      </c>
      <c r="N737" s="75" t="s">
        <v>24</v>
      </c>
      <c r="O737" s="75" t="str">
        <f>MID(E737,FIND("setting",E737,1)+8,FIND("kg",E737,1)-FIND("setting",E737,1)-8)</f>
        <v xml:space="preserve"> 616.20</v>
      </c>
      <c r="Q737" s="75" t="str">
        <f>SUBSTITUTE(T737&amp;N737," ","")</f>
        <v>3.26.5DMF</v>
      </c>
      <c r="R737" s="74">
        <f>VLOOKUP(Q737,MOR投料表!A:L,9,FALSE)</f>
        <v>616.20000000000005</v>
      </c>
      <c r="T737" s="75" t="str">
        <f t="shared" si="183"/>
        <v>3.26.5</v>
      </c>
      <c r="U737" s="74" t="b">
        <f>TEXT(O737,"0.00")=TEXT(R737,"0.00")</f>
        <v>1</v>
      </c>
    </row>
    <row r="738" spans="1:21" ht="45" customHeight="1">
      <c r="A738" s="605"/>
      <c r="B738" s="602"/>
      <c r="C738" s="105" t="s">
        <v>3</v>
      </c>
      <c r="D738" s="106" t="s">
        <v>61</v>
      </c>
      <c r="E738" s="101" t="s">
        <v>62</v>
      </c>
      <c r="F738" s="105" t="str">
        <f>IFERROR(IF(FIND("开",F737,1),"开","关"),"关")</f>
        <v>关</v>
      </c>
      <c r="G738" s="105" t="str">
        <f>IFERROR(IF(FIND("开",G737,1),"开","关"),"关")</f>
        <v>关</v>
      </c>
      <c r="H738" s="105" t="str">
        <f t="shared" si="184"/>
        <v>开</v>
      </c>
      <c r="J738" s="101"/>
      <c r="K738" s="105" t="str">
        <f t="shared" si="181"/>
        <v>开</v>
      </c>
      <c r="L738" s="105" t="str">
        <f t="shared" si="182"/>
        <v>关</v>
      </c>
      <c r="M738" s="601"/>
      <c r="T738" s="75" t="str">
        <f t="shared" si="183"/>
        <v>3.26.5</v>
      </c>
    </row>
    <row r="739" spans="1:21" ht="45" customHeight="1">
      <c r="A739" s="605"/>
      <c r="B739" s="602"/>
      <c r="C739" s="105" t="s">
        <v>3</v>
      </c>
      <c r="D739" s="106" t="s">
        <v>35</v>
      </c>
      <c r="E739" s="101" t="s">
        <v>63</v>
      </c>
      <c r="F739" s="105" t="s">
        <v>37</v>
      </c>
      <c r="G739" s="105" t="str">
        <f>IFERROR(IF(FIND("开",G738,1),"开","关"),"关")</f>
        <v>关</v>
      </c>
      <c r="H739" s="105" t="str">
        <f t="shared" si="184"/>
        <v>开</v>
      </c>
      <c r="J739" s="101"/>
      <c r="K739" s="105" t="str">
        <f t="shared" si="181"/>
        <v>开</v>
      </c>
      <c r="L739" s="105" t="str">
        <f t="shared" si="182"/>
        <v>关</v>
      </c>
      <c r="M739" s="601"/>
      <c r="T739" s="75" t="str">
        <f t="shared" si="183"/>
        <v>3.26.5</v>
      </c>
    </row>
    <row r="740" spans="1:21" ht="45" customHeight="1">
      <c r="A740" s="605"/>
      <c r="B740" s="602"/>
      <c r="C740" s="105" t="s">
        <v>3</v>
      </c>
      <c r="D740" s="106" t="s">
        <v>38</v>
      </c>
      <c r="E740" s="101" t="s">
        <v>167</v>
      </c>
      <c r="F740" s="105" t="str">
        <f>IFERROR(IF(FIND("开",F739,1),"开","关"),"关")</f>
        <v>开</v>
      </c>
      <c r="G740" s="105" t="s">
        <v>29</v>
      </c>
      <c r="H740" s="105" t="str">
        <f t="shared" si="184"/>
        <v>开</v>
      </c>
      <c r="J740" s="101"/>
      <c r="K740" s="105" t="str">
        <f t="shared" si="181"/>
        <v>开</v>
      </c>
      <c r="L740" s="105" t="str">
        <f t="shared" si="182"/>
        <v>关</v>
      </c>
      <c r="M740" s="601"/>
      <c r="T740" s="75" t="str">
        <f t="shared" si="183"/>
        <v>3.26.5</v>
      </c>
    </row>
    <row r="741" spans="1:21" ht="45" customHeight="1">
      <c r="A741" s="605"/>
      <c r="B741" s="602"/>
      <c r="C741" s="105" t="s">
        <v>3</v>
      </c>
      <c r="D741" s="106" t="s">
        <v>40</v>
      </c>
      <c r="E741" s="101" t="s">
        <v>41</v>
      </c>
      <c r="F741" s="105" t="s">
        <v>42</v>
      </c>
      <c r="G741" s="105" t="str">
        <f>IFERROR(IF(FIND("开",G740,1),"开","关"),"关")</f>
        <v>关</v>
      </c>
      <c r="H741" s="105" t="str">
        <f t="shared" si="184"/>
        <v>开</v>
      </c>
      <c r="J741" s="101"/>
      <c r="K741" s="105" t="str">
        <f t="shared" si="181"/>
        <v>开</v>
      </c>
      <c r="L741" s="105" t="str">
        <f t="shared" si="182"/>
        <v>关</v>
      </c>
      <c r="M741" s="601"/>
      <c r="T741" s="75" t="str">
        <f t="shared" si="183"/>
        <v>3.26.5</v>
      </c>
    </row>
    <row r="742" spans="1:21" ht="45" customHeight="1">
      <c r="A742" s="606"/>
      <c r="B742" s="602"/>
      <c r="C742" s="105" t="s">
        <v>3</v>
      </c>
      <c r="D742" s="106" t="s">
        <v>198</v>
      </c>
      <c r="E742" s="428" t="s">
        <v>194</v>
      </c>
      <c r="F742" s="105" t="str">
        <f>IFERROR(IF(FIND("开",F741,1),"开","关"),"关")</f>
        <v>关</v>
      </c>
      <c r="G742" s="105" t="str">
        <f>IFERROR(IF(FIND("开",G741,1),"开","关"),"关")</f>
        <v>关</v>
      </c>
      <c r="H742" s="105" t="str">
        <f t="shared" si="184"/>
        <v>开</v>
      </c>
      <c r="J742" s="101"/>
      <c r="K742" s="105" t="str">
        <f t="shared" si="181"/>
        <v>开</v>
      </c>
      <c r="L742" s="105" t="str">
        <f t="shared" si="182"/>
        <v>关</v>
      </c>
      <c r="M742" s="601"/>
      <c r="T742" s="75" t="str">
        <f t="shared" si="183"/>
        <v>3.26.5</v>
      </c>
    </row>
    <row r="743" spans="1:21" ht="45" customHeight="1">
      <c r="A743" s="595" t="s">
        <v>414</v>
      </c>
      <c r="B743" s="656" t="s">
        <v>366</v>
      </c>
      <c r="C743" s="105" t="s">
        <v>3</v>
      </c>
      <c r="D743" s="106" t="s">
        <v>58</v>
      </c>
      <c r="E743" s="101" t="s">
        <v>367</v>
      </c>
      <c r="F743" s="105" t="str">
        <f>IFERROR(IF(FIND("开",F742,1),"开","关"),"关")</f>
        <v>关</v>
      </c>
      <c r="G743" s="105" t="str">
        <f>IFERROR(IF(FIND("开",G742,1),"开","关"),"关")</f>
        <v>关</v>
      </c>
      <c r="H743" s="105" t="str">
        <f t="shared" si="184"/>
        <v>开</v>
      </c>
      <c r="J743" s="101"/>
      <c r="K743" s="105" t="str">
        <f t="shared" si="181"/>
        <v>开</v>
      </c>
      <c r="L743" s="105" t="str">
        <f t="shared" si="182"/>
        <v>关</v>
      </c>
      <c r="M743" s="601">
        <v>1</v>
      </c>
      <c r="N743" s="75" t="s">
        <v>24</v>
      </c>
      <c r="O743" s="75" t="str">
        <f>MID(E743,FIND("setting",E743,1)+8,FIND("kg",E743,1)-FIND("setting",E743,1)-8)</f>
        <v xml:space="preserve"> 616.20</v>
      </c>
      <c r="Q743" s="75" t="str">
        <f>SUBSTITUTE(T743&amp;N743," ","")</f>
        <v>3.26.7DMF</v>
      </c>
      <c r="R743" s="74">
        <f>VLOOKUP(Q743,MOR投料表!A:L,9,FALSE)</f>
        <v>616.20000000000005</v>
      </c>
      <c r="T743" s="75" t="str">
        <f t="shared" si="183"/>
        <v>3.26.7</v>
      </c>
      <c r="U743" s="74" t="b">
        <f>TEXT(O743,"0.00")=TEXT(R743,"0.00")</f>
        <v>1</v>
      </c>
    </row>
    <row r="744" spans="1:21" ht="45" customHeight="1">
      <c r="A744" s="605"/>
      <c r="B744" s="602"/>
      <c r="C744" s="105" t="s">
        <v>3</v>
      </c>
      <c r="D744" s="106" t="s">
        <v>61</v>
      </c>
      <c r="E744" s="101" t="s">
        <v>62</v>
      </c>
      <c r="F744" s="105" t="str">
        <f>IFERROR(IF(FIND("开",F743,1),"开","关"),"关")</f>
        <v>关</v>
      </c>
      <c r="G744" s="105" t="str">
        <f>IFERROR(IF(FIND("开",G743,1),"开","关"),"关")</f>
        <v>关</v>
      </c>
      <c r="H744" s="105" t="str">
        <f t="shared" si="184"/>
        <v>开</v>
      </c>
      <c r="J744" s="101"/>
      <c r="K744" s="105" t="str">
        <f t="shared" si="181"/>
        <v>开</v>
      </c>
      <c r="L744" s="105" t="str">
        <f t="shared" si="182"/>
        <v>关</v>
      </c>
      <c r="M744" s="601"/>
      <c r="T744" s="75" t="str">
        <f t="shared" si="183"/>
        <v>3.26.7</v>
      </c>
    </row>
    <row r="745" spans="1:21" ht="45" customHeight="1">
      <c r="A745" s="605"/>
      <c r="B745" s="602"/>
      <c r="C745" s="105" t="s">
        <v>3</v>
      </c>
      <c r="D745" s="106" t="s">
        <v>35</v>
      </c>
      <c r="E745" s="101" t="s">
        <v>63</v>
      </c>
      <c r="F745" s="105" t="s">
        <v>37</v>
      </c>
      <c r="G745" s="105" t="str">
        <f>IFERROR(IF(FIND("开",G744,1),"开","关"),"关")</f>
        <v>关</v>
      </c>
      <c r="H745" s="105" t="str">
        <f t="shared" si="184"/>
        <v>开</v>
      </c>
      <c r="J745" s="101"/>
      <c r="K745" s="105" t="str">
        <f t="shared" si="181"/>
        <v>开</v>
      </c>
      <c r="L745" s="105" t="str">
        <f t="shared" si="182"/>
        <v>关</v>
      </c>
      <c r="M745" s="601"/>
      <c r="T745" s="75" t="str">
        <f t="shared" si="183"/>
        <v>3.26.7</v>
      </c>
    </row>
    <row r="746" spans="1:21" ht="45" customHeight="1">
      <c r="A746" s="605"/>
      <c r="B746" s="602"/>
      <c r="C746" s="105" t="s">
        <v>3</v>
      </c>
      <c r="D746" s="106" t="s">
        <v>38</v>
      </c>
      <c r="E746" s="101" t="s">
        <v>167</v>
      </c>
      <c r="F746" s="105" t="str">
        <f>IFERROR(IF(FIND("开",F745,1),"开","关"),"关")</f>
        <v>开</v>
      </c>
      <c r="G746" s="105" t="s">
        <v>29</v>
      </c>
      <c r="H746" s="105" t="str">
        <f t="shared" si="184"/>
        <v>开</v>
      </c>
      <c r="J746" s="101"/>
      <c r="K746" s="105" t="str">
        <f t="shared" si="181"/>
        <v>开</v>
      </c>
      <c r="L746" s="105" t="str">
        <f t="shared" si="182"/>
        <v>关</v>
      </c>
      <c r="M746" s="601"/>
      <c r="T746" s="75" t="str">
        <f t="shared" si="183"/>
        <v>3.26.7</v>
      </c>
    </row>
    <row r="747" spans="1:21" ht="45" customHeight="1">
      <c r="A747" s="605"/>
      <c r="B747" s="602"/>
      <c r="C747" s="105" t="s">
        <v>3</v>
      </c>
      <c r="D747" s="106" t="s">
        <v>40</v>
      </c>
      <c r="E747" s="101" t="s">
        <v>41</v>
      </c>
      <c r="F747" s="105" t="s">
        <v>42</v>
      </c>
      <c r="G747" s="105" t="str">
        <f>IFERROR(IF(FIND("开",G746,1),"开","关"),"关")</f>
        <v>关</v>
      </c>
      <c r="H747" s="105" t="str">
        <f t="shared" si="184"/>
        <v>开</v>
      </c>
      <c r="J747" s="101"/>
      <c r="K747" s="105" t="str">
        <f t="shared" si="181"/>
        <v>开</v>
      </c>
      <c r="L747" s="105" t="str">
        <f t="shared" si="182"/>
        <v>关</v>
      </c>
      <c r="M747" s="601"/>
      <c r="T747" s="75" t="str">
        <f t="shared" si="183"/>
        <v>3.26.7</v>
      </c>
    </row>
    <row r="748" spans="1:21" ht="45" customHeight="1">
      <c r="A748" s="606"/>
      <c r="B748" s="602"/>
      <c r="C748" s="105" t="s">
        <v>3</v>
      </c>
      <c r="D748" s="106" t="s">
        <v>45</v>
      </c>
      <c r="E748" s="429" t="s">
        <v>46</v>
      </c>
      <c r="F748" s="105" t="str">
        <f>IFERROR(IF(FIND("开",F747,1),"开","关"),"关")</f>
        <v>关</v>
      </c>
      <c r="G748" s="105" t="str">
        <f>IFERROR(IF(FIND("开",G747,1),"开","关"),"关")</f>
        <v>关</v>
      </c>
      <c r="H748" s="105" t="str">
        <f t="shared" si="184"/>
        <v>开</v>
      </c>
      <c r="J748" s="101"/>
      <c r="K748" s="105" t="str">
        <f t="shared" si="181"/>
        <v>开</v>
      </c>
      <c r="L748" s="105" t="str">
        <f t="shared" si="182"/>
        <v>关</v>
      </c>
      <c r="M748" s="601"/>
      <c r="T748" s="75" t="str">
        <f t="shared" si="183"/>
        <v>3.26.7</v>
      </c>
    </row>
    <row r="749" spans="1:21" ht="45" customHeight="1">
      <c r="A749" s="595" t="s">
        <v>415</v>
      </c>
      <c r="B749" s="657" t="s">
        <v>416</v>
      </c>
      <c r="C749" s="105" t="s">
        <v>8</v>
      </c>
      <c r="D749" s="76"/>
      <c r="E749" s="76"/>
      <c r="F749" s="105" t="str">
        <f>IFERROR(IF(FIND("开",F719,1),"开","关"),"关")</f>
        <v>关</v>
      </c>
      <c r="G749" s="105" t="str">
        <f>IFERROR(IF(FIND("开",G719,1),"开","关"),"关")</f>
        <v>关</v>
      </c>
      <c r="H749" s="105" t="str">
        <f>IFERROR(IF(FIND("开",H719,1),"开","关"),"关")</f>
        <v>关</v>
      </c>
      <c r="I749" s="106" t="s">
        <v>203</v>
      </c>
      <c r="J749" s="430" t="s">
        <v>204</v>
      </c>
      <c r="K749" s="105" t="str">
        <f>IFERROR(IF(FIND("开",K719,1),"开","关"),"关")</f>
        <v>关</v>
      </c>
      <c r="L749" s="105" t="s">
        <v>37</v>
      </c>
      <c r="M749" s="598">
        <v>1</v>
      </c>
      <c r="T749" s="75" t="str">
        <f>IF(ISBLANK(A749),T719,LEFT(A749,FIND(" ",A749,1)-1))</f>
        <v>3.27.1</v>
      </c>
    </row>
    <row r="750" spans="1:21" ht="45" customHeight="1">
      <c r="A750" s="634"/>
      <c r="B750" s="634"/>
      <c r="C750" s="105" t="s">
        <v>8</v>
      </c>
      <c r="E750" s="84"/>
      <c r="F750" s="105" t="str">
        <f>IFERROR(IF(FIND("开",#REF!,1),"开","关"),"关")</f>
        <v>关</v>
      </c>
      <c r="G750" s="105" t="str">
        <f>IFERROR(IF(FIND("开",#REF!,1),"开","关"),"关")</f>
        <v>关</v>
      </c>
      <c r="H750" s="105" t="str">
        <f>IFERROR(IF(FIND("开",#REF!,1),"开","关"),"关")</f>
        <v>关</v>
      </c>
      <c r="I750" s="106" t="s">
        <v>77</v>
      </c>
      <c r="J750" s="431" t="s">
        <v>23</v>
      </c>
      <c r="K750" s="105" t="str">
        <f>IFERROR(IF(FIND("开",#REF!,1),"开","关"),"关")</f>
        <v>关</v>
      </c>
      <c r="L750" s="105" t="str">
        <f>IFERROR(IF(FIND("开",#REF!,1),"开","关"),"关")</f>
        <v>关</v>
      </c>
      <c r="M750" s="634"/>
      <c r="N750" s="75" t="s">
        <v>24</v>
      </c>
      <c r="O750" s="75" t="str">
        <f>MID(J750,FIND("setting",J750,1)+8,FIND("kg",J750,1)-FIND("setting",J750,1)-8)</f>
        <v xml:space="preserve"> 369.85</v>
      </c>
      <c r="Q750" s="75" t="str">
        <f>SUBSTITUTE(T750&amp;N750," ","")</f>
        <v>3.27.1DMF</v>
      </c>
      <c r="R750" s="74">
        <f>VLOOKUP(Q750,MOR投料表!A:L,9,FALSE)</f>
        <v>369.85</v>
      </c>
      <c r="T750" s="75" t="str">
        <f>IF(ISBLANK(A750),T749,LEFT(A750,FIND(" ",A750,1)-1))</f>
        <v>3.27.1</v>
      </c>
      <c r="U750" s="74" t="b">
        <f>TEXT(O750,"0.00")=TEXT(R750,"0.00")</f>
        <v>1</v>
      </c>
    </row>
    <row r="751" spans="1:21" ht="45" customHeight="1">
      <c r="A751" s="634"/>
      <c r="B751" s="634"/>
      <c r="C751" s="105" t="s">
        <v>8</v>
      </c>
      <c r="E751" s="77"/>
      <c r="F751" s="105" t="str">
        <f t="shared" ref="F751:H752" si="185">IFERROR(IF(FIND("开",F750,1),"开","关"),"关")</f>
        <v>关</v>
      </c>
      <c r="G751" s="105" t="str">
        <f t="shared" si="185"/>
        <v>关</v>
      </c>
      <c r="H751" s="105" t="str">
        <f t="shared" si="185"/>
        <v>关</v>
      </c>
      <c r="I751" s="106" t="s">
        <v>61</v>
      </c>
      <c r="J751" s="101" t="s">
        <v>26</v>
      </c>
      <c r="K751" s="105" t="str">
        <f>IFERROR(IF(FIND("开",K750,1),"开","关"),"关")</f>
        <v>关</v>
      </c>
      <c r="L751" s="105" t="str">
        <f>IFERROR(IF(FIND("开",L750,1),"开","关"),"关")</f>
        <v>关</v>
      </c>
      <c r="M751" s="634"/>
      <c r="T751" s="75" t="str">
        <f>IF(ISBLANK(A751),T750,LEFT(A751,FIND(" ",A751,1)-1))</f>
        <v>3.27.1</v>
      </c>
    </row>
    <row r="752" spans="1:21" ht="45" customHeight="1">
      <c r="A752" s="634"/>
      <c r="B752" s="634"/>
      <c r="C752" s="105" t="s">
        <v>8</v>
      </c>
      <c r="E752" s="77"/>
      <c r="F752" s="105" t="str">
        <f t="shared" si="185"/>
        <v>关</v>
      </c>
      <c r="G752" s="105" t="str">
        <f t="shared" si="185"/>
        <v>关</v>
      </c>
      <c r="H752" s="105" t="str">
        <f t="shared" si="185"/>
        <v>关</v>
      </c>
      <c r="I752" s="106" t="s">
        <v>78</v>
      </c>
      <c r="J752" s="101" t="s">
        <v>79</v>
      </c>
      <c r="K752" s="105" t="s">
        <v>37</v>
      </c>
      <c r="L752" s="105" t="str">
        <f>IFERROR(IF(FIND("开",L751,1),"开","关"),"关")</f>
        <v>关</v>
      </c>
      <c r="M752" s="634"/>
      <c r="T752" s="75" t="str">
        <f>IF(ISBLANK(A752),T751,LEFT(A752,FIND(" ",A752,1)-1))</f>
        <v>3.27.1</v>
      </c>
    </row>
    <row r="753" spans="1:21" ht="56.25" customHeight="1">
      <c r="A753" s="634"/>
      <c r="B753" s="634"/>
      <c r="C753" s="105" t="s">
        <v>8</v>
      </c>
      <c r="E753" s="77"/>
      <c r="F753" s="105" t="str">
        <f>IFERROR(IF(FIND("开",F748,1),"开","关"),"关")</f>
        <v>关</v>
      </c>
      <c r="G753" s="105" t="str">
        <f>IFERROR(IF(FIND("开",G748,1),"开","关"),"关")</f>
        <v>关</v>
      </c>
      <c r="H753" s="105" t="str">
        <f>IFERROR(IF(FIND("开",H748,1),"开","关"),"关")</f>
        <v>开</v>
      </c>
      <c r="I753" s="106" t="s">
        <v>418</v>
      </c>
      <c r="J753" s="101" t="s">
        <v>419</v>
      </c>
      <c r="K753" s="105" t="str">
        <f>IFERROR(IF(FIND("开",K748,1),"开","关"),"关")</f>
        <v>开</v>
      </c>
      <c r="L753" s="105" t="str">
        <f>IFERROR(IF(FIND("开",L748,1),"开","关"),"关")</f>
        <v>关</v>
      </c>
      <c r="M753" s="634"/>
      <c r="N753" s="75" t="str">
        <f>MID(J753,FIND("物料",J753,1)+3,FIND("投料重量",J753,1)-FIND("物料",J753,1)-4)</f>
        <v>Fmoc-L-Cys(Trt)-OH</v>
      </c>
      <c r="O753" s="75" t="e">
        <f>MID(J753,FIND("投料重量",J753,1)+5,FIND("kg",J753,1)-FIND("投料重量",J753,1)-5)</f>
        <v>#VALUE!</v>
      </c>
      <c r="P753" s="75" t="str">
        <f>SUBSTITUTE(RIGHT(J753,LEN(J753)-FIND("重量误差",J753,1)-4),"kg","")</f>
        <v>______</v>
      </c>
      <c r="Q753" s="75" t="str">
        <f>SUBSTITUTE(T753&amp;N753," ","")</f>
        <v>3.26.7Fmoc-L-Cys(Trt)-OH</v>
      </c>
      <c r="R753" s="74" t="e">
        <f>VLOOKUP(Q753,氨基酸和溶剂信息!A:P,8,FALSE)</f>
        <v>#N/A</v>
      </c>
      <c r="T753" s="75" t="str">
        <f>IF(ISBLANK(A753),T748,LEFT(A753,FIND(" ",A753,1)-1))</f>
        <v>3.26.7</v>
      </c>
      <c r="U753" s="74" t="e">
        <f>TEXT(O753,"0.00")=TEXT(R753,"0.00")</f>
        <v>#VALUE!</v>
      </c>
    </row>
    <row r="754" spans="1:21" ht="45" customHeight="1">
      <c r="A754" s="634"/>
      <c r="B754" s="634"/>
      <c r="C754" s="105" t="s">
        <v>8</v>
      </c>
      <c r="E754" s="77"/>
      <c r="F754" s="105" t="str">
        <f t="shared" ref="F754:H756" si="186">IFERROR(IF(FIND("开",F753,1),"开","关"),"关")</f>
        <v>关</v>
      </c>
      <c r="G754" s="105" t="str">
        <f t="shared" si="186"/>
        <v>关</v>
      </c>
      <c r="H754" s="105" t="str">
        <f t="shared" si="186"/>
        <v>开</v>
      </c>
      <c r="I754" s="106" t="s">
        <v>217</v>
      </c>
      <c r="J754" s="101" t="s">
        <v>218</v>
      </c>
      <c r="K754" s="105" t="str">
        <f t="shared" ref="K754:L756" si="187">IFERROR(IF(FIND("开",K753,1),"开","关"),"关")</f>
        <v>开</v>
      </c>
      <c r="L754" s="105" t="str">
        <f t="shared" si="187"/>
        <v>关</v>
      </c>
      <c r="M754" s="634"/>
      <c r="N754" s="75" t="str">
        <f>MID(J754,FIND("物料",J754,1)+3,FIND("投料重量",J754,1)-FIND("物料",J754,1)-4)</f>
        <v>OxymaPure</v>
      </c>
      <c r="O754" s="75" t="e">
        <f>MID(J754,FIND("投料重量",J754,1)+5,FIND("kg",J754,1)-FIND("投料重量",J754,1)-5)</f>
        <v>#VALUE!</v>
      </c>
      <c r="P754" s="75" t="str">
        <f>SUBSTITUTE(RIGHT(J754,LEN(J754)-FIND("重量误差",J754,1)-4),"kg","")</f>
        <v>______</v>
      </c>
      <c r="Q754" s="75" t="str">
        <f>SUBSTITUTE(T754&amp;N754," ","")</f>
        <v>3.26.7OxymaPure</v>
      </c>
      <c r="R754" s="74" t="e">
        <f>VLOOKUP(Q754,氨基酸和溶剂信息!A:P,8,FALSE)</f>
        <v>#N/A</v>
      </c>
      <c r="T754" s="75" t="str">
        <f>IF(ISBLANK(A754),T753,LEFT(A754,FIND(" ",A754,1)-1))</f>
        <v>3.26.7</v>
      </c>
      <c r="U754" s="74" t="e">
        <f>TEXT(O754,"0.00")=TEXT(R754,"0.00")</f>
        <v>#VALUE!</v>
      </c>
    </row>
    <row r="755" spans="1:21" ht="45" customHeight="1">
      <c r="A755" s="634"/>
      <c r="B755" s="634"/>
      <c r="C755" s="105" t="s">
        <v>8</v>
      </c>
      <c r="E755" s="77"/>
      <c r="F755" s="105" t="str">
        <f t="shared" si="186"/>
        <v>关</v>
      </c>
      <c r="G755" s="105" t="str">
        <f t="shared" si="186"/>
        <v>关</v>
      </c>
      <c r="H755" s="105" t="str">
        <f t="shared" si="186"/>
        <v>开</v>
      </c>
      <c r="I755" s="106" t="s">
        <v>82</v>
      </c>
      <c r="J755" s="432" t="s">
        <v>83</v>
      </c>
      <c r="K755" s="105" t="str">
        <f t="shared" si="187"/>
        <v>开</v>
      </c>
      <c r="L755" s="105" t="str">
        <f t="shared" si="187"/>
        <v>关</v>
      </c>
      <c r="M755" s="634"/>
      <c r="N755" s="75" t="s">
        <v>24</v>
      </c>
      <c r="O755" s="75" t="str">
        <f>MID(J755,FIND("setting",J755,1)+8,FIND("kg",J755,1)-FIND("setting",J755,1)-8)</f>
        <v xml:space="preserve"> 61.75</v>
      </c>
      <c r="Q755" s="75" t="str">
        <f>SUBSTITUTE(T755&amp;N755," ","")</f>
        <v>3.27.4DMF</v>
      </c>
      <c r="R755" s="74">
        <f>VLOOKUP(Q755,MOR投料表!A:L,9,FALSE)</f>
        <v>61.75</v>
      </c>
      <c r="T755" s="75" t="s">
        <v>420</v>
      </c>
      <c r="U755" s="74" t="b">
        <f>TEXT(O755,"0.00")=TEXT(R755,"0.00")</f>
        <v>1</v>
      </c>
    </row>
    <row r="756" spans="1:21" ht="45" customHeight="1">
      <c r="A756" s="634"/>
      <c r="B756" s="634"/>
      <c r="C756" s="105" t="s">
        <v>8</v>
      </c>
      <c r="E756" s="77"/>
      <c r="F756" s="105" t="str">
        <f t="shared" si="186"/>
        <v>关</v>
      </c>
      <c r="G756" s="105" t="str">
        <f t="shared" si="186"/>
        <v>关</v>
      </c>
      <c r="H756" s="105" t="str">
        <f t="shared" si="186"/>
        <v>开</v>
      </c>
      <c r="I756" s="106" t="s">
        <v>85</v>
      </c>
      <c r="J756" s="101" t="s">
        <v>86</v>
      </c>
      <c r="K756" s="105" t="str">
        <f t="shared" si="187"/>
        <v>开</v>
      </c>
      <c r="L756" s="105" t="str">
        <f t="shared" si="187"/>
        <v>关</v>
      </c>
      <c r="M756" s="634"/>
      <c r="T756" s="75" t="str">
        <f>IF(ISBLANK(A756),T755,LEFT(A756,FIND(" ",A756,1)-1))</f>
        <v>3.27.4</v>
      </c>
    </row>
    <row r="757" spans="1:21" ht="45" customHeight="1">
      <c r="A757" s="634"/>
      <c r="B757" s="634"/>
      <c r="C757" s="105" t="s">
        <v>8</v>
      </c>
      <c r="E757" s="77"/>
      <c r="I757" s="106" t="s">
        <v>93</v>
      </c>
      <c r="J757" s="433" t="s">
        <v>209</v>
      </c>
      <c r="M757" s="634"/>
      <c r="T757" s="75"/>
    </row>
    <row r="758" spans="1:21" ht="45" customHeight="1">
      <c r="A758" s="634"/>
      <c r="B758" s="634"/>
      <c r="C758" s="105" t="s">
        <v>8</v>
      </c>
      <c r="E758" s="77"/>
      <c r="F758" s="105" t="str">
        <f>IFERROR(IF(FIND("开",F756,1),"开","关"),"关")</f>
        <v>关</v>
      </c>
      <c r="G758" s="105" t="str">
        <f>IFERROR(IF(FIND("开",G756,1),"开","关"),"关")</f>
        <v>关</v>
      </c>
      <c r="H758" s="105" t="str">
        <f>IFERROR(IF(FIND("开",H756,1),"开","关"),"关")</f>
        <v>开</v>
      </c>
      <c r="I758" s="106" t="s">
        <v>95</v>
      </c>
      <c r="J758" s="434" t="s">
        <v>210</v>
      </c>
      <c r="K758" s="105" t="str">
        <f>IFERROR(IF(FIND("开",K756,1),"开","关"),"关")</f>
        <v>开</v>
      </c>
      <c r="L758" s="105" t="str">
        <f>IFERROR(IF(FIND("开",L756,1),"开","关"),"关")</f>
        <v>关</v>
      </c>
      <c r="M758" s="634"/>
      <c r="T758" s="75" t="str">
        <f>IF(ISBLANK(A758),T756,LEFT(A758,FIND(" ",A758,1)-1))</f>
        <v>3.27.4</v>
      </c>
    </row>
    <row r="759" spans="1:21" ht="45" customHeight="1">
      <c r="A759" s="634"/>
      <c r="B759" s="634"/>
      <c r="C759" s="105" t="s">
        <v>8</v>
      </c>
      <c r="E759" s="77"/>
      <c r="F759" s="105" t="str">
        <f t="shared" ref="F759:H761" si="188">IFERROR(IF(FIND("开",F758,1),"开","关"),"关")</f>
        <v>关</v>
      </c>
      <c r="G759" s="105" t="str">
        <f t="shared" si="188"/>
        <v>关</v>
      </c>
      <c r="H759" s="105" t="str">
        <f t="shared" si="188"/>
        <v>开</v>
      </c>
      <c r="I759" s="84" t="s">
        <v>254</v>
      </c>
      <c r="J759" s="435" t="s">
        <v>211</v>
      </c>
      <c r="K759" s="105" t="str">
        <f>IFERROR(IF(FIND("开",K758,1),"开","关"),"关")</f>
        <v>开</v>
      </c>
      <c r="L759" s="105" t="s">
        <v>42</v>
      </c>
      <c r="M759" s="634"/>
      <c r="T759" s="75" t="str">
        <f>IF(ISBLANK(A759),T758,LEFT(A759,FIND(" ",A759,1)-1))</f>
        <v>3.27.4</v>
      </c>
    </row>
    <row r="760" spans="1:21" ht="45" customHeight="1">
      <c r="A760" s="634"/>
      <c r="B760" s="634"/>
      <c r="C760" s="105" t="s">
        <v>8</v>
      </c>
      <c r="E760" s="77"/>
      <c r="F760" s="105" t="str">
        <f t="shared" si="188"/>
        <v>关</v>
      </c>
      <c r="G760" s="105" t="str">
        <f t="shared" si="188"/>
        <v>关</v>
      </c>
      <c r="H760" s="105" t="str">
        <f t="shared" si="188"/>
        <v>开</v>
      </c>
      <c r="I760" s="84" t="s">
        <v>89</v>
      </c>
      <c r="J760" s="101" t="s">
        <v>212</v>
      </c>
      <c r="K760" s="105" t="str">
        <f>IFERROR(IF(FIND("开",K759,1),"开","关"),"关")</f>
        <v>开</v>
      </c>
      <c r="L760" s="105" t="s">
        <v>37</v>
      </c>
      <c r="M760" s="634"/>
      <c r="T760" s="75" t="str">
        <f>IF(ISBLANK(A760),T759,LEFT(A760,FIND(" ",A760,1)-1))</f>
        <v>3.27.4</v>
      </c>
    </row>
    <row r="761" spans="1:21" ht="45" customHeight="1">
      <c r="A761" s="634"/>
      <c r="B761" s="634"/>
      <c r="C761" s="105" t="s">
        <v>8</v>
      </c>
      <c r="E761" s="77"/>
      <c r="F761" s="105" t="str">
        <f t="shared" si="188"/>
        <v>关</v>
      </c>
      <c r="G761" s="105" t="str">
        <f t="shared" si="188"/>
        <v>关</v>
      </c>
      <c r="H761" s="105" t="str">
        <f t="shared" si="188"/>
        <v>开</v>
      </c>
      <c r="I761" s="106" t="s">
        <v>91</v>
      </c>
      <c r="J761" s="436" t="s">
        <v>213</v>
      </c>
      <c r="K761" s="105" t="str">
        <f>IFERROR(IF(FIND("开",K760,1),"开","关"),"关")</f>
        <v>开</v>
      </c>
      <c r="L761" s="105" t="str">
        <f>IFERROR(IF(FIND("开",L760,1),"开","关"),"关")</f>
        <v>开</v>
      </c>
      <c r="M761" s="634"/>
      <c r="T761" s="75" t="str">
        <f>IF(ISBLANK(A761),T760,LEFT(A761,FIND(" ",A761,1)-1))</f>
        <v>3.27.4</v>
      </c>
    </row>
    <row r="762" spans="1:21" ht="45" customHeight="1">
      <c r="A762" s="634"/>
      <c r="B762" s="634"/>
      <c r="C762" s="105" t="s">
        <v>8</v>
      </c>
      <c r="D762" s="106"/>
      <c r="E762" s="78"/>
      <c r="I762" s="106" t="s">
        <v>108</v>
      </c>
      <c r="J762" s="437" t="s">
        <v>289</v>
      </c>
      <c r="M762" s="634"/>
      <c r="T762" s="75"/>
    </row>
    <row r="763" spans="1:21" ht="45" customHeight="1">
      <c r="A763" s="634"/>
      <c r="B763" s="634"/>
      <c r="C763" s="105" t="s">
        <v>30</v>
      </c>
      <c r="D763" s="106" t="s">
        <v>128</v>
      </c>
      <c r="E763" s="438" t="s">
        <v>258</v>
      </c>
      <c r="F763" s="105" t="str">
        <f>IFERROR(IF(FIND("开",#REF!,1),"开","关"),"关")</f>
        <v>关</v>
      </c>
      <c r="G763" s="105" t="str">
        <f>IFERROR(IF(FIND("开",#REF!,1),"开","关"),"关")</f>
        <v>关</v>
      </c>
      <c r="H763" s="105" t="str">
        <f>IFERROR(IF(FIND("开",#REF!,1),"开","关"),"关")</f>
        <v>关</v>
      </c>
      <c r="I763" s="106"/>
      <c r="J763" s="101"/>
      <c r="K763" s="105" t="str">
        <f>IFERROR(IF(FIND("开",#REF!,1),"开","关"),"关")</f>
        <v>关</v>
      </c>
      <c r="L763" s="105" t="str">
        <f>IFERROR(IF(FIND("开",#REF!,1),"开","关"),"关")</f>
        <v>关</v>
      </c>
      <c r="M763" s="634"/>
      <c r="T763" s="75" t="e">
        <f>IF(ISBLANK(A763),#REF!,LEFT(A763,FIND(" ",A763,1)-1))</f>
        <v>#REF!</v>
      </c>
    </row>
    <row r="764" spans="1:21" ht="45" customHeight="1">
      <c r="A764" s="634"/>
      <c r="B764" s="634"/>
      <c r="C764" s="105" t="s">
        <v>8</v>
      </c>
      <c r="E764" s="77"/>
      <c r="F764" s="105" t="str">
        <f>IFERROR(IF(FIND("开",F763,1),"开","关"),"关")</f>
        <v>关</v>
      </c>
      <c r="G764" s="105" t="str">
        <f>IFERROR(IF(FIND("开",G763,1),"开","关"),"关")</f>
        <v>关</v>
      </c>
      <c r="H764" s="105" t="str">
        <f>IFERROR(IF(FIND("开",H763,1),"开","关"),"关")</f>
        <v>关</v>
      </c>
      <c r="I764" s="106" t="s">
        <v>110</v>
      </c>
      <c r="J764" s="101" t="s">
        <v>111</v>
      </c>
      <c r="K764" s="105" t="s">
        <v>42</v>
      </c>
      <c r="L764" s="105" t="str">
        <f>IFERROR(IF(FIND("开",L763,1),"开","关"),"关")</f>
        <v>关</v>
      </c>
      <c r="M764" s="634"/>
      <c r="T764" s="75" t="e">
        <f>IF(ISBLANK(A764),T763,LEFT(A764,FIND(" ",A764,1)-1))</f>
        <v>#REF!</v>
      </c>
    </row>
    <row r="765" spans="1:21" ht="45" customHeight="1">
      <c r="A765" s="634"/>
      <c r="B765" s="634"/>
      <c r="C765" s="105" t="s">
        <v>8</v>
      </c>
      <c r="E765" s="77"/>
      <c r="I765" s="106" t="s">
        <v>112</v>
      </c>
      <c r="J765" s="439" t="s">
        <v>113</v>
      </c>
      <c r="M765" s="635"/>
      <c r="T765" s="75"/>
    </row>
    <row r="766" spans="1:21" ht="45" customHeight="1">
      <c r="A766" s="595" t="s">
        <v>421</v>
      </c>
      <c r="B766" s="680" t="s">
        <v>115</v>
      </c>
      <c r="C766" s="105" t="s">
        <v>30</v>
      </c>
      <c r="D766" s="106" t="s">
        <v>31</v>
      </c>
      <c r="E766" s="440" t="s">
        <v>32</v>
      </c>
      <c r="F766" s="105" t="str">
        <f>IFERROR(IF(FIND("开",F764,1),"开","关"),"关")</f>
        <v>关</v>
      </c>
      <c r="G766" s="105" t="str">
        <f>IFERROR(IF(FIND("开",G764,1),"开","关"),"关")</f>
        <v>关</v>
      </c>
      <c r="H766" s="105" t="str">
        <f>IFERROR(IF(FIND("开",H764,1),"开","关"),"关")</f>
        <v>关</v>
      </c>
      <c r="I766" s="106"/>
      <c r="J766" s="101"/>
      <c r="K766" s="105" t="str">
        <f>IFERROR(IF(FIND("开",K764,1),"开","关"),"关")</f>
        <v>关</v>
      </c>
      <c r="L766" s="105" t="str">
        <f>IFERROR(IF(FIND("开",L764,1),"开","关"),"关")</f>
        <v>关</v>
      </c>
      <c r="M766" s="601">
        <v>1</v>
      </c>
      <c r="T766" s="75" t="str">
        <f>IF(ISBLANK(A766),T764,LEFT(A766,FIND(" ",A766,1)-1))</f>
        <v>3.28.1</v>
      </c>
    </row>
    <row r="767" spans="1:21" ht="45" customHeight="1">
      <c r="A767" s="596"/>
      <c r="B767" s="622"/>
      <c r="C767" s="105" t="s">
        <v>8</v>
      </c>
      <c r="D767" s="106"/>
      <c r="E767" s="101"/>
      <c r="I767" s="106" t="s">
        <v>116</v>
      </c>
      <c r="J767" s="441" t="s">
        <v>117</v>
      </c>
      <c r="M767" s="601"/>
      <c r="T767" s="75"/>
    </row>
    <row r="768" spans="1:21" ht="45" customHeight="1">
      <c r="A768" s="596"/>
      <c r="B768" s="622"/>
      <c r="C768" s="105" t="s">
        <v>30</v>
      </c>
      <c r="D768" s="106" t="s">
        <v>33</v>
      </c>
      <c r="E768" s="101" t="s">
        <v>34</v>
      </c>
      <c r="F768" s="105" t="str">
        <f>IFERROR(IF(FIND("开",F766,1),"开","关"),"关")</f>
        <v>关</v>
      </c>
      <c r="G768" s="105" t="str">
        <f>IFERROR(IF(FIND("开",G766,1),"开","关"),"关")</f>
        <v>关</v>
      </c>
      <c r="H768" s="105" t="str">
        <f>IFERROR(IF(FIND("开",H766,1),"开","关"),"关")</f>
        <v>关</v>
      </c>
      <c r="I768" s="106"/>
      <c r="J768" s="101"/>
      <c r="K768" s="105" t="str">
        <f>IFERROR(IF(FIND("开",K766,1),"开","关"),"关")</f>
        <v>关</v>
      </c>
      <c r="L768" s="105" t="str">
        <f>IFERROR(IF(FIND("开",L766,1),"开","关"),"关")</f>
        <v>关</v>
      </c>
      <c r="M768" s="601"/>
      <c r="T768" s="75" t="str">
        <f>IF(ISBLANK(A768),T766,LEFT(A768,FIND(" ",A768,1)-1))</f>
        <v>3.28.1</v>
      </c>
    </row>
    <row r="769" spans="1:21" ht="45" customHeight="1">
      <c r="A769" s="596"/>
      <c r="B769" s="622"/>
      <c r="C769" s="105" t="s">
        <v>8</v>
      </c>
      <c r="D769" s="105"/>
      <c r="E769" s="104"/>
      <c r="F769" s="105" t="str">
        <f t="shared" ref="F769:H770" si="189">IFERROR(IF(FIND("开",F768,1),"开","关"),"关")</f>
        <v>关</v>
      </c>
      <c r="G769" s="105" t="str">
        <f t="shared" si="189"/>
        <v>关</v>
      </c>
      <c r="H769" s="105" t="str">
        <f t="shared" si="189"/>
        <v>关</v>
      </c>
      <c r="I769" s="106" t="s">
        <v>22</v>
      </c>
      <c r="J769" s="442" t="s">
        <v>118</v>
      </c>
      <c r="K769" s="105" t="str">
        <f t="shared" ref="K769:L775" si="190">IFERROR(IF(FIND("开",K768,1),"开","关"),"关")</f>
        <v>关</v>
      </c>
      <c r="L769" s="105" t="str">
        <f t="shared" si="190"/>
        <v>关</v>
      </c>
      <c r="M769" s="601"/>
      <c r="N769" s="75" t="s">
        <v>24</v>
      </c>
      <c r="O769" s="75" t="str">
        <f>MID(J769,FIND("setting",J769,1)+8,FIND("kg",J769,1)-FIND("setting",J769,1)-8)</f>
        <v xml:space="preserve"> 61.75</v>
      </c>
      <c r="Q769" s="75" t="str">
        <f>SUBSTITUTE(T769&amp;N769," ","")</f>
        <v>3.28.2DMF</v>
      </c>
      <c r="R769" s="74">
        <f>VLOOKUP(Q769,MOR投料表!A:L,9,FALSE)</f>
        <v>61.75</v>
      </c>
      <c r="T769" s="75" t="s">
        <v>422</v>
      </c>
      <c r="U769" s="74" t="b">
        <f>TEXT(O769,"0.00")=TEXT(R769,"0.00")</f>
        <v>1</v>
      </c>
    </row>
    <row r="770" spans="1:21" ht="125.45" customHeight="1">
      <c r="A770" s="90" t="s">
        <v>423</v>
      </c>
      <c r="B770" s="443" t="s">
        <v>424</v>
      </c>
      <c r="C770" s="444" t="s">
        <v>425</v>
      </c>
      <c r="D770" s="2"/>
      <c r="E770" s="105"/>
      <c r="F770" s="105" t="str">
        <f t="shared" si="189"/>
        <v>关</v>
      </c>
      <c r="G770" s="105" t="str">
        <f t="shared" si="189"/>
        <v>关</v>
      </c>
      <c r="H770" s="105" t="str">
        <f t="shared" si="189"/>
        <v>关</v>
      </c>
      <c r="I770" s="106"/>
      <c r="J770" s="101"/>
      <c r="K770" s="105" t="str">
        <f t="shared" si="190"/>
        <v>关</v>
      </c>
      <c r="L770" s="105" t="str">
        <f t="shared" si="190"/>
        <v>关</v>
      </c>
      <c r="T770" s="75" t="str">
        <f t="shared" ref="T770:T790" si="191">IF(ISBLANK(A770),T769,LEFT(A770,FIND(" ",A770,1)-1))</f>
        <v>3.28.3</v>
      </c>
    </row>
    <row r="771" spans="1:21" ht="45" customHeight="1">
      <c r="A771" s="595" t="s">
        <v>427</v>
      </c>
      <c r="B771" s="613" t="s">
        <v>428</v>
      </c>
      <c r="C771" s="105" t="s">
        <v>3</v>
      </c>
      <c r="D771" s="106" t="s">
        <v>35</v>
      </c>
      <c r="E771" s="101" t="s">
        <v>63</v>
      </c>
      <c r="F771" s="105" t="s">
        <v>37</v>
      </c>
      <c r="G771" s="105" t="str">
        <f>IFERROR(IF(FIND("开",G770,1),"开","关"),"关")</f>
        <v>关</v>
      </c>
      <c r="H771" s="105" t="str">
        <f>IFERROR(IF(FIND("开",H770,1),"开","关"),"关")</f>
        <v>关</v>
      </c>
      <c r="I771" s="106"/>
      <c r="J771" s="101"/>
      <c r="K771" s="105" t="str">
        <f t="shared" si="190"/>
        <v>关</v>
      </c>
      <c r="L771" s="105" t="str">
        <f t="shared" si="190"/>
        <v>关</v>
      </c>
      <c r="M771" s="598">
        <v>1</v>
      </c>
      <c r="T771" s="75" t="str">
        <f t="shared" si="191"/>
        <v>3.28.5</v>
      </c>
    </row>
    <row r="772" spans="1:21" ht="45" customHeight="1">
      <c r="A772" s="596"/>
      <c r="B772" s="599"/>
      <c r="C772" s="105" t="s">
        <v>3</v>
      </c>
      <c r="D772" s="106" t="s">
        <v>64</v>
      </c>
      <c r="E772" s="101" t="s">
        <v>65</v>
      </c>
      <c r="F772" s="105" t="str">
        <f t="shared" ref="F772:F789" si="192">IFERROR(IF(FIND("开",F771,1),"开","关"),"关")</f>
        <v>开</v>
      </c>
      <c r="G772" s="105" t="s">
        <v>37</v>
      </c>
      <c r="H772" s="105" t="str">
        <f t="shared" ref="H772:H777" si="193">IFERROR(IF(FIND("开",H771,1),"开","关"),"关")</f>
        <v>关</v>
      </c>
      <c r="I772" s="106"/>
      <c r="J772" s="101"/>
      <c r="K772" s="105" t="str">
        <f t="shared" si="190"/>
        <v>关</v>
      </c>
      <c r="L772" s="105" t="str">
        <f t="shared" si="190"/>
        <v>关</v>
      </c>
      <c r="M772" s="599"/>
      <c r="T772" s="75" t="str">
        <f t="shared" si="191"/>
        <v>3.28.5</v>
      </c>
    </row>
    <row r="773" spans="1:21" ht="45" customHeight="1">
      <c r="A773" s="596"/>
      <c r="B773" s="599"/>
      <c r="C773" s="105" t="s">
        <v>8</v>
      </c>
      <c r="D773" s="105"/>
      <c r="E773" s="104"/>
      <c r="F773" s="105" t="str">
        <f t="shared" si="192"/>
        <v>开</v>
      </c>
      <c r="G773" s="105" t="str">
        <f t="shared" ref="G773:G788" si="194">IFERROR(IF(FIND("开",G772,1),"开","关"),"关")</f>
        <v>开</v>
      </c>
      <c r="H773" s="105" t="str">
        <f t="shared" si="193"/>
        <v>关</v>
      </c>
      <c r="I773" s="106" t="s">
        <v>61</v>
      </c>
      <c r="J773" s="101" t="s">
        <v>26</v>
      </c>
      <c r="K773" s="105" t="str">
        <f t="shared" si="190"/>
        <v>关</v>
      </c>
      <c r="L773" s="105" t="str">
        <f t="shared" si="190"/>
        <v>关</v>
      </c>
      <c r="M773" s="599"/>
      <c r="T773" s="75" t="str">
        <f t="shared" si="191"/>
        <v>3.28.5</v>
      </c>
    </row>
    <row r="774" spans="1:21" ht="45" customHeight="1">
      <c r="A774" s="596"/>
      <c r="B774" s="599"/>
      <c r="C774" s="105" t="s">
        <v>30</v>
      </c>
      <c r="D774" s="106" t="s">
        <v>31</v>
      </c>
      <c r="E774" s="445" t="s">
        <v>32</v>
      </c>
      <c r="F774" s="105" t="str">
        <f t="shared" si="192"/>
        <v>开</v>
      </c>
      <c r="G774" s="105" t="str">
        <f t="shared" si="194"/>
        <v>开</v>
      </c>
      <c r="H774" s="105" t="str">
        <f t="shared" si="193"/>
        <v>关</v>
      </c>
      <c r="I774" s="106"/>
      <c r="J774" s="101"/>
      <c r="K774" s="105" t="str">
        <f t="shared" si="190"/>
        <v>关</v>
      </c>
      <c r="L774" s="105" t="str">
        <f t="shared" si="190"/>
        <v>关</v>
      </c>
      <c r="M774" s="599"/>
      <c r="T774" s="75" t="str">
        <f t="shared" si="191"/>
        <v>3.28.5</v>
      </c>
    </row>
    <row r="775" spans="1:21" ht="45" customHeight="1">
      <c r="A775" s="596"/>
      <c r="B775" s="599"/>
      <c r="C775" s="105" t="s">
        <v>30</v>
      </c>
      <c r="D775" s="106" t="s">
        <v>33</v>
      </c>
      <c r="E775" s="101" t="s">
        <v>34</v>
      </c>
      <c r="F775" s="105" t="str">
        <f t="shared" si="192"/>
        <v>开</v>
      </c>
      <c r="G775" s="105" t="str">
        <f t="shared" si="194"/>
        <v>开</v>
      </c>
      <c r="H775" s="105" t="str">
        <f t="shared" si="193"/>
        <v>关</v>
      </c>
      <c r="I775" s="106"/>
      <c r="J775" s="101"/>
      <c r="K775" s="105" t="str">
        <f t="shared" si="190"/>
        <v>关</v>
      </c>
      <c r="L775" s="105" t="str">
        <f t="shared" si="190"/>
        <v>关</v>
      </c>
      <c r="M775" s="599"/>
      <c r="T775" s="75" t="str">
        <f t="shared" si="191"/>
        <v>3.28.5</v>
      </c>
    </row>
    <row r="776" spans="1:21" ht="45" customHeight="1">
      <c r="A776" s="596"/>
      <c r="B776" s="599"/>
      <c r="C776" s="105" t="s">
        <v>8</v>
      </c>
      <c r="D776" s="106"/>
      <c r="E776" s="78"/>
      <c r="F776" s="105" t="str">
        <f t="shared" si="192"/>
        <v>开</v>
      </c>
      <c r="G776" s="105" t="str">
        <f t="shared" si="194"/>
        <v>开</v>
      </c>
      <c r="H776" s="105" t="str">
        <f t="shared" si="193"/>
        <v>关</v>
      </c>
      <c r="I776" s="106" t="s">
        <v>123</v>
      </c>
      <c r="J776" s="101" t="s">
        <v>232</v>
      </c>
      <c r="K776" s="105" t="str">
        <f t="shared" ref="K776:K790" si="195">IFERROR(IF(FIND("开",K775,1),"开","关"),"关")</f>
        <v>关</v>
      </c>
      <c r="L776" s="105" t="s">
        <v>42</v>
      </c>
      <c r="M776" s="599"/>
      <c r="N776" s="75"/>
      <c r="O776" s="75"/>
      <c r="T776" s="75" t="str">
        <f t="shared" si="191"/>
        <v>3.28.5</v>
      </c>
      <c r="U776" s="74" t="b">
        <f>TEXT(O776,"0.00")=TEXT(R776,"0.00")</f>
        <v>1</v>
      </c>
    </row>
    <row r="777" spans="1:21" ht="45" customHeight="1">
      <c r="A777" s="596"/>
      <c r="B777" s="599"/>
      <c r="C777" s="105" t="s">
        <v>8</v>
      </c>
      <c r="D777" s="106"/>
      <c r="E777" s="78"/>
      <c r="F777" s="105" t="str">
        <f t="shared" si="192"/>
        <v>开</v>
      </c>
      <c r="G777" s="105" t="str">
        <f t="shared" si="194"/>
        <v>开</v>
      </c>
      <c r="H777" s="105" t="str">
        <f t="shared" si="193"/>
        <v>关</v>
      </c>
      <c r="I777" s="106" t="s">
        <v>125</v>
      </c>
      <c r="J777" s="101" t="s">
        <v>126</v>
      </c>
      <c r="K777" s="105" t="str">
        <f t="shared" si="195"/>
        <v>关</v>
      </c>
      <c r="L777" s="105" t="str">
        <f t="shared" ref="L777:L790" si="196">IFERROR(IF(FIND("开",L776,1),"开","关"),"关")</f>
        <v>关</v>
      </c>
      <c r="M777" s="599"/>
      <c r="T777" s="75" t="str">
        <f t="shared" si="191"/>
        <v>3.28.5</v>
      </c>
    </row>
    <row r="778" spans="1:21" ht="45" customHeight="1">
      <c r="A778" s="596"/>
      <c r="B778" s="599"/>
      <c r="C778" s="105" t="s">
        <v>3</v>
      </c>
      <c r="D778" s="106" t="s">
        <v>130</v>
      </c>
      <c r="E778" s="446" t="s">
        <v>131</v>
      </c>
      <c r="F778" s="105" t="str">
        <f t="shared" si="192"/>
        <v>开</v>
      </c>
      <c r="G778" s="105" t="str">
        <f t="shared" si="194"/>
        <v>开</v>
      </c>
      <c r="H778" s="105" t="s">
        <v>42</v>
      </c>
      <c r="I778" s="74"/>
      <c r="J778" s="77"/>
      <c r="K778" s="105" t="str">
        <f t="shared" si="195"/>
        <v>关</v>
      </c>
      <c r="L778" s="105" t="str">
        <f t="shared" si="196"/>
        <v>关</v>
      </c>
      <c r="M778" s="599"/>
      <c r="T778" s="75" t="str">
        <f t="shared" si="191"/>
        <v>3.28.5</v>
      </c>
    </row>
    <row r="779" spans="1:21" ht="45" customHeight="1">
      <c r="A779" s="596"/>
      <c r="B779" s="599"/>
      <c r="C779" s="105" t="s">
        <v>3</v>
      </c>
      <c r="D779" s="106" t="s">
        <v>52</v>
      </c>
      <c r="E779" s="101" t="s">
        <v>298</v>
      </c>
      <c r="F779" s="105" t="str">
        <f t="shared" si="192"/>
        <v>开</v>
      </c>
      <c r="G779" s="105" t="str">
        <f t="shared" si="194"/>
        <v>开</v>
      </c>
      <c r="H779" s="105" t="s">
        <v>37</v>
      </c>
      <c r="I779" s="74"/>
      <c r="J779" s="77"/>
      <c r="K779" s="105" t="str">
        <f t="shared" si="195"/>
        <v>关</v>
      </c>
      <c r="L779" s="105" t="str">
        <f t="shared" si="196"/>
        <v>关</v>
      </c>
      <c r="M779" s="599"/>
      <c r="T779" s="75" t="str">
        <f t="shared" si="191"/>
        <v>3.28.5</v>
      </c>
    </row>
    <row r="780" spans="1:21" ht="45" customHeight="1">
      <c r="A780" s="596"/>
      <c r="B780" s="599"/>
      <c r="C780" s="105" t="s">
        <v>3</v>
      </c>
      <c r="D780" s="106" t="s">
        <v>66</v>
      </c>
      <c r="E780" s="447" t="s">
        <v>299</v>
      </c>
      <c r="F780" s="105" t="str">
        <f t="shared" si="192"/>
        <v>开</v>
      </c>
      <c r="G780" s="105" t="str">
        <f t="shared" si="194"/>
        <v>开</v>
      </c>
      <c r="H780" s="105" t="str">
        <f>IFERROR(IF(FIND("开",H779,1),"开","关"),"关")</f>
        <v>开</v>
      </c>
      <c r="I780" s="74"/>
      <c r="J780" s="77"/>
      <c r="K780" s="105" t="str">
        <f t="shared" si="195"/>
        <v>关</v>
      </c>
      <c r="L780" s="105" t="str">
        <f t="shared" si="196"/>
        <v>关</v>
      </c>
      <c r="M780" s="599"/>
      <c r="T780" s="75" t="str">
        <f t="shared" si="191"/>
        <v>3.28.5</v>
      </c>
    </row>
    <row r="781" spans="1:21" ht="45" customHeight="1">
      <c r="A781" s="596"/>
      <c r="B781" s="599"/>
      <c r="C781" s="105" t="s">
        <v>3</v>
      </c>
      <c r="D781" s="106" t="s">
        <v>130</v>
      </c>
      <c r="E781" s="101" t="s">
        <v>300</v>
      </c>
      <c r="F781" s="105" t="str">
        <f t="shared" si="192"/>
        <v>开</v>
      </c>
      <c r="G781" s="105" t="str">
        <f t="shared" si="194"/>
        <v>开</v>
      </c>
      <c r="H781" s="105" t="s">
        <v>42</v>
      </c>
      <c r="I781" s="74"/>
      <c r="J781" s="77"/>
      <c r="K781" s="105" t="str">
        <f t="shared" si="195"/>
        <v>关</v>
      </c>
      <c r="L781" s="105" t="str">
        <f t="shared" si="196"/>
        <v>关</v>
      </c>
      <c r="M781" s="599"/>
      <c r="T781" s="75" t="str">
        <f t="shared" si="191"/>
        <v>3.28.5</v>
      </c>
    </row>
    <row r="782" spans="1:21" ht="45" customHeight="1">
      <c r="A782" s="596"/>
      <c r="B782" s="599"/>
      <c r="C782" s="105" t="s">
        <v>3</v>
      </c>
      <c r="D782" s="106" t="s">
        <v>52</v>
      </c>
      <c r="E782" s="101" t="s">
        <v>301</v>
      </c>
      <c r="F782" s="105" t="str">
        <f t="shared" si="192"/>
        <v>开</v>
      </c>
      <c r="G782" s="105" t="str">
        <f t="shared" si="194"/>
        <v>开</v>
      </c>
      <c r="H782" s="105" t="s">
        <v>37</v>
      </c>
      <c r="I782" s="74"/>
      <c r="J782" s="77"/>
      <c r="K782" s="105" t="str">
        <f t="shared" si="195"/>
        <v>关</v>
      </c>
      <c r="L782" s="105" t="str">
        <f t="shared" si="196"/>
        <v>关</v>
      </c>
      <c r="M782" s="599"/>
      <c r="T782" s="75" t="str">
        <f t="shared" si="191"/>
        <v>3.28.5</v>
      </c>
    </row>
    <row r="783" spans="1:21" ht="45" customHeight="1">
      <c r="A783" s="596"/>
      <c r="B783" s="599"/>
      <c r="C783" s="105" t="s">
        <v>3</v>
      </c>
      <c r="D783" s="106" t="s">
        <v>302</v>
      </c>
      <c r="E783" s="448" t="s">
        <v>303</v>
      </c>
      <c r="F783" s="105" t="str">
        <f t="shared" si="192"/>
        <v>开</v>
      </c>
      <c r="G783" s="105" t="str">
        <f t="shared" si="194"/>
        <v>开</v>
      </c>
      <c r="H783" s="105" t="str">
        <f>IFERROR(IF(FIND("开",H782,1),"开","关"),"关")</f>
        <v>开</v>
      </c>
      <c r="I783" s="74"/>
      <c r="J783" s="77"/>
      <c r="K783" s="105" t="str">
        <f t="shared" si="195"/>
        <v>关</v>
      </c>
      <c r="L783" s="105" t="str">
        <f t="shared" si="196"/>
        <v>关</v>
      </c>
      <c r="M783" s="599"/>
      <c r="T783" s="75" t="str">
        <f t="shared" si="191"/>
        <v>3.28.5</v>
      </c>
    </row>
    <row r="784" spans="1:21" ht="45" customHeight="1">
      <c r="A784" s="596"/>
      <c r="B784" s="599"/>
      <c r="C784" s="105" t="s">
        <v>3</v>
      </c>
      <c r="D784" s="106" t="s">
        <v>130</v>
      </c>
      <c r="E784" s="101" t="s">
        <v>304</v>
      </c>
      <c r="F784" s="105" t="str">
        <f t="shared" si="192"/>
        <v>开</v>
      </c>
      <c r="G784" s="105" t="str">
        <f t="shared" si="194"/>
        <v>开</v>
      </c>
      <c r="H784" s="105" t="s">
        <v>42</v>
      </c>
      <c r="I784" s="74"/>
      <c r="J784" s="77"/>
      <c r="K784" s="105" t="str">
        <f t="shared" si="195"/>
        <v>关</v>
      </c>
      <c r="L784" s="105" t="str">
        <f t="shared" si="196"/>
        <v>关</v>
      </c>
      <c r="M784" s="599"/>
      <c r="T784" s="75" t="str">
        <f t="shared" si="191"/>
        <v>3.28.5</v>
      </c>
    </row>
    <row r="785" spans="1:21" ht="45" customHeight="1">
      <c r="A785" s="596"/>
      <c r="B785" s="599"/>
      <c r="C785" s="105" t="s">
        <v>3</v>
      </c>
      <c r="D785" s="106" t="s">
        <v>52</v>
      </c>
      <c r="E785" s="449" t="s">
        <v>305</v>
      </c>
      <c r="F785" s="105" t="str">
        <f t="shared" si="192"/>
        <v>开</v>
      </c>
      <c r="G785" s="105" t="str">
        <f t="shared" si="194"/>
        <v>开</v>
      </c>
      <c r="H785" s="105" t="s">
        <v>37</v>
      </c>
      <c r="I785" s="74"/>
      <c r="J785" s="77"/>
      <c r="K785" s="105" t="str">
        <f t="shared" si="195"/>
        <v>关</v>
      </c>
      <c r="L785" s="105" t="str">
        <f t="shared" si="196"/>
        <v>关</v>
      </c>
      <c r="M785" s="599"/>
      <c r="N785" s="76"/>
      <c r="O785" s="76"/>
      <c r="P785" s="76"/>
      <c r="Q785" s="76"/>
      <c r="T785" s="75" t="str">
        <f t="shared" si="191"/>
        <v>3.28.5</v>
      </c>
    </row>
    <row r="786" spans="1:21" ht="45" customHeight="1">
      <c r="A786" s="596"/>
      <c r="B786" s="599"/>
      <c r="C786" s="105" t="s">
        <v>3</v>
      </c>
      <c r="D786" s="106" t="s">
        <v>66</v>
      </c>
      <c r="E786" s="450" t="s">
        <v>306</v>
      </c>
      <c r="F786" s="105" t="str">
        <f t="shared" si="192"/>
        <v>开</v>
      </c>
      <c r="G786" s="105" t="str">
        <f t="shared" si="194"/>
        <v>开</v>
      </c>
      <c r="H786" s="105" t="str">
        <f>IFERROR(IF(FIND("开",H785,1),"开","关"),"关")</f>
        <v>开</v>
      </c>
      <c r="I786" s="74"/>
      <c r="J786" s="77"/>
      <c r="K786" s="105" t="str">
        <f t="shared" si="195"/>
        <v>关</v>
      </c>
      <c r="L786" s="105" t="str">
        <f t="shared" si="196"/>
        <v>关</v>
      </c>
      <c r="M786" s="599"/>
      <c r="T786" s="75" t="str">
        <f t="shared" si="191"/>
        <v>3.28.5</v>
      </c>
    </row>
    <row r="787" spans="1:21" ht="45" customHeight="1">
      <c r="A787" s="596"/>
      <c r="B787" s="599"/>
      <c r="C787" s="105" t="s">
        <v>3</v>
      </c>
      <c r="D787" s="106" t="s">
        <v>128</v>
      </c>
      <c r="E787" s="451" t="s">
        <v>307</v>
      </c>
      <c r="F787" s="105" t="str">
        <f t="shared" si="192"/>
        <v>开</v>
      </c>
      <c r="G787" s="105" t="str">
        <f t="shared" si="194"/>
        <v>开</v>
      </c>
      <c r="H787" s="105" t="str">
        <f>IFERROR(IF(FIND("开",H786,1),"开","关"),"关")</f>
        <v>开</v>
      </c>
      <c r="I787" s="74"/>
      <c r="J787" s="77"/>
      <c r="K787" s="105" t="str">
        <f t="shared" si="195"/>
        <v>关</v>
      </c>
      <c r="L787" s="105" t="str">
        <f t="shared" si="196"/>
        <v>关</v>
      </c>
      <c r="M787" s="599"/>
      <c r="N787" s="75"/>
      <c r="O787" s="75"/>
      <c r="T787" s="75" t="str">
        <f t="shared" si="191"/>
        <v>3.28.5</v>
      </c>
      <c r="U787" s="74" t="b">
        <f>TEXT(O787,"0.00")=TEXT(R787,"0.00")</f>
        <v>1</v>
      </c>
    </row>
    <row r="788" spans="1:21" ht="45" customHeight="1">
      <c r="A788" s="596"/>
      <c r="B788" s="599"/>
      <c r="C788" s="105" t="s">
        <v>3</v>
      </c>
      <c r="D788" s="106" t="s">
        <v>233</v>
      </c>
      <c r="E788" s="452" t="s">
        <v>303</v>
      </c>
      <c r="F788" s="105" t="str">
        <f t="shared" si="192"/>
        <v>开</v>
      </c>
      <c r="G788" s="105" t="str">
        <f t="shared" si="194"/>
        <v>开</v>
      </c>
      <c r="H788" s="105" t="str">
        <f>IFERROR(IF(FIND("开",H787,1),"开","关"),"关")</f>
        <v>开</v>
      </c>
      <c r="J788" s="101"/>
      <c r="K788" s="105" t="str">
        <f t="shared" si="195"/>
        <v>关</v>
      </c>
      <c r="L788" s="105" t="str">
        <f t="shared" si="196"/>
        <v>关</v>
      </c>
      <c r="M788" s="599"/>
      <c r="T788" s="75" t="str">
        <f t="shared" si="191"/>
        <v>3.28.5</v>
      </c>
    </row>
    <row r="789" spans="1:21" ht="45" customHeight="1">
      <c r="A789" s="596"/>
      <c r="B789" s="599"/>
      <c r="C789" s="105" t="s">
        <v>3</v>
      </c>
      <c r="D789" s="106" t="s">
        <v>70</v>
      </c>
      <c r="E789" s="101" t="s">
        <v>71</v>
      </c>
      <c r="F789" s="105" t="str">
        <f t="shared" si="192"/>
        <v>开</v>
      </c>
      <c r="G789" s="105" t="s">
        <v>42</v>
      </c>
      <c r="H789" s="105" t="str">
        <f>IFERROR(IF(FIND("开",H788,1),"开","关"),"关")</f>
        <v>开</v>
      </c>
      <c r="J789" s="101"/>
      <c r="K789" s="105" t="str">
        <f t="shared" si="195"/>
        <v>关</v>
      </c>
      <c r="L789" s="105" t="str">
        <f t="shared" si="196"/>
        <v>关</v>
      </c>
      <c r="M789" s="599"/>
      <c r="T789" s="75" t="str">
        <f t="shared" si="191"/>
        <v>3.28.5</v>
      </c>
    </row>
    <row r="790" spans="1:21" ht="45" customHeight="1">
      <c r="A790" s="596"/>
      <c r="B790" s="599"/>
      <c r="C790" s="105" t="s">
        <v>3</v>
      </c>
      <c r="D790" s="106" t="s">
        <v>40</v>
      </c>
      <c r="E790" s="101" t="s">
        <v>41</v>
      </c>
      <c r="F790" s="105" t="s">
        <v>42</v>
      </c>
      <c r="G790" s="105" t="str">
        <f>IFERROR(IF(FIND("开",G789,1),"开","关"),"关")</f>
        <v>关</v>
      </c>
      <c r="H790" s="105" t="str">
        <f>IFERROR(IF(FIND("开",H789,1),"开","关"),"关")</f>
        <v>开</v>
      </c>
      <c r="J790" s="101"/>
      <c r="K790" s="105" t="str">
        <f t="shared" si="195"/>
        <v>关</v>
      </c>
      <c r="L790" s="105" t="str">
        <f t="shared" si="196"/>
        <v>关</v>
      </c>
      <c r="M790" s="599"/>
      <c r="T790" s="75" t="str">
        <f t="shared" si="191"/>
        <v>3.28.5</v>
      </c>
    </row>
    <row r="791" spans="1:21" ht="45" customHeight="1">
      <c r="A791" s="597"/>
      <c r="B791" s="600"/>
      <c r="C791" s="105" t="s">
        <v>3</v>
      </c>
      <c r="D791" s="106" t="s">
        <v>45</v>
      </c>
      <c r="E791" s="453" t="s">
        <v>46</v>
      </c>
      <c r="J791" s="101"/>
      <c r="M791" s="600"/>
      <c r="T791" s="75"/>
    </row>
    <row r="792" spans="1:21" ht="45" customHeight="1">
      <c r="A792" s="597"/>
      <c r="B792" s="600"/>
      <c r="C792" s="105" t="s">
        <v>3</v>
      </c>
      <c r="D792" s="106" t="s">
        <v>429</v>
      </c>
      <c r="E792" s="454" t="s">
        <v>309</v>
      </c>
      <c r="J792" s="101"/>
      <c r="M792" s="600"/>
      <c r="T792" s="75"/>
    </row>
    <row r="793" spans="1:21" ht="45" customHeight="1">
      <c r="A793" s="597"/>
      <c r="B793" s="600"/>
      <c r="C793" s="105" t="s">
        <v>3</v>
      </c>
      <c r="D793" s="106" t="s">
        <v>52</v>
      </c>
      <c r="E793" s="455" t="s">
        <v>176</v>
      </c>
      <c r="F793" s="105" t="str">
        <f>IFERROR(IF(FIND("开",F790,1),"开","关"),"关")</f>
        <v>关</v>
      </c>
      <c r="G793" s="105" t="str">
        <f>IFERROR(IF(FIND("开",G790,1),"开","关"),"关")</f>
        <v>关</v>
      </c>
      <c r="H793" s="105" t="str">
        <f>IFERROR(IF(FIND("开",H790,1),"开","关"),"关")</f>
        <v>开</v>
      </c>
      <c r="J793" s="101"/>
      <c r="K793" s="105" t="str">
        <f>IFERROR(IF(FIND("开",K790,1),"开","关"),"关")</f>
        <v>关</v>
      </c>
      <c r="L793" s="105" t="str">
        <f>IFERROR(IF(FIND("开",L790,1),"开","关"),"关")</f>
        <v>关</v>
      </c>
      <c r="M793" s="600"/>
      <c r="T793" s="75" t="str">
        <f>IF(ISBLANK(A793),T790,LEFT(A793,FIND(" ",A793,1)-1))</f>
        <v>3.28.5</v>
      </c>
    </row>
    <row r="794" spans="1:21" ht="45" customHeight="1">
      <c r="A794" s="603" t="s">
        <v>430</v>
      </c>
      <c r="B794" s="688" t="s">
        <v>354</v>
      </c>
      <c r="C794" s="105" t="s">
        <v>8</v>
      </c>
      <c r="D794" s="74"/>
      <c r="E794" s="102"/>
      <c r="F794" s="105" t="str">
        <f t="shared" ref="F794:F804" si="197">IFERROR(IF(FIND("开",F793,1),"开","关"),"关")</f>
        <v>关</v>
      </c>
      <c r="G794" s="105" t="str">
        <f t="shared" ref="G794:G804" si="198">IFERROR(IF(FIND("开",G793,1),"开","关"),"关")</f>
        <v>关</v>
      </c>
      <c r="H794" s="105" t="str">
        <f t="shared" ref="H794:H804" si="199">IFERROR(IF(FIND("开",H793,1),"开","关"),"关")</f>
        <v>开</v>
      </c>
      <c r="I794" s="84" t="s">
        <v>77</v>
      </c>
      <c r="J794" s="101" t="s">
        <v>355</v>
      </c>
      <c r="K794" s="105" t="str">
        <f t="shared" ref="K794:K812" si="200">IFERROR(IF(FIND("开",K793,1),"开","关"),"关")</f>
        <v>关</v>
      </c>
      <c r="L794" s="105" t="str">
        <f t="shared" ref="L794:L812" si="201">IFERROR(IF(FIND("开",L793,1),"开","关"),"关")</f>
        <v>关</v>
      </c>
      <c r="M794" s="601">
        <v>3</v>
      </c>
      <c r="N794" s="75" t="s">
        <v>24</v>
      </c>
      <c r="O794" s="75" t="str">
        <f>MID(J794,FIND("setting",J794,1)+8,FIND("kg",J794,1)-FIND("setting",J794,1)-8)</f>
        <v xml:space="preserve"> 616.20</v>
      </c>
      <c r="Q794" s="75" t="str">
        <f>SUBSTITUTE(T794&amp;N794," ","")</f>
        <v>3.28.10DMF</v>
      </c>
      <c r="R794" s="74">
        <f>VLOOKUP(Q794,MOR投料表!A:L,9,FALSE)</f>
        <v>616.20000000000005</v>
      </c>
      <c r="T794" s="75" t="str">
        <f t="shared" ref="T794:T812" si="202">IF(ISBLANK(A794),T793,LEFT(A794,FIND(" ",A794,1)-1))</f>
        <v>3.28.10</v>
      </c>
      <c r="U794" s="74" t="b">
        <f>TEXT(O794,"0.00")=TEXT(R794,"0.00")</f>
        <v>1</v>
      </c>
    </row>
    <row r="795" spans="1:21" ht="45" customHeight="1">
      <c r="A795" s="603"/>
      <c r="B795" s="602"/>
      <c r="C795" s="105" t="s">
        <v>8</v>
      </c>
      <c r="D795" s="74"/>
      <c r="E795" s="102"/>
      <c r="F795" s="105" t="str">
        <f t="shared" si="197"/>
        <v>关</v>
      </c>
      <c r="G795" s="105" t="str">
        <f t="shared" si="198"/>
        <v>关</v>
      </c>
      <c r="H795" s="105" t="str">
        <f t="shared" si="199"/>
        <v>开</v>
      </c>
      <c r="I795" s="84" t="s">
        <v>61</v>
      </c>
      <c r="J795" s="101" t="s">
        <v>26</v>
      </c>
      <c r="K795" s="105" t="str">
        <f t="shared" si="200"/>
        <v>关</v>
      </c>
      <c r="L795" s="105" t="str">
        <f t="shared" si="201"/>
        <v>关</v>
      </c>
      <c r="M795" s="601"/>
      <c r="T795" s="75" t="str">
        <f t="shared" si="202"/>
        <v>3.28.10</v>
      </c>
    </row>
    <row r="796" spans="1:21" ht="45" customHeight="1">
      <c r="A796" s="603"/>
      <c r="B796" s="602"/>
      <c r="C796" s="105" t="s">
        <v>8</v>
      </c>
      <c r="E796" s="102"/>
      <c r="F796" s="105" t="str">
        <f t="shared" si="197"/>
        <v>关</v>
      </c>
      <c r="G796" s="105" t="str">
        <f t="shared" si="198"/>
        <v>关</v>
      </c>
      <c r="H796" s="105" t="str">
        <f t="shared" si="199"/>
        <v>开</v>
      </c>
      <c r="I796" s="84" t="s">
        <v>137</v>
      </c>
      <c r="J796" s="101" t="s">
        <v>138</v>
      </c>
      <c r="K796" s="105" t="str">
        <f t="shared" si="200"/>
        <v>关</v>
      </c>
      <c r="L796" s="105" t="str">
        <f t="shared" si="201"/>
        <v>关</v>
      </c>
      <c r="M796" s="601"/>
      <c r="T796" s="75" t="str">
        <f t="shared" si="202"/>
        <v>3.28.10</v>
      </c>
    </row>
    <row r="797" spans="1:21" ht="45" customHeight="1">
      <c r="A797" s="603"/>
      <c r="B797" s="602"/>
      <c r="C797" s="105" t="s">
        <v>8</v>
      </c>
      <c r="E797" s="102"/>
      <c r="F797" s="105" t="str">
        <f t="shared" si="197"/>
        <v>关</v>
      </c>
      <c r="G797" s="105" t="str">
        <f t="shared" si="198"/>
        <v>关</v>
      </c>
      <c r="H797" s="105" t="str">
        <f t="shared" si="199"/>
        <v>开</v>
      </c>
      <c r="I797" s="84" t="s">
        <v>139</v>
      </c>
      <c r="J797" s="101" t="s">
        <v>140</v>
      </c>
      <c r="K797" s="105" t="str">
        <f t="shared" si="200"/>
        <v>关</v>
      </c>
      <c r="L797" s="105" t="str">
        <f t="shared" si="201"/>
        <v>关</v>
      </c>
      <c r="M797" s="601"/>
      <c r="N797" s="75"/>
      <c r="O797" s="75"/>
      <c r="T797" s="75" t="str">
        <f t="shared" si="202"/>
        <v>3.28.10</v>
      </c>
      <c r="U797" s="74" t="b">
        <f>TEXT(O797,"0.00")=TEXT(R797,"0.00")</f>
        <v>1</v>
      </c>
    </row>
    <row r="798" spans="1:21" ht="45" customHeight="1">
      <c r="A798" s="603"/>
      <c r="B798" s="602"/>
      <c r="C798" s="105" t="s">
        <v>8</v>
      </c>
      <c r="E798" s="102"/>
      <c r="F798" s="105" t="str">
        <f t="shared" si="197"/>
        <v>关</v>
      </c>
      <c r="G798" s="105" t="str">
        <f t="shared" si="198"/>
        <v>关</v>
      </c>
      <c r="H798" s="105" t="str">
        <f t="shared" si="199"/>
        <v>开</v>
      </c>
      <c r="I798" s="84" t="s">
        <v>141</v>
      </c>
      <c r="J798" s="101" t="s">
        <v>142</v>
      </c>
      <c r="K798" s="105" t="str">
        <f t="shared" si="200"/>
        <v>关</v>
      </c>
      <c r="L798" s="105" t="str">
        <f t="shared" si="201"/>
        <v>关</v>
      </c>
      <c r="M798" s="601"/>
      <c r="T798" s="75" t="str">
        <f t="shared" si="202"/>
        <v>3.28.10</v>
      </c>
    </row>
    <row r="799" spans="1:21" ht="45" customHeight="1">
      <c r="A799" s="603"/>
      <c r="B799" s="602"/>
      <c r="C799" s="105" t="s">
        <v>8</v>
      </c>
      <c r="E799" s="102"/>
      <c r="F799" s="105" t="str">
        <f t="shared" si="197"/>
        <v>关</v>
      </c>
      <c r="G799" s="105" t="str">
        <f t="shared" si="198"/>
        <v>关</v>
      </c>
      <c r="H799" s="105" t="str">
        <f t="shared" si="199"/>
        <v>开</v>
      </c>
      <c r="I799" s="84" t="s">
        <v>143</v>
      </c>
      <c r="J799" s="101" t="s">
        <v>144</v>
      </c>
      <c r="K799" s="105" t="str">
        <f t="shared" si="200"/>
        <v>关</v>
      </c>
      <c r="L799" s="105" t="str">
        <f t="shared" si="201"/>
        <v>关</v>
      </c>
      <c r="M799" s="601"/>
      <c r="T799" s="75" t="str">
        <f t="shared" si="202"/>
        <v>3.28.10</v>
      </c>
    </row>
    <row r="800" spans="1:21" ht="45" customHeight="1">
      <c r="A800" s="603"/>
      <c r="B800" s="602"/>
      <c r="C800" s="105" t="s">
        <v>8</v>
      </c>
      <c r="E800" s="102"/>
      <c r="F800" s="105" t="str">
        <f t="shared" si="197"/>
        <v>关</v>
      </c>
      <c r="G800" s="105" t="str">
        <f t="shared" si="198"/>
        <v>关</v>
      </c>
      <c r="H800" s="105" t="str">
        <f t="shared" si="199"/>
        <v>开</v>
      </c>
      <c r="I800" s="84" t="s">
        <v>145</v>
      </c>
      <c r="J800" s="101" t="s">
        <v>146</v>
      </c>
      <c r="K800" s="105" t="str">
        <f t="shared" si="200"/>
        <v>关</v>
      </c>
      <c r="L800" s="105" t="str">
        <f t="shared" si="201"/>
        <v>关</v>
      </c>
      <c r="M800" s="601"/>
      <c r="T800" s="75" t="str">
        <f t="shared" si="202"/>
        <v>3.28.10</v>
      </c>
    </row>
    <row r="801" spans="1:22" ht="45" customHeight="1">
      <c r="A801" s="603"/>
      <c r="B801" s="602"/>
      <c r="C801" s="105" t="s">
        <v>8</v>
      </c>
      <c r="E801" s="102"/>
      <c r="F801" s="105" t="str">
        <f t="shared" si="197"/>
        <v>关</v>
      </c>
      <c r="G801" s="105" t="str">
        <f t="shared" si="198"/>
        <v>关</v>
      </c>
      <c r="H801" s="105" t="str">
        <f t="shared" si="199"/>
        <v>开</v>
      </c>
      <c r="I801" s="84" t="s">
        <v>147</v>
      </c>
      <c r="J801" s="101" t="s">
        <v>148</v>
      </c>
      <c r="K801" s="105" t="str">
        <f t="shared" si="200"/>
        <v>关</v>
      </c>
      <c r="L801" s="105" t="str">
        <f t="shared" si="201"/>
        <v>关</v>
      </c>
      <c r="M801" s="601"/>
      <c r="T801" s="75" t="str">
        <f t="shared" si="202"/>
        <v>3.28.10</v>
      </c>
    </row>
    <row r="802" spans="1:22" ht="45" customHeight="1">
      <c r="A802" s="603"/>
      <c r="B802" s="602"/>
      <c r="C802" s="105" t="s">
        <v>30</v>
      </c>
      <c r="D802" s="106" t="s">
        <v>31</v>
      </c>
      <c r="E802" s="456" t="s">
        <v>32</v>
      </c>
      <c r="F802" s="105" t="str">
        <f t="shared" si="197"/>
        <v>关</v>
      </c>
      <c r="G802" s="105" t="str">
        <f t="shared" si="198"/>
        <v>关</v>
      </c>
      <c r="H802" s="105" t="str">
        <f t="shared" si="199"/>
        <v>开</v>
      </c>
      <c r="I802" s="106"/>
      <c r="J802" s="101"/>
      <c r="K802" s="105" t="str">
        <f t="shared" si="200"/>
        <v>关</v>
      </c>
      <c r="L802" s="105" t="str">
        <f t="shared" si="201"/>
        <v>关</v>
      </c>
      <c r="M802" s="601"/>
      <c r="T802" s="75" t="str">
        <f t="shared" si="202"/>
        <v>3.28.10</v>
      </c>
    </row>
    <row r="803" spans="1:22" ht="45" customHeight="1">
      <c r="A803" s="603"/>
      <c r="B803" s="602"/>
      <c r="C803" s="105" t="s">
        <v>30</v>
      </c>
      <c r="D803" s="106" t="s">
        <v>33</v>
      </c>
      <c r="E803" s="101" t="s">
        <v>34</v>
      </c>
      <c r="F803" s="105" t="str">
        <f t="shared" si="197"/>
        <v>关</v>
      </c>
      <c r="G803" s="105" t="str">
        <f t="shared" si="198"/>
        <v>关</v>
      </c>
      <c r="H803" s="105" t="str">
        <f t="shared" si="199"/>
        <v>开</v>
      </c>
      <c r="J803" s="101"/>
      <c r="K803" s="105" t="str">
        <f t="shared" si="200"/>
        <v>关</v>
      </c>
      <c r="L803" s="105" t="str">
        <f t="shared" si="201"/>
        <v>关</v>
      </c>
      <c r="M803" s="601"/>
      <c r="N803" s="75"/>
      <c r="O803" s="75"/>
      <c r="P803" s="75"/>
      <c r="S803" s="74">
        <f>ROUND(R803*0.03,2)</f>
        <v>0</v>
      </c>
      <c r="T803" s="75" t="str">
        <f t="shared" si="202"/>
        <v>3.28.10</v>
      </c>
      <c r="U803" s="74" t="b">
        <f>TEXT(O803,"0.00")=TEXT(R803,"0.00")</f>
        <v>1</v>
      </c>
      <c r="V803" s="74">
        <f>S803-P803</f>
        <v>0</v>
      </c>
    </row>
    <row r="804" spans="1:22" ht="45" customHeight="1">
      <c r="A804" s="603"/>
      <c r="B804" s="602"/>
      <c r="C804" s="105" t="s">
        <v>8</v>
      </c>
      <c r="D804" s="106"/>
      <c r="E804" s="78"/>
      <c r="F804" s="105" t="str">
        <f t="shared" si="197"/>
        <v>关</v>
      </c>
      <c r="G804" s="105" t="str">
        <f t="shared" si="198"/>
        <v>关</v>
      </c>
      <c r="H804" s="105" t="str">
        <f t="shared" si="199"/>
        <v>开</v>
      </c>
      <c r="I804" s="106" t="s">
        <v>54</v>
      </c>
      <c r="J804" s="457" t="s">
        <v>149</v>
      </c>
      <c r="K804" s="105" t="str">
        <f t="shared" si="200"/>
        <v>关</v>
      </c>
      <c r="L804" s="105" t="str">
        <f t="shared" si="201"/>
        <v>关</v>
      </c>
      <c r="M804" s="601"/>
      <c r="N804" s="75"/>
      <c r="O804" s="75"/>
      <c r="P804" s="75"/>
      <c r="S804" s="74">
        <f>ROUND(R804*0.03,2)</f>
        <v>0</v>
      </c>
      <c r="T804" s="75" t="str">
        <f t="shared" si="202"/>
        <v>3.28.10</v>
      </c>
      <c r="U804" s="74" t="b">
        <f>TEXT(O804,"0.00")=TEXT(R804,"0.00")</f>
        <v>1</v>
      </c>
      <c r="V804" s="74">
        <f>S804-P804</f>
        <v>0</v>
      </c>
    </row>
    <row r="805" spans="1:22" ht="45" customHeight="1">
      <c r="A805" s="603"/>
      <c r="B805" s="602"/>
      <c r="C805" s="105" t="s">
        <v>3</v>
      </c>
      <c r="D805" s="106" t="s">
        <v>35</v>
      </c>
      <c r="E805" s="101" t="s">
        <v>63</v>
      </c>
      <c r="F805" s="105" t="s">
        <v>37</v>
      </c>
      <c r="G805" s="105" t="str">
        <f>IFERROR(IF(FIND("开",G804,1),"开","关"),"关")</f>
        <v>关</v>
      </c>
      <c r="H805" s="105" t="str">
        <f>IFERROR(IF(FIND("开",H804,1),"开","关"),"关")</f>
        <v>开</v>
      </c>
      <c r="J805" s="101"/>
      <c r="K805" s="105" t="str">
        <f t="shared" si="200"/>
        <v>关</v>
      </c>
      <c r="L805" s="105" t="str">
        <f t="shared" si="201"/>
        <v>关</v>
      </c>
      <c r="M805" s="601"/>
      <c r="N805" s="75"/>
      <c r="O805" s="75"/>
      <c r="T805" s="75" t="str">
        <f t="shared" si="202"/>
        <v>3.28.10</v>
      </c>
      <c r="U805" s="74" t="b">
        <f>TEXT(O805,"0.00")=TEXT(R805,"0.00")</f>
        <v>1</v>
      </c>
    </row>
    <row r="806" spans="1:22" ht="45" customHeight="1">
      <c r="A806" s="603"/>
      <c r="B806" s="602"/>
      <c r="C806" s="105" t="s">
        <v>3</v>
      </c>
      <c r="D806" s="106" t="s">
        <v>38</v>
      </c>
      <c r="E806" s="101" t="s">
        <v>101</v>
      </c>
      <c r="F806" s="105" t="str">
        <f>IFERROR(IF(FIND("开",F805,1),"开","关"),"关")</f>
        <v>开</v>
      </c>
      <c r="G806" s="105" t="s">
        <v>29</v>
      </c>
      <c r="H806" s="105" t="str">
        <f>IFERROR(IF(FIND("开",H805,1),"开","关"),"关")</f>
        <v>开</v>
      </c>
      <c r="I806" s="106"/>
      <c r="J806" s="101"/>
      <c r="K806" s="105" t="str">
        <f t="shared" si="200"/>
        <v>关</v>
      </c>
      <c r="L806" s="105" t="str">
        <f t="shared" si="201"/>
        <v>关</v>
      </c>
      <c r="M806" s="601"/>
      <c r="T806" s="75" t="str">
        <f t="shared" si="202"/>
        <v>3.28.10</v>
      </c>
    </row>
    <row r="807" spans="1:22" ht="45" customHeight="1">
      <c r="A807" s="603"/>
      <c r="B807" s="602"/>
      <c r="C807" s="105" t="s">
        <v>3</v>
      </c>
      <c r="D807" s="106" t="s">
        <v>40</v>
      </c>
      <c r="E807" s="101" t="s">
        <v>41</v>
      </c>
      <c r="F807" s="105" t="s">
        <v>42</v>
      </c>
      <c r="G807" s="105" t="str">
        <f t="shared" ref="G807:G812" si="203">IFERROR(IF(FIND("开",G806,1),"开","关"),"关")</f>
        <v>关</v>
      </c>
      <c r="H807" s="105" t="str">
        <f>IFERROR(IF(FIND("开",H806,1),"开","关"),"关")</f>
        <v>开</v>
      </c>
      <c r="I807" s="106"/>
      <c r="J807" s="101"/>
      <c r="K807" s="105" t="str">
        <f t="shared" si="200"/>
        <v>关</v>
      </c>
      <c r="L807" s="105" t="str">
        <f t="shared" si="201"/>
        <v>关</v>
      </c>
      <c r="M807" s="601"/>
      <c r="T807" s="75" t="str">
        <f t="shared" si="202"/>
        <v>3.28.10</v>
      </c>
    </row>
    <row r="808" spans="1:22" ht="45" customHeight="1">
      <c r="A808" s="603"/>
      <c r="B808" s="602"/>
      <c r="C808" s="105" t="s">
        <v>3</v>
      </c>
      <c r="D808" s="106" t="s">
        <v>45</v>
      </c>
      <c r="E808" s="458" t="s">
        <v>46</v>
      </c>
      <c r="F808" s="105" t="str">
        <f>IFERROR(IF(FIND("开",F807,1),"开","关"),"关")</f>
        <v>关</v>
      </c>
      <c r="G808" s="105" t="str">
        <f t="shared" si="203"/>
        <v>关</v>
      </c>
      <c r="H808" s="105" t="str">
        <f>IFERROR(IF(FIND("开",H807,1),"开","关"),"关")</f>
        <v>开</v>
      </c>
      <c r="I808" s="74"/>
      <c r="J808" s="77"/>
      <c r="K808" s="105" t="str">
        <f t="shared" si="200"/>
        <v>关</v>
      </c>
      <c r="L808" s="105" t="str">
        <f t="shared" si="201"/>
        <v>关</v>
      </c>
      <c r="M808" s="601"/>
      <c r="T808" s="75" t="str">
        <f t="shared" si="202"/>
        <v>3.28.10</v>
      </c>
    </row>
    <row r="809" spans="1:22" ht="45" customHeight="1">
      <c r="A809" s="603" t="s">
        <v>168</v>
      </c>
      <c r="B809" s="602" t="s">
        <v>169</v>
      </c>
      <c r="C809" s="105" t="s">
        <v>3</v>
      </c>
      <c r="D809" s="106" t="s">
        <v>130</v>
      </c>
      <c r="E809" s="459" t="s">
        <v>131</v>
      </c>
      <c r="F809" s="105" t="str">
        <f>IFERROR(IF(FIND("开",F808,1),"开","关"),"关")</f>
        <v>关</v>
      </c>
      <c r="G809" s="105" t="str">
        <f t="shared" si="203"/>
        <v>关</v>
      </c>
      <c r="H809" s="105" t="s">
        <v>42</v>
      </c>
      <c r="I809" s="106"/>
      <c r="J809" s="101"/>
      <c r="K809" s="105" t="str">
        <f t="shared" si="200"/>
        <v>关</v>
      </c>
      <c r="L809" s="105" t="str">
        <f t="shared" si="201"/>
        <v>关</v>
      </c>
      <c r="M809" s="601">
        <v>1</v>
      </c>
      <c r="T809" s="75" t="e">
        <f t="shared" si="202"/>
        <v>#VALUE!</v>
      </c>
    </row>
    <row r="810" spans="1:22" ht="45" customHeight="1">
      <c r="A810" s="603"/>
      <c r="B810" s="602"/>
      <c r="C810" s="105" t="s">
        <v>3</v>
      </c>
      <c r="D810" s="106" t="s">
        <v>171</v>
      </c>
      <c r="E810" s="101" t="s">
        <v>44</v>
      </c>
      <c r="F810" s="105" t="str">
        <f>IFERROR(IF(FIND("开",F809,1),"开","关"),"关")</f>
        <v>关</v>
      </c>
      <c r="G810" s="105" t="str">
        <f t="shared" si="203"/>
        <v>关</v>
      </c>
      <c r="H810" s="105" t="str">
        <f>IFERROR(IF(FIND("开",H809,1),"开","关"),"关")</f>
        <v>关</v>
      </c>
      <c r="J810" s="77"/>
      <c r="K810" s="105" t="str">
        <f t="shared" si="200"/>
        <v>关</v>
      </c>
      <c r="L810" s="105" t="str">
        <f t="shared" si="201"/>
        <v>关</v>
      </c>
      <c r="M810" s="601"/>
      <c r="T810" s="75" t="e">
        <f t="shared" si="202"/>
        <v>#VALUE!</v>
      </c>
    </row>
    <row r="811" spans="1:22" ht="45" customHeight="1">
      <c r="A811" s="603"/>
      <c r="B811" s="602"/>
      <c r="C811" s="105" t="s">
        <v>8</v>
      </c>
      <c r="E811" s="77"/>
      <c r="F811" s="105" t="str">
        <f>IFERROR(IF(FIND("开",F810,1),"开","关"),"关")</f>
        <v>关</v>
      </c>
      <c r="G811" s="105" t="str">
        <f t="shared" si="203"/>
        <v>关</v>
      </c>
      <c r="H811" s="105" t="str">
        <f>IFERROR(IF(FIND("开",H810,1),"开","关"),"关")</f>
        <v>关</v>
      </c>
      <c r="I811" s="106" t="s">
        <v>172</v>
      </c>
      <c r="J811" s="101" t="s">
        <v>126</v>
      </c>
      <c r="K811" s="105" t="str">
        <f t="shared" si="200"/>
        <v>关</v>
      </c>
      <c r="L811" s="105" t="str">
        <f t="shared" si="201"/>
        <v>关</v>
      </c>
      <c r="M811" s="601"/>
      <c r="N811" s="75"/>
      <c r="O811" s="75"/>
      <c r="T811" s="75" t="e">
        <f t="shared" si="202"/>
        <v>#VALUE!</v>
      </c>
      <c r="U811" s="74" t="b">
        <f>TEXT(O811,"0.00")=TEXT(R811,"0.00")</f>
        <v>1</v>
      </c>
    </row>
    <row r="812" spans="1:22" ht="45" customHeight="1">
      <c r="A812" s="89" t="s">
        <v>432</v>
      </c>
      <c r="E812" s="102"/>
      <c r="F812" s="105" t="str">
        <f>IFERROR(IF(FIND("开",F811,1),"开","关"),"关")</f>
        <v>关</v>
      </c>
      <c r="G812" s="105" t="str">
        <f t="shared" si="203"/>
        <v>关</v>
      </c>
      <c r="H812" s="105" t="str">
        <f>IFERROR(IF(FIND("开",H811,1),"开","关"),"关")</f>
        <v>关</v>
      </c>
      <c r="I812" s="106"/>
      <c r="J812" s="101"/>
      <c r="K812" s="105" t="str">
        <f t="shared" si="200"/>
        <v>关</v>
      </c>
      <c r="L812" s="105" t="str">
        <f t="shared" si="201"/>
        <v>关</v>
      </c>
      <c r="T812" s="75" t="str">
        <f t="shared" si="202"/>
        <v>3.29</v>
      </c>
    </row>
    <row r="813" spans="1:22" ht="45" customHeight="1">
      <c r="A813" s="595" t="s">
        <v>433</v>
      </c>
      <c r="B813" s="702" t="s">
        <v>434</v>
      </c>
      <c r="C813" s="105" t="s">
        <v>3</v>
      </c>
      <c r="D813" s="106" t="s">
        <v>52</v>
      </c>
      <c r="E813" s="460" t="s">
        <v>176</v>
      </c>
      <c r="F813" s="105" t="str">
        <f>IFERROR(IF(FIND("开",#REF!,1),"开","关"),"关")</f>
        <v>关</v>
      </c>
      <c r="G813" s="105" t="str">
        <f>IFERROR(IF(FIND("开",#REF!,1),"开","关"),"关")</f>
        <v>关</v>
      </c>
      <c r="H813" s="105" t="s">
        <v>37</v>
      </c>
      <c r="J813" s="101"/>
      <c r="K813" s="105" t="str">
        <f>IFERROR(IF(FIND("开",#REF!,1),"开","关"),"关")</f>
        <v>关</v>
      </c>
      <c r="L813" s="105" t="str">
        <f>IFERROR(IF(FIND("开",#REF!,1),"开","关"),"关")</f>
        <v>关</v>
      </c>
      <c r="M813" s="598">
        <v>1</v>
      </c>
      <c r="N813" s="75"/>
      <c r="O813" s="75"/>
      <c r="Q813" s="75"/>
      <c r="T813" s="75" t="str">
        <f>IF(ISBLANK(A813),#REF!,LEFT(A813,FIND(" ",A813,1)-1))</f>
        <v>3.29.1</v>
      </c>
    </row>
    <row r="814" spans="1:22" ht="45" customHeight="1">
      <c r="A814" s="596"/>
      <c r="B814" s="599"/>
      <c r="C814" s="105" t="s">
        <v>178</v>
      </c>
      <c r="D814" s="106"/>
      <c r="E814" s="101"/>
      <c r="I814" s="84" t="s">
        <v>179</v>
      </c>
      <c r="J814" s="461" t="s">
        <v>149</v>
      </c>
      <c r="M814" s="599"/>
      <c r="N814" s="75"/>
      <c r="O814" s="75"/>
      <c r="Q814" s="75"/>
      <c r="T814" s="75"/>
    </row>
    <row r="815" spans="1:22" ht="45" customHeight="1">
      <c r="A815" s="596"/>
      <c r="B815" s="599"/>
      <c r="C815" s="105" t="s">
        <v>3</v>
      </c>
      <c r="D815" s="106" t="s">
        <v>180</v>
      </c>
      <c r="E815" s="462" t="s">
        <v>181</v>
      </c>
      <c r="F815" s="105" t="str">
        <f>IFERROR(IF(FIND("开",F813,1),"开","关"),"关")</f>
        <v>关</v>
      </c>
      <c r="G815" s="105" t="str">
        <f>IFERROR(IF(FIND("开",G813,1),"开","关"),"关")</f>
        <v>关</v>
      </c>
      <c r="H815" s="105" t="str">
        <f>IFERROR(IF(FIND("开",H813,1),"开","关"),"关")</f>
        <v>开</v>
      </c>
      <c r="J815" s="101"/>
      <c r="K815" s="105" t="str">
        <f>IFERROR(IF(FIND("开",K813,1),"开","关"),"关")</f>
        <v>关</v>
      </c>
      <c r="L815" s="105" t="str">
        <f>IFERROR(IF(FIND("开",L813,1),"开","关"),"关")</f>
        <v>关</v>
      </c>
      <c r="M815" s="599"/>
      <c r="N815" s="75" t="s">
        <v>182</v>
      </c>
      <c r="O815" s="75" t="str">
        <f>MID(E815,FIND("setting",E815,1)+8,FIND("kg",E815,1)-FIND("setting",E815,1)-8)</f>
        <v xml:space="preserve"> 483.60</v>
      </c>
      <c r="Q815" s="75" t="str">
        <f>SUBSTITUTE(T815&amp;N815," ","")</f>
        <v>3.29.120%piperidinesolution</v>
      </c>
      <c r="R815" s="74">
        <f>VLOOKUP(Q815,MOR投料表!A:L,9,FALSE)</f>
        <v>483.6</v>
      </c>
      <c r="T815" s="75" t="str">
        <f>IF(ISBLANK(A815),T813,LEFT(A815,FIND(" ",A815,1)-1))</f>
        <v>3.29.1</v>
      </c>
      <c r="U815" s="74" t="b">
        <f>TEXT(O815,"0.00")=TEXT(R815,"0.00")</f>
        <v>1</v>
      </c>
    </row>
    <row r="816" spans="1:22" ht="45" customHeight="1">
      <c r="A816" s="596"/>
      <c r="B816" s="599"/>
      <c r="C816" s="105" t="s">
        <v>3</v>
      </c>
      <c r="D816" s="106" t="s">
        <v>183</v>
      </c>
      <c r="E816" s="101" t="s">
        <v>184</v>
      </c>
      <c r="F816" s="105" t="str">
        <f>IFERROR(IF(FIND("开",F815,1),"开","关"),"关")</f>
        <v>关</v>
      </c>
      <c r="G816" s="105" t="str">
        <f>IFERROR(IF(FIND("开",G815,1),"开","关"),"关")</f>
        <v>关</v>
      </c>
      <c r="H816" s="105" t="str">
        <f>IFERROR(IF(FIND("开",H815,1),"开","关"),"关")</f>
        <v>开</v>
      </c>
      <c r="J816" s="101"/>
      <c r="K816" s="105" t="str">
        <f t="shared" ref="K816:K841" si="204">IFERROR(IF(FIND("开",K815,1),"开","关"),"关")</f>
        <v>关</v>
      </c>
      <c r="L816" s="105" t="str">
        <f t="shared" ref="L816:L841" si="205">IFERROR(IF(FIND("开",L815,1),"开","关"),"关")</f>
        <v>关</v>
      </c>
      <c r="M816" s="599"/>
      <c r="T816" s="75" t="str">
        <f t="shared" ref="T816:T845" si="206">IF(ISBLANK(A816),T815,LEFT(A816,FIND(" ",A816,1)-1))</f>
        <v>3.29.1</v>
      </c>
    </row>
    <row r="817" spans="1:21" ht="45" customHeight="1">
      <c r="A817" s="596"/>
      <c r="B817" s="599"/>
      <c r="C817" s="105" t="s">
        <v>3</v>
      </c>
      <c r="D817" s="106" t="s">
        <v>35</v>
      </c>
      <c r="E817" s="101" t="s">
        <v>63</v>
      </c>
      <c r="F817" s="105" t="s">
        <v>37</v>
      </c>
      <c r="G817" s="105" t="str">
        <f>IFERROR(IF(FIND("开",G816,1),"开","关"),"关")</f>
        <v>关</v>
      </c>
      <c r="H817" s="105" t="str">
        <f>IFERROR(IF(FIND("开",H816,1),"开","关"),"关")</f>
        <v>开</v>
      </c>
      <c r="J817" s="101"/>
      <c r="K817" s="105" t="str">
        <f t="shared" si="204"/>
        <v>关</v>
      </c>
      <c r="L817" s="105" t="str">
        <f t="shared" si="205"/>
        <v>关</v>
      </c>
      <c r="M817" s="599"/>
      <c r="T817" s="75" t="str">
        <f t="shared" si="206"/>
        <v>3.29.1</v>
      </c>
    </row>
    <row r="818" spans="1:21" ht="45" customHeight="1">
      <c r="A818" s="596"/>
      <c r="B818" s="599"/>
      <c r="C818" s="105" t="s">
        <v>3</v>
      </c>
      <c r="D818" s="106" t="s">
        <v>64</v>
      </c>
      <c r="E818" s="101" t="s">
        <v>65</v>
      </c>
      <c r="F818" s="105" t="str">
        <f>IFERROR(IF(FIND("开",F817,1),"开","关"),"关")</f>
        <v>开</v>
      </c>
      <c r="G818" s="105" t="s">
        <v>37</v>
      </c>
      <c r="H818" s="105" t="str">
        <f t="shared" ref="H818:H842" si="207">IFERROR(IF(FIND("开",H817,1),"开","关"),"关")</f>
        <v>开</v>
      </c>
      <c r="J818" s="101"/>
      <c r="K818" s="105" t="str">
        <f t="shared" si="204"/>
        <v>关</v>
      </c>
      <c r="L818" s="105" t="str">
        <f t="shared" si="205"/>
        <v>关</v>
      </c>
      <c r="M818" s="599"/>
      <c r="T818" s="75" t="str">
        <f t="shared" si="206"/>
        <v>3.29.1</v>
      </c>
    </row>
    <row r="819" spans="1:21" ht="45" customHeight="1">
      <c r="A819" s="596"/>
      <c r="B819" s="599"/>
      <c r="C819" s="105" t="s">
        <v>3</v>
      </c>
      <c r="D819" s="106" t="s">
        <v>66</v>
      </c>
      <c r="E819" s="463" t="s">
        <v>67</v>
      </c>
      <c r="F819" s="105" t="str">
        <f>IFERROR(IF(FIND("开",F818,1),"开","关"),"关")</f>
        <v>开</v>
      </c>
      <c r="G819" s="105" t="str">
        <f>IFERROR(IF(FIND("开",G818,1),"开","关"),"关")</f>
        <v>开</v>
      </c>
      <c r="H819" s="105" t="str">
        <f t="shared" si="207"/>
        <v>开</v>
      </c>
      <c r="J819" s="101"/>
      <c r="K819" s="105" t="str">
        <f t="shared" si="204"/>
        <v>关</v>
      </c>
      <c r="L819" s="105" t="str">
        <f t="shared" si="205"/>
        <v>关</v>
      </c>
      <c r="M819" s="599"/>
      <c r="T819" s="75" t="str">
        <f t="shared" si="206"/>
        <v>3.29.1</v>
      </c>
    </row>
    <row r="820" spans="1:21" ht="45" customHeight="1">
      <c r="A820" s="596"/>
      <c r="B820" s="599"/>
      <c r="C820" s="105" t="s">
        <v>3</v>
      </c>
      <c r="D820" s="106" t="s">
        <v>68</v>
      </c>
      <c r="E820" s="464" t="s">
        <v>185</v>
      </c>
      <c r="F820" s="105" t="str">
        <f>IFERROR(IF(FIND("开",F819,1),"开","关"),"关")</f>
        <v>开</v>
      </c>
      <c r="G820" s="105" t="str">
        <f>IFERROR(IF(FIND("开",G819,1),"开","关"),"关")</f>
        <v>开</v>
      </c>
      <c r="H820" s="105" t="str">
        <f t="shared" si="207"/>
        <v>开</v>
      </c>
      <c r="J820" s="101"/>
      <c r="K820" s="105" t="str">
        <f t="shared" si="204"/>
        <v>关</v>
      </c>
      <c r="L820" s="105" t="str">
        <f t="shared" si="205"/>
        <v>关</v>
      </c>
      <c r="M820" s="599"/>
      <c r="T820" s="75" t="str">
        <f t="shared" si="206"/>
        <v>3.29.1</v>
      </c>
    </row>
    <row r="821" spans="1:21" ht="45" customHeight="1">
      <c r="A821" s="596"/>
      <c r="B821" s="599"/>
      <c r="C821" s="105" t="s">
        <v>3</v>
      </c>
      <c r="D821" s="106" t="s">
        <v>70</v>
      </c>
      <c r="E821" s="101" t="s">
        <v>71</v>
      </c>
      <c r="F821" s="105" t="str">
        <f>IFERROR(IF(FIND("开",F820,1),"开","关"),"关")</f>
        <v>开</v>
      </c>
      <c r="G821" s="105" t="s">
        <v>42</v>
      </c>
      <c r="H821" s="105" t="str">
        <f t="shared" si="207"/>
        <v>开</v>
      </c>
      <c r="J821" s="101"/>
      <c r="K821" s="105" t="str">
        <f t="shared" si="204"/>
        <v>关</v>
      </c>
      <c r="L821" s="105" t="str">
        <f t="shared" si="205"/>
        <v>关</v>
      </c>
      <c r="M821" s="599"/>
      <c r="T821" s="75" t="str">
        <f t="shared" si="206"/>
        <v>3.29.1</v>
      </c>
    </row>
    <row r="822" spans="1:21" ht="45" customHeight="1">
      <c r="A822" s="596"/>
      <c r="B822" s="599"/>
      <c r="C822" s="105" t="s">
        <v>3</v>
      </c>
      <c r="D822" s="106" t="s">
        <v>40</v>
      </c>
      <c r="E822" s="101" t="s">
        <v>41</v>
      </c>
      <c r="F822" s="105" t="s">
        <v>42</v>
      </c>
      <c r="G822" s="105" t="str">
        <f>IFERROR(IF(FIND("开",G821,1),"开","关"),"关")</f>
        <v>关</v>
      </c>
      <c r="H822" s="105" t="str">
        <f t="shared" si="207"/>
        <v>开</v>
      </c>
      <c r="J822" s="101"/>
      <c r="K822" s="105" t="str">
        <f t="shared" si="204"/>
        <v>关</v>
      </c>
      <c r="L822" s="105" t="str">
        <f t="shared" si="205"/>
        <v>关</v>
      </c>
      <c r="M822" s="599"/>
      <c r="T822" s="75" t="str">
        <f t="shared" si="206"/>
        <v>3.29.1</v>
      </c>
    </row>
    <row r="823" spans="1:21" ht="45" customHeight="1">
      <c r="A823" s="597"/>
      <c r="B823" s="600"/>
      <c r="C823" s="105" t="s">
        <v>3</v>
      </c>
      <c r="D823" s="106" t="s">
        <v>45</v>
      </c>
      <c r="E823" s="465" t="s">
        <v>46</v>
      </c>
      <c r="F823" s="105" t="str">
        <f>IFERROR(IF(FIND("开",F822,1),"开","关"),"关")</f>
        <v>关</v>
      </c>
      <c r="G823" s="105" t="str">
        <f>IFERROR(IF(FIND("开",G822,1),"开","关"),"关")</f>
        <v>关</v>
      </c>
      <c r="H823" s="105" t="str">
        <f t="shared" si="207"/>
        <v>开</v>
      </c>
      <c r="J823" s="101"/>
      <c r="K823" s="105" t="str">
        <f t="shared" si="204"/>
        <v>关</v>
      </c>
      <c r="L823" s="105" t="str">
        <f t="shared" si="205"/>
        <v>关</v>
      </c>
      <c r="M823" s="600"/>
      <c r="T823" s="75" t="str">
        <f t="shared" si="206"/>
        <v>3.29.1</v>
      </c>
    </row>
    <row r="824" spans="1:21" ht="45" customHeight="1">
      <c r="A824" s="603" t="s">
        <v>436</v>
      </c>
      <c r="B824" s="658" t="s">
        <v>437</v>
      </c>
      <c r="C824" s="105" t="s">
        <v>3</v>
      </c>
      <c r="D824" s="106" t="s">
        <v>188</v>
      </c>
      <c r="E824" s="101" t="s">
        <v>363</v>
      </c>
      <c r="F824" s="105" t="str">
        <f>IFERROR(IF(FIND("开",F823,1),"开","关"),"关")</f>
        <v>关</v>
      </c>
      <c r="G824" s="105" t="str">
        <f>IFERROR(IF(FIND("开",G823,1),"开","关"),"关")</f>
        <v>关</v>
      </c>
      <c r="H824" s="105" t="str">
        <f t="shared" si="207"/>
        <v>开</v>
      </c>
      <c r="J824" s="101"/>
      <c r="K824" s="105" t="str">
        <f t="shared" si="204"/>
        <v>关</v>
      </c>
      <c r="L824" s="105" t="str">
        <f t="shared" si="205"/>
        <v>关</v>
      </c>
      <c r="M824" s="601">
        <v>4</v>
      </c>
      <c r="N824" s="75" t="str">
        <f>MID(E824,FIND("线路-》",E824,1)+4,FIND("-&gt;",E824,1)-13)</f>
        <v>IPAC</v>
      </c>
      <c r="O824" s="75" t="str">
        <f>MID(E824,FIND("setting",E824,1)+8,FIND("kg",E824,1)-FIND("setting",E824,1)-8)</f>
        <v xml:space="preserve"> 567.45</v>
      </c>
      <c r="Q824" s="75" t="str">
        <f>SUBSTITUTE(T824&amp;N824," ","")</f>
        <v>3.29.4IPAC</v>
      </c>
      <c r="R824" s="74">
        <f>VLOOKUP(Q824,MOR投料表!A:L,9,FALSE)</f>
        <v>567.45000000000005</v>
      </c>
      <c r="T824" s="75" t="str">
        <f t="shared" si="206"/>
        <v>3.29.4</v>
      </c>
      <c r="U824" s="74" t="b">
        <f>TEXT(O824,"0.00")=TEXT(R824,"0.00")</f>
        <v>1</v>
      </c>
    </row>
    <row r="825" spans="1:21" ht="45" customHeight="1">
      <c r="A825" s="603"/>
      <c r="B825" s="602"/>
      <c r="C825" s="105" t="s">
        <v>3</v>
      </c>
      <c r="D825" s="106" t="s">
        <v>191</v>
      </c>
      <c r="E825" s="101" t="s">
        <v>192</v>
      </c>
      <c r="F825" s="105" t="str">
        <f>IFERROR(IF(FIND("开",F824,1),"开","关"),"关")</f>
        <v>关</v>
      </c>
      <c r="G825" s="105" t="str">
        <f>IFERROR(IF(FIND("开",G824,1),"开","关"),"关")</f>
        <v>关</v>
      </c>
      <c r="H825" s="105" t="str">
        <f t="shared" si="207"/>
        <v>开</v>
      </c>
      <c r="J825" s="101"/>
      <c r="K825" s="105" t="str">
        <f t="shared" si="204"/>
        <v>关</v>
      </c>
      <c r="L825" s="105" t="str">
        <f t="shared" si="205"/>
        <v>关</v>
      </c>
      <c r="M825" s="601"/>
      <c r="N825" s="75"/>
      <c r="O825" s="75"/>
      <c r="T825" s="75" t="str">
        <f t="shared" si="206"/>
        <v>3.29.4</v>
      </c>
    </row>
    <row r="826" spans="1:21" ht="45" customHeight="1">
      <c r="A826" s="603"/>
      <c r="B826" s="602"/>
      <c r="C826" s="105" t="s">
        <v>3</v>
      </c>
      <c r="D826" s="106" t="s">
        <v>35</v>
      </c>
      <c r="E826" s="101" t="s">
        <v>63</v>
      </c>
      <c r="F826" s="105" t="s">
        <v>37</v>
      </c>
      <c r="G826" s="105" t="str">
        <f>IFERROR(IF(FIND("开",G825,1),"开","关"),"关")</f>
        <v>关</v>
      </c>
      <c r="H826" s="105" t="str">
        <f t="shared" si="207"/>
        <v>开</v>
      </c>
      <c r="J826" s="101"/>
      <c r="K826" s="105" t="str">
        <f t="shared" si="204"/>
        <v>关</v>
      </c>
      <c r="L826" s="105" t="str">
        <f t="shared" si="205"/>
        <v>关</v>
      </c>
      <c r="M826" s="601"/>
      <c r="N826" s="75"/>
      <c r="O826" s="75"/>
      <c r="T826" s="75" t="str">
        <f t="shared" si="206"/>
        <v>3.29.4</v>
      </c>
      <c r="U826" s="74" t="b">
        <f>TEXT(O826,"0.00")=TEXT(R826,"0.00")</f>
        <v>1</v>
      </c>
    </row>
    <row r="827" spans="1:21" ht="45" customHeight="1">
      <c r="A827" s="603"/>
      <c r="B827" s="602"/>
      <c r="C827" s="105" t="s">
        <v>3</v>
      </c>
      <c r="D827" s="106" t="s">
        <v>38</v>
      </c>
      <c r="E827" s="101" t="s">
        <v>101</v>
      </c>
      <c r="F827" s="105" t="str">
        <f>IFERROR(IF(FIND("开",F826,1),"开","关"),"关")</f>
        <v>开</v>
      </c>
      <c r="G827" s="105" t="s">
        <v>29</v>
      </c>
      <c r="H827" s="105" t="str">
        <f t="shared" si="207"/>
        <v>开</v>
      </c>
      <c r="J827" s="101"/>
      <c r="K827" s="105" t="str">
        <f t="shared" si="204"/>
        <v>关</v>
      </c>
      <c r="L827" s="105" t="str">
        <f t="shared" si="205"/>
        <v>关</v>
      </c>
      <c r="M827" s="601"/>
      <c r="T827" s="75" t="str">
        <f t="shared" si="206"/>
        <v>3.29.4</v>
      </c>
    </row>
    <row r="828" spans="1:21" ht="45" customHeight="1">
      <c r="A828" s="603"/>
      <c r="B828" s="602"/>
      <c r="C828" s="105" t="s">
        <v>3</v>
      </c>
      <c r="D828" s="106" t="s">
        <v>40</v>
      </c>
      <c r="E828" s="101" t="s">
        <v>41</v>
      </c>
      <c r="F828" s="105" t="s">
        <v>42</v>
      </c>
      <c r="G828" s="105" t="str">
        <f>IFERROR(IF(FIND("开",G827,1),"开","关"),"关")</f>
        <v>关</v>
      </c>
      <c r="H828" s="105" t="str">
        <f t="shared" si="207"/>
        <v>开</v>
      </c>
      <c r="J828" s="101"/>
      <c r="K828" s="105" t="str">
        <f t="shared" si="204"/>
        <v>关</v>
      </c>
      <c r="L828" s="105" t="str">
        <f t="shared" si="205"/>
        <v>关</v>
      </c>
      <c r="M828" s="601"/>
      <c r="T828" s="75" t="str">
        <f t="shared" si="206"/>
        <v>3.29.4</v>
      </c>
    </row>
    <row r="829" spans="1:21" ht="45" customHeight="1">
      <c r="A829" s="603"/>
      <c r="B829" s="602"/>
      <c r="C829" s="105" t="s">
        <v>3</v>
      </c>
      <c r="D829" s="106" t="s">
        <v>193</v>
      </c>
      <c r="E829" s="466" t="s">
        <v>194</v>
      </c>
      <c r="F829" s="105" t="str">
        <f>IFERROR(IF(FIND("开",F828,1),"开","关"),"关")</f>
        <v>关</v>
      </c>
      <c r="G829" s="105" t="str">
        <f>IFERROR(IF(FIND("开",G828,1),"开","关"),"关")</f>
        <v>关</v>
      </c>
      <c r="H829" s="105" t="str">
        <f t="shared" si="207"/>
        <v>开</v>
      </c>
      <c r="J829" s="101"/>
      <c r="K829" s="105" t="str">
        <f t="shared" si="204"/>
        <v>关</v>
      </c>
      <c r="L829" s="105" t="str">
        <f t="shared" si="205"/>
        <v>关</v>
      </c>
      <c r="M829" s="601"/>
      <c r="T829" s="75" t="str">
        <f t="shared" si="206"/>
        <v>3.29.4</v>
      </c>
    </row>
    <row r="830" spans="1:21" ht="45" customHeight="1">
      <c r="A830" s="595" t="s">
        <v>439</v>
      </c>
      <c r="B830" s="659" t="s">
        <v>366</v>
      </c>
      <c r="C830" s="105" t="s">
        <v>3</v>
      </c>
      <c r="D830" s="106" t="s">
        <v>58</v>
      </c>
      <c r="E830" s="101" t="s">
        <v>367</v>
      </c>
      <c r="F830" s="105" t="str">
        <f>IFERROR(IF(FIND("开",F829,1),"开","关"),"关")</f>
        <v>关</v>
      </c>
      <c r="G830" s="105" t="str">
        <f>IFERROR(IF(FIND("开",G829,1),"开","关"),"关")</f>
        <v>关</v>
      </c>
      <c r="H830" s="105" t="str">
        <f t="shared" si="207"/>
        <v>开</v>
      </c>
      <c r="J830" s="101"/>
      <c r="K830" s="105" t="str">
        <f t="shared" si="204"/>
        <v>关</v>
      </c>
      <c r="L830" s="105" t="str">
        <f t="shared" si="205"/>
        <v>关</v>
      </c>
      <c r="M830" s="601">
        <v>1</v>
      </c>
      <c r="N830" s="75" t="s">
        <v>24</v>
      </c>
      <c r="O830" s="75" t="str">
        <f>MID(E830,FIND("setting",E830,1)+8,FIND("kg",E830,1)-FIND("setting",E830,1)-8)</f>
        <v xml:space="preserve"> 616.20</v>
      </c>
      <c r="Q830" s="75" t="str">
        <f>SUBSTITUTE(T830&amp;N830," ","")</f>
        <v>3.29.5DMF</v>
      </c>
      <c r="R830" s="74">
        <f>VLOOKUP(Q830,MOR投料表!A:L,9,FALSE)</f>
        <v>616.20000000000005</v>
      </c>
      <c r="T830" s="75" t="str">
        <f t="shared" si="206"/>
        <v>3.29.5</v>
      </c>
      <c r="U830" s="74" t="b">
        <f>TEXT(O830,"0.00")=TEXT(R830,"0.00")</f>
        <v>1</v>
      </c>
    </row>
    <row r="831" spans="1:21" ht="45" customHeight="1">
      <c r="A831" s="605"/>
      <c r="B831" s="602"/>
      <c r="C831" s="105" t="s">
        <v>3</v>
      </c>
      <c r="D831" s="106" t="s">
        <v>61</v>
      </c>
      <c r="E831" s="101" t="s">
        <v>62</v>
      </c>
      <c r="F831" s="105" t="str">
        <f>IFERROR(IF(FIND("开",F830,1),"开","关"),"关")</f>
        <v>关</v>
      </c>
      <c r="G831" s="105" t="str">
        <f>IFERROR(IF(FIND("开",G830,1),"开","关"),"关")</f>
        <v>关</v>
      </c>
      <c r="H831" s="105" t="str">
        <f t="shared" si="207"/>
        <v>开</v>
      </c>
      <c r="J831" s="101"/>
      <c r="K831" s="105" t="str">
        <f t="shared" si="204"/>
        <v>关</v>
      </c>
      <c r="L831" s="105" t="str">
        <f t="shared" si="205"/>
        <v>关</v>
      </c>
      <c r="M831" s="601"/>
      <c r="T831" s="75" t="str">
        <f t="shared" si="206"/>
        <v>3.29.5</v>
      </c>
    </row>
    <row r="832" spans="1:21" ht="45" customHeight="1">
      <c r="A832" s="605"/>
      <c r="B832" s="602"/>
      <c r="C832" s="105" t="s">
        <v>3</v>
      </c>
      <c r="D832" s="106" t="s">
        <v>35</v>
      </c>
      <c r="E832" s="101" t="s">
        <v>63</v>
      </c>
      <c r="F832" s="105" t="s">
        <v>37</v>
      </c>
      <c r="G832" s="105" t="str">
        <f>IFERROR(IF(FIND("开",G831,1),"开","关"),"关")</f>
        <v>关</v>
      </c>
      <c r="H832" s="105" t="str">
        <f t="shared" si="207"/>
        <v>开</v>
      </c>
      <c r="J832" s="101"/>
      <c r="K832" s="105" t="str">
        <f t="shared" si="204"/>
        <v>关</v>
      </c>
      <c r="L832" s="105" t="str">
        <f t="shared" si="205"/>
        <v>关</v>
      </c>
      <c r="M832" s="601"/>
      <c r="T832" s="75" t="str">
        <f t="shared" si="206"/>
        <v>3.29.5</v>
      </c>
    </row>
    <row r="833" spans="1:21" ht="45" customHeight="1">
      <c r="A833" s="605"/>
      <c r="B833" s="602"/>
      <c r="C833" s="105" t="s">
        <v>3</v>
      </c>
      <c r="D833" s="106" t="s">
        <v>38</v>
      </c>
      <c r="E833" s="101" t="s">
        <v>167</v>
      </c>
      <c r="F833" s="105" t="str">
        <f>IFERROR(IF(FIND("开",F832,1),"开","关"),"关")</f>
        <v>开</v>
      </c>
      <c r="G833" s="105" t="s">
        <v>29</v>
      </c>
      <c r="H833" s="105" t="str">
        <f t="shared" si="207"/>
        <v>开</v>
      </c>
      <c r="J833" s="101"/>
      <c r="K833" s="105" t="str">
        <f t="shared" si="204"/>
        <v>关</v>
      </c>
      <c r="L833" s="105" t="str">
        <f t="shared" si="205"/>
        <v>关</v>
      </c>
      <c r="M833" s="601"/>
      <c r="T833" s="75" t="str">
        <f t="shared" si="206"/>
        <v>3.29.5</v>
      </c>
    </row>
    <row r="834" spans="1:21" ht="45" customHeight="1">
      <c r="A834" s="605"/>
      <c r="B834" s="602"/>
      <c r="C834" s="105" t="s">
        <v>3</v>
      </c>
      <c r="D834" s="106" t="s">
        <v>40</v>
      </c>
      <c r="E834" s="101" t="s">
        <v>41</v>
      </c>
      <c r="F834" s="105" t="s">
        <v>42</v>
      </c>
      <c r="G834" s="105" t="str">
        <f>IFERROR(IF(FIND("开",G833,1),"开","关"),"关")</f>
        <v>关</v>
      </c>
      <c r="H834" s="105" t="str">
        <f t="shared" si="207"/>
        <v>开</v>
      </c>
      <c r="J834" s="101"/>
      <c r="K834" s="105" t="str">
        <f t="shared" si="204"/>
        <v>关</v>
      </c>
      <c r="L834" s="105" t="str">
        <f t="shared" si="205"/>
        <v>关</v>
      </c>
      <c r="M834" s="601"/>
      <c r="T834" s="75" t="str">
        <f t="shared" si="206"/>
        <v>3.29.5</v>
      </c>
    </row>
    <row r="835" spans="1:21" ht="45" customHeight="1">
      <c r="A835" s="606"/>
      <c r="B835" s="602"/>
      <c r="C835" s="105" t="s">
        <v>3</v>
      </c>
      <c r="D835" s="106" t="s">
        <v>198</v>
      </c>
      <c r="E835" s="467" t="s">
        <v>194</v>
      </c>
      <c r="F835" s="105" t="str">
        <f>IFERROR(IF(FIND("开",F834,1),"开","关"),"关")</f>
        <v>关</v>
      </c>
      <c r="G835" s="105" t="str">
        <f>IFERROR(IF(FIND("开",G834,1),"开","关"),"关")</f>
        <v>关</v>
      </c>
      <c r="H835" s="105" t="str">
        <f t="shared" si="207"/>
        <v>开</v>
      </c>
      <c r="J835" s="101"/>
      <c r="K835" s="105" t="str">
        <f t="shared" si="204"/>
        <v>关</v>
      </c>
      <c r="L835" s="105" t="str">
        <f t="shared" si="205"/>
        <v>关</v>
      </c>
      <c r="M835" s="601"/>
      <c r="T835" s="75" t="str">
        <f t="shared" si="206"/>
        <v>3.29.5</v>
      </c>
    </row>
    <row r="836" spans="1:21" ht="45" customHeight="1">
      <c r="A836" s="595" t="s">
        <v>441</v>
      </c>
      <c r="B836" s="660" t="s">
        <v>366</v>
      </c>
      <c r="C836" s="105" t="s">
        <v>3</v>
      </c>
      <c r="D836" s="106" t="s">
        <v>58</v>
      </c>
      <c r="E836" s="101" t="s">
        <v>367</v>
      </c>
      <c r="F836" s="105" t="str">
        <f>IFERROR(IF(FIND("开",F835,1),"开","关"),"关")</f>
        <v>关</v>
      </c>
      <c r="G836" s="105" t="str">
        <f>IFERROR(IF(FIND("开",G835,1),"开","关"),"关")</f>
        <v>关</v>
      </c>
      <c r="H836" s="105" t="str">
        <f t="shared" si="207"/>
        <v>开</v>
      </c>
      <c r="J836" s="101"/>
      <c r="K836" s="105" t="str">
        <f t="shared" si="204"/>
        <v>关</v>
      </c>
      <c r="L836" s="105" t="str">
        <f t="shared" si="205"/>
        <v>关</v>
      </c>
      <c r="M836" s="601">
        <v>1</v>
      </c>
      <c r="N836" s="75" t="s">
        <v>24</v>
      </c>
      <c r="O836" s="75" t="str">
        <f>MID(E836,FIND("setting",E836,1)+8,FIND("kg",E836,1)-FIND("setting",E836,1)-8)</f>
        <v xml:space="preserve"> 616.20</v>
      </c>
      <c r="Q836" s="75" t="str">
        <f>SUBSTITUTE(T836&amp;N836," ","")</f>
        <v>3.29.7DMF</v>
      </c>
      <c r="R836" s="74">
        <f>VLOOKUP(Q836,MOR投料表!A:L,9,FALSE)</f>
        <v>616.20000000000005</v>
      </c>
      <c r="T836" s="75" t="str">
        <f t="shared" si="206"/>
        <v>3.29.7</v>
      </c>
      <c r="U836" s="74" t="b">
        <f>TEXT(O836,"0.00")=TEXT(R836,"0.00")</f>
        <v>1</v>
      </c>
    </row>
    <row r="837" spans="1:21" ht="45" customHeight="1">
      <c r="A837" s="605"/>
      <c r="B837" s="602"/>
      <c r="C837" s="105" t="s">
        <v>3</v>
      </c>
      <c r="D837" s="106" t="s">
        <v>61</v>
      </c>
      <c r="E837" s="101" t="s">
        <v>62</v>
      </c>
      <c r="F837" s="105" t="str">
        <f>IFERROR(IF(FIND("开",F836,1),"开","关"),"关")</f>
        <v>关</v>
      </c>
      <c r="G837" s="105" t="str">
        <f>IFERROR(IF(FIND("开",G836,1),"开","关"),"关")</f>
        <v>关</v>
      </c>
      <c r="H837" s="105" t="str">
        <f t="shared" si="207"/>
        <v>开</v>
      </c>
      <c r="J837" s="101"/>
      <c r="K837" s="105" t="str">
        <f t="shared" si="204"/>
        <v>关</v>
      </c>
      <c r="L837" s="105" t="str">
        <f t="shared" si="205"/>
        <v>关</v>
      </c>
      <c r="M837" s="601"/>
      <c r="T837" s="75" t="str">
        <f t="shared" si="206"/>
        <v>3.29.7</v>
      </c>
    </row>
    <row r="838" spans="1:21" ht="45" customHeight="1">
      <c r="A838" s="605"/>
      <c r="B838" s="602"/>
      <c r="C838" s="105" t="s">
        <v>3</v>
      </c>
      <c r="D838" s="106" t="s">
        <v>35</v>
      </c>
      <c r="E838" s="101" t="s">
        <v>63</v>
      </c>
      <c r="F838" s="105" t="s">
        <v>37</v>
      </c>
      <c r="G838" s="105" t="str">
        <f>IFERROR(IF(FIND("开",G837,1),"开","关"),"关")</f>
        <v>关</v>
      </c>
      <c r="H838" s="105" t="str">
        <f t="shared" si="207"/>
        <v>开</v>
      </c>
      <c r="J838" s="101"/>
      <c r="K838" s="105" t="str">
        <f t="shared" si="204"/>
        <v>关</v>
      </c>
      <c r="L838" s="105" t="str">
        <f t="shared" si="205"/>
        <v>关</v>
      </c>
      <c r="M838" s="601"/>
      <c r="T838" s="75" t="str">
        <f t="shared" si="206"/>
        <v>3.29.7</v>
      </c>
    </row>
    <row r="839" spans="1:21" ht="45" customHeight="1">
      <c r="A839" s="605"/>
      <c r="B839" s="602"/>
      <c r="C839" s="105" t="s">
        <v>3</v>
      </c>
      <c r="D839" s="106" t="s">
        <v>38</v>
      </c>
      <c r="E839" s="101" t="s">
        <v>167</v>
      </c>
      <c r="F839" s="105" t="str">
        <f>IFERROR(IF(FIND("开",F838,1),"开","关"),"关")</f>
        <v>开</v>
      </c>
      <c r="G839" s="105" t="s">
        <v>29</v>
      </c>
      <c r="H839" s="105" t="str">
        <f t="shared" si="207"/>
        <v>开</v>
      </c>
      <c r="J839" s="101"/>
      <c r="K839" s="105" t="str">
        <f t="shared" si="204"/>
        <v>关</v>
      </c>
      <c r="L839" s="105" t="str">
        <f t="shared" si="205"/>
        <v>关</v>
      </c>
      <c r="M839" s="601"/>
      <c r="T839" s="75" t="str">
        <f t="shared" si="206"/>
        <v>3.29.7</v>
      </c>
    </row>
    <row r="840" spans="1:21" ht="45" customHeight="1">
      <c r="A840" s="605"/>
      <c r="B840" s="602"/>
      <c r="C840" s="105" t="s">
        <v>3</v>
      </c>
      <c r="D840" s="106" t="s">
        <v>40</v>
      </c>
      <c r="E840" s="101" t="s">
        <v>41</v>
      </c>
      <c r="F840" s="105" t="s">
        <v>42</v>
      </c>
      <c r="G840" s="105" t="str">
        <f>IFERROR(IF(FIND("开",G839,1),"开","关"),"关")</f>
        <v>关</v>
      </c>
      <c r="H840" s="105" t="str">
        <f t="shared" si="207"/>
        <v>开</v>
      </c>
      <c r="J840" s="101"/>
      <c r="K840" s="105" t="str">
        <f t="shared" si="204"/>
        <v>关</v>
      </c>
      <c r="L840" s="105" t="str">
        <f t="shared" si="205"/>
        <v>关</v>
      </c>
      <c r="M840" s="601"/>
      <c r="T840" s="75" t="str">
        <f t="shared" si="206"/>
        <v>3.29.7</v>
      </c>
    </row>
    <row r="841" spans="1:21" ht="45" customHeight="1">
      <c r="A841" s="606"/>
      <c r="B841" s="602"/>
      <c r="C841" s="105" t="s">
        <v>3</v>
      </c>
      <c r="D841" s="106" t="s">
        <v>45</v>
      </c>
      <c r="E841" s="468" t="s">
        <v>46</v>
      </c>
      <c r="F841" s="105" t="str">
        <f>IFERROR(IF(FIND("开",F840,1),"开","关"),"关")</f>
        <v>关</v>
      </c>
      <c r="G841" s="105" t="str">
        <f>IFERROR(IF(FIND("开",G840,1),"开","关"),"关")</f>
        <v>关</v>
      </c>
      <c r="H841" s="105" t="str">
        <f t="shared" si="207"/>
        <v>开</v>
      </c>
      <c r="J841" s="101"/>
      <c r="K841" s="105" t="str">
        <f t="shared" si="204"/>
        <v>关</v>
      </c>
      <c r="L841" s="105" t="str">
        <f t="shared" si="205"/>
        <v>关</v>
      </c>
      <c r="M841" s="601"/>
      <c r="T841" s="75" t="str">
        <f t="shared" si="206"/>
        <v>3.29.7</v>
      </c>
    </row>
    <row r="842" spans="1:21" ht="45" customHeight="1">
      <c r="A842" s="595" t="s">
        <v>443</v>
      </c>
      <c r="B842" s="683" t="s">
        <v>444</v>
      </c>
      <c r="C842" s="105" t="s">
        <v>8</v>
      </c>
      <c r="D842" s="106"/>
      <c r="E842" s="78"/>
      <c r="F842" s="105" t="str">
        <f>IFERROR(IF(FIND("开",F841,1),"开","关"),"关")</f>
        <v>关</v>
      </c>
      <c r="G842" s="105" t="str">
        <f>IFERROR(IF(FIND("开",G841,1),"开","关"),"关")</f>
        <v>关</v>
      </c>
      <c r="H842" s="105" t="str">
        <f t="shared" si="207"/>
        <v>开</v>
      </c>
      <c r="I842" s="106" t="s">
        <v>203</v>
      </c>
      <c r="J842" s="469" t="s">
        <v>204</v>
      </c>
      <c r="K842" s="105" t="str">
        <f>IFERROR(IF(FIND("开",K841,1),"开","关"),"关")</f>
        <v>关</v>
      </c>
      <c r="L842" s="105" t="s">
        <v>37</v>
      </c>
      <c r="M842" s="598">
        <v>1</v>
      </c>
      <c r="T842" s="75" t="str">
        <f t="shared" si="206"/>
        <v>3.30.1</v>
      </c>
    </row>
    <row r="843" spans="1:21" ht="45" customHeight="1">
      <c r="A843" s="634"/>
      <c r="B843" s="634"/>
      <c r="C843" s="105" t="s">
        <v>8</v>
      </c>
      <c r="E843" s="77"/>
      <c r="F843" s="105" t="str">
        <f>IFERROR(IF(FIND("开",#REF!,1),"开","关"),"关")</f>
        <v>关</v>
      </c>
      <c r="G843" s="105" t="str">
        <f>IFERROR(IF(FIND("开",#REF!,1),"开","关"),"关")</f>
        <v>关</v>
      </c>
      <c r="H843" s="105" t="str">
        <f>IFERROR(IF(FIND("开",#REF!,1),"开","关"),"关")</f>
        <v>关</v>
      </c>
      <c r="I843" s="106" t="s">
        <v>77</v>
      </c>
      <c r="J843" s="470" t="s">
        <v>23</v>
      </c>
      <c r="K843" s="105" t="str">
        <f>IFERROR(IF(FIND("开",#REF!,1),"开","关"),"关")</f>
        <v>关</v>
      </c>
      <c r="L843" s="105" t="str">
        <f>IFERROR(IF(FIND("开",#REF!,1),"开","关"),"关")</f>
        <v>关</v>
      </c>
      <c r="M843" s="634"/>
      <c r="N843" s="75" t="s">
        <v>24</v>
      </c>
      <c r="O843" s="75" t="str">
        <f>MID(J843,FIND("setting",J843,1)+8,FIND("kg",J843,1)-FIND("setting",J843,1)-8)</f>
        <v xml:space="preserve"> 369.85</v>
      </c>
      <c r="Q843" s="75" t="str">
        <f>SUBSTITUTE(T843&amp;N843," ","")</f>
        <v>3.30.1DMF</v>
      </c>
      <c r="R843" s="74">
        <f>VLOOKUP(Q843,MOR投料表!A:L,9,FALSE)</f>
        <v>369.85</v>
      </c>
      <c r="T843" s="75" t="str">
        <f t="shared" si="206"/>
        <v>3.30.1</v>
      </c>
      <c r="U843" s="74" t="b">
        <f>TEXT(O843,"0.00")=TEXT(R843,"0.00")</f>
        <v>1</v>
      </c>
    </row>
    <row r="844" spans="1:21" ht="45" customHeight="1">
      <c r="A844" s="634"/>
      <c r="B844" s="634"/>
      <c r="C844" s="105" t="s">
        <v>8</v>
      </c>
      <c r="E844" s="77"/>
      <c r="F844" s="105" t="str">
        <f t="shared" ref="F844:H846" si="208">IFERROR(IF(FIND("开",F843,1),"开","关"),"关")</f>
        <v>关</v>
      </c>
      <c r="G844" s="105" t="str">
        <f t="shared" si="208"/>
        <v>关</v>
      </c>
      <c r="H844" s="105" t="str">
        <f t="shared" si="208"/>
        <v>关</v>
      </c>
      <c r="I844" s="106" t="s">
        <v>61</v>
      </c>
      <c r="J844" s="101" t="s">
        <v>26</v>
      </c>
      <c r="K844" s="105" t="str">
        <f>IFERROR(IF(FIND("开",K843,1),"开","关"),"关")</f>
        <v>关</v>
      </c>
      <c r="L844" s="105" t="str">
        <f>IFERROR(IF(FIND("开",L843,1),"开","关"),"关")</f>
        <v>关</v>
      </c>
      <c r="M844" s="634"/>
      <c r="T844" s="75" t="str">
        <f t="shared" si="206"/>
        <v>3.30.1</v>
      </c>
    </row>
    <row r="845" spans="1:21" ht="45" customHeight="1">
      <c r="A845" s="634"/>
      <c r="B845" s="634"/>
      <c r="C845" s="105" t="s">
        <v>8</v>
      </c>
      <c r="E845" s="77"/>
      <c r="F845" s="105" t="str">
        <f t="shared" si="208"/>
        <v>关</v>
      </c>
      <c r="G845" s="105" t="str">
        <f t="shared" si="208"/>
        <v>关</v>
      </c>
      <c r="H845" s="105" t="str">
        <f t="shared" si="208"/>
        <v>关</v>
      </c>
      <c r="I845" s="106" t="s">
        <v>78</v>
      </c>
      <c r="J845" s="101" t="s">
        <v>79</v>
      </c>
      <c r="K845" s="105" t="s">
        <v>37</v>
      </c>
      <c r="L845" s="105" t="str">
        <f>IFERROR(IF(FIND("开",L844,1),"开","关"),"关")</f>
        <v>关</v>
      </c>
      <c r="M845" s="634"/>
      <c r="T845" s="75" t="str">
        <f t="shared" si="206"/>
        <v>3.30.1</v>
      </c>
    </row>
    <row r="846" spans="1:21" ht="56.25" customHeight="1">
      <c r="A846" s="634"/>
      <c r="B846" s="634"/>
      <c r="C846" s="105" t="s">
        <v>8</v>
      </c>
      <c r="E846" s="77"/>
      <c r="F846" s="105" t="str">
        <f t="shared" si="208"/>
        <v>关</v>
      </c>
      <c r="G846" s="105" t="str">
        <f t="shared" si="208"/>
        <v>关</v>
      </c>
      <c r="H846" s="105" t="str">
        <f t="shared" si="208"/>
        <v>关</v>
      </c>
      <c r="I846" s="106" t="s">
        <v>446</v>
      </c>
      <c r="J846" s="101" t="s">
        <v>447</v>
      </c>
      <c r="K846" s="105" t="str">
        <f>IFERROR(IF(FIND("开",K845,1),"开","关"),"关")</f>
        <v>开</v>
      </c>
      <c r="L846" s="105" t="str">
        <f>IFERROR(IF(FIND("开",L845,1),"开","关"),"关")</f>
        <v>关</v>
      </c>
      <c r="M846" s="634"/>
      <c r="N846" s="75" t="str">
        <f>MID(J846,FIND("物料",J846,1)+3,FIND("投料重量",J846,1)-FIND("物料",J846,1)-4)</f>
        <v>Boc-L-Glu-OtBu</v>
      </c>
      <c r="O846" s="75" t="e">
        <f>MID(J846,FIND("投料重量",J846,1)+5,FIND("kg",J846,1)-FIND("投料重量",J846,1)-5)</f>
        <v>#VALUE!</v>
      </c>
      <c r="P846" s="75" t="str">
        <f>SUBSTITUTE(RIGHT(J846,LEN(J846)-FIND("重量误差",J846,1)-4),"kg","")</f>
        <v>______</v>
      </c>
      <c r="Q846" s="75" t="str">
        <f>SUBSTITUTE(T846&amp;N846," ","")</f>
        <v>3.29.7Boc-L-Glu-OtBu</v>
      </c>
      <c r="R846" s="74" t="e">
        <f>VLOOKUP(Q846,氨基酸和溶剂信息!A:P,8,FALSE)</f>
        <v>#N/A</v>
      </c>
      <c r="T846" s="75" t="str">
        <f>IF(ISBLANK(A846),T841,LEFT(A846,FIND(" ",A846,1)-1))</f>
        <v>3.29.7</v>
      </c>
      <c r="U846" s="74" t="e">
        <f>TEXT(O846,"0.00")=TEXT(R846,"0.00")</f>
        <v>#VALUE!</v>
      </c>
    </row>
    <row r="847" spans="1:21" ht="45" customHeight="1">
      <c r="A847" s="634"/>
      <c r="B847" s="634"/>
      <c r="C847" s="105" t="s">
        <v>8</v>
      </c>
      <c r="E847" s="77"/>
      <c r="I847" s="106" t="s">
        <v>93</v>
      </c>
      <c r="J847" s="471" t="s">
        <v>209</v>
      </c>
      <c r="M847" s="634"/>
      <c r="T847" s="75"/>
    </row>
    <row r="848" spans="1:21" ht="45" customHeight="1">
      <c r="A848" s="634"/>
      <c r="B848" s="634"/>
      <c r="C848" s="105" t="s">
        <v>8</v>
      </c>
      <c r="E848" s="77"/>
      <c r="F848" s="105" t="str">
        <f>IFERROR(IF(FIND("开",F846,1),"开","关"),"关")</f>
        <v>关</v>
      </c>
      <c r="G848" s="105" t="str">
        <f>IFERROR(IF(FIND("开",G846,1),"开","关"),"关")</f>
        <v>关</v>
      </c>
      <c r="H848" s="105" t="str">
        <f>IFERROR(IF(FIND("开",H846,1),"开","关"),"关")</f>
        <v>关</v>
      </c>
      <c r="I848" s="106" t="s">
        <v>95</v>
      </c>
      <c r="J848" s="472" t="s">
        <v>210</v>
      </c>
      <c r="K848" s="105" t="str">
        <f>IFERROR(IF(FIND("开",K846,1),"开","关"),"关")</f>
        <v>开</v>
      </c>
      <c r="L848" s="105" t="str">
        <f>IFERROR(IF(FIND("开",L846,1),"开","关"),"关")</f>
        <v>关</v>
      </c>
      <c r="M848" s="634"/>
      <c r="T848" s="75" t="str">
        <f>IF(ISBLANK(A848),T846,LEFT(A848,FIND(" ",A848,1)-1))</f>
        <v>3.29.7</v>
      </c>
    </row>
    <row r="849" spans="1:21" ht="45" customHeight="1">
      <c r="A849" s="634"/>
      <c r="B849" s="634"/>
      <c r="C849" s="105" t="s">
        <v>8</v>
      </c>
      <c r="E849" s="77"/>
      <c r="F849" s="105" t="str">
        <f t="shared" ref="F849:F857" si="209">IFERROR(IF(FIND("开",F848,1),"开","关"),"关")</f>
        <v>关</v>
      </c>
      <c r="G849" s="105" t="str">
        <f t="shared" ref="G849:G857" si="210">IFERROR(IF(FIND("开",G848,1),"开","关"),"关")</f>
        <v>关</v>
      </c>
      <c r="H849" s="105" t="str">
        <f t="shared" ref="H849:H857" si="211">IFERROR(IF(FIND("开",H848,1),"开","关"),"关")</f>
        <v>关</v>
      </c>
      <c r="I849" s="84" t="s">
        <v>254</v>
      </c>
      <c r="J849" s="473" t="s">
        <v>211</v>
      </c>
      <c r="K849" s="105" t="str">
        <f t="shared" ref="K849:K858" si="212">IFERROR(IF(FIND("开",K848,1),"开","关"),"关")</f>
        <v>开</v>
      </c>
      <c r="L849" s="105" t="s">
        <v>42</v>
      </c>
      <c r="M849" s="634"/>
      <c r="T849" s="75" t="str">
        <f t="shared" ref="T849:T855" si="213">IF(ISBLANK(A849),T848,LEFT(A849,FIND(" ",A849,1)-1))</f>
        <v>3.29.7</v>
      </c>
    </row>
    <row r="850" spans="1:21" ht="45" customHeight="1">
      <c r="A850" s="634"/>
      <c r="B850" s="634"/>
      <c r="C850" s="105" t="s">
        <v>8</v>
      </c>
      <c r="E850" s="77"/>
      <c r="F850" s="105" t="str">
        <f t="shared" si="209"/>
        <v>关</v>
      </c>
      <c r="G850" s="105" t="str">
        <f t="shared" si="210"/>
        <v>关</v>
      </c>
      <c r="H850" s="105" t="str">
        <f t="shared" si="211"/>
        <v>关</v>
      </c>
      <c r="I850" s="84" t="s">
        <v>89</v>
      </c>
      <c r="J850" s="101" t="s">
        <v>212</v>
      </c>
      <c r="K850" s="105" t="str">
        <f t="shared" si="212"/>
        <v>开</v>
      </c>
      <c r="L850" s="105" t="s">
        <v>37</v>
      </c>
      <c r="M850" s="634"/>
      <c r="T850" s="75" t="str">
        <f t="shared" si="213"/>
        <v>3.29.7</v>
      </c>
    </row>
    <row r="851" spans="1:21" ht="45" customHeight="1">
      <c r="A851" s="634"/>
      <c r="B851" s="634"/>
      <c r="C851" s="105" t="s">
        <v>8</v>
      </c>
      <c r="E851" s="77"/>
      <c r="F851" s="105" t="str">
        <f t="shared" si="209"/>
        <v>关</v>
      </c>
      <c r="G851" s="105" t="str">
        <f t="shared" si="210"/>
        <v>关</v>
      </c>
      <c r="H851" s="105" t="str">
        <f t="shared" si="211"/>
        <v>关</v>
      </c>
      <c r="I851" s="106" t="s">
        <v>91</v>
      </c>
      <c r="J851" s="474" t="s">
        <v>213</v>
      </c>
      <c r="K851" s="105" t="str">
        <f t="shared" si="212"/>
        <v>开</v>
      </c>
      <c r="L851" s="105" t="str">
        <f t="shared" ref="L851:L858" si="214">IFERROR(IF(FIND("开",L850,1),"开","关"),"关")</f>
        <v>开</v>
      </c>
      <c r="M851" s="634"/>
      <c r="N851" s="75"/>
      <c r="O851" s="75"/>
      <c r="P851" s="75"/>
      <c r="Q851" s="75"/>
      <c r="T851" s="75" t="str">
        <f t="shared" si="213"/>
        <v>3.29.7</v>
      </c>
    </row>
    <row r="852" spans="1:21" ht="45" customHeight="1">
      <c r="A852" s="634"/>
      <c r="B852" s="634"/>
      <c r="C852" s="105" t="s">
        <v>8</v>
      </c>
      <c r="E852" s="77"/>
      <c r="F852" s="105" t="str">
        <f t="shared" si="209"/>
        <v>关</v>
      </c>
      <c r="G852" s="105" t="str">
        <f t="shared" si="210"/>
        <v>关</v>
      </c>
      <c r="H852" s="105" t="str">
        <f t="shared" si="211"/>
        <v>关</v>
      </c>
      <c r="I852" s="106" t="s">
        <v>448</v>
      </c>
      <c r="J852" s="101" t="s">
        <v>215</v>
      </c>
      <c r="K852" s="105" t="str">
        <f t="shared" si="212"/>
        <v>开</v>
      </c>
      <c r="L852" s="105" t="str">
        <f t="shared" si="214"/>
        <v>开</v>
      </c>
      <c r="M852" s="634"/>
      <c r="N852" s="75" t="str">
        <f>MID(J852,FIND("物料",J852,1)+3,FIND("投料重量",J852,1)-FIND("物料",J852,1)-4)</f>
        <v>PyBOP</v>
      </c>
      <c r="O852" s="75" t="e">
        <f>MID(J852,FIND("投料重量",J852,1)+5,FIND("kg",J852,1)-FIND("投料重量",J852,1)-5)</f>
        <v>#VALUE!</v>
      </c>
      <c r="P852" s="75" t="str">
        <f>SUBSTITUTE(RIGHT(J852,LEN(J852)-FIND("重量误差",J852,1)-4),"kg","")</f>
        <v>______</v>
      </c>
      <c r="Q852" s="75" t="str">
        <f>SUBSTITUTE(T852&amp;N852," ","")</f>
        <v>3.29.7PyBOP</v>
      </c>
      <c r="R852" s="74" t="e">
        <f>VLOOKUP(Q852,氨基酸和溶剂信息!A:P,8,FALSE)</f>
        <v>#N/A</v>
      </c>
      <c r="T852" s="75" t="str">
        <f t="shared" si="213"/>
        <v>3.29.7</v>
      </c>
      <c r="U852" s="74" t="e">
        <f>TEXT(O852,"0.00")=TEXT(R852,"0.00")</f>
        <v>#VALUE!</v>
      </c>
    </row>
    <row r="853" spans="1:21" ht="45" customHeight="1">
      <c r="A853" s="634"/>
      <c r="B853" s="634"/>
      <c r="C853" s="105" t="s">
        <v>8</v>
      </c>
      <c r="D853" s="74"/>
      <c r="E853" s="102"/>
      <c r="F853" s="105" t="str">
        <f t="shared" si="209"/>
        <v>关</v>
      </c>
      <c r="G853" s="105" t="str">
        <f t="shared" si="210"/>
        <v>关</v>
      </c>
      <c r="H853" s="105" t="str">
        <f t="shared" si="211"/>
        <v>关</v>
      </c>
      <c r="I853" s="106" t="s">
        <v>216</v>
      </c>
      <c r="J853" s="123" t="s">
        <v>752</v>
      </c>
      <c r="K853" s="105" t="str">
        <f t="shared" si="212"/>
        <v>开</v>
      </c>
      <c r="L853" s="105" t="str">
        <f t="shared" si="214"/>
        <v>开</v>
      </c>
      <c r="M853" s="634"/>
      <c r="N853" s="75"/>
      <c r="O853" s="75"/>
      <c r="P853" s="75"/>
      <c r="Q853" s="75"/>
      <c r="T853" s="75" t="str">
        <f t="shared" si="213"/>
        <v>3.29.7</v>
      </c>
    </row>
    <row r="854" spans="1:21" ht="45" customHeight="1">
      <c r="A854" s="634"/>
      <c r="B854" s="634"/>
      <c r="C854" s="105" t="s">
        <v>8</v>
      </c>
      <c r="D854" s="74"/>
      <c r="E854" s="102"/>
      <c r="F854" s="105" t="str">
        <f t="shared" si="209"/>
        <v>关</v>
      </c>
      <c r="G854" s="105" t="str">
        <f t="shared" si="210"/>
        <v>关</v>
      </c>
      <c r="H854" s="105" t="str">
        <f t="shared" si="211"/>
        <v>关</v>
      </c>
      <c r="I854" s="106" t="s">
        <v>217</v>
      </c>
      <c r="J854" s="101" t="s">
        <v>218</v>
      </c>
      <c r="K854" s="105" t="str">
        <f t="shared" si="212"/>
        <v>开</v>
      </c>
      <c r="L854" s="105" t="str">
        <f t="shared" si="214"/>
        <v>开</v>
      </c>
      <c r="M854" s="634"/>
      <c r="N854" s="75" t="str">
        <f>MID(J854,FIND("物料",J854,1)+3,FIND("投料重量",J854,1)-FIND("物料",J854,1)-4)</f>
        <v>OxymaPure</v>
      </c>
      <c r="O854" s="75" t="e">
        <f>MID(J854,FIND("投料重量",J854,1)+5,FIND("kg",J854,1)-FIND("投料重量",J854,1)-5)</f>
        <v>#VALUE!</v>
      </c>
      <c r="P854" s="75" t="str">
        <f>SUBSTITUTE(RIGHT(J854,LEN(J854)-FIND("重量误差",J854,1)-4),"kg","")</f>
        <v>______</v>
      </c>
      <c r="Q854" s="75" t="str">
        <f>SUBSTITUTE(T854&amp;N854," ","")</f>
        <v>3.29.7OxymaPure</v>
      </c>
      <c r="R854" s="74" t="e">
        <f>VLOOKUP(Q854,氨基酸和溶剂信息!A:P,8,FALSE)</f>
        <v>#N/A</v>
      </c>
      <c r="T854" s="75" t="str">
        <f t="shared" si="213"/>
        <v>3.29.7</v>
      </c>
      <c r="U854" s="74" t="e">
        <f>TEXT(O854,"0.00")=TEXT(R854,"0.00")</f>
        <v>#VALUE!</v>
      </c>
    </row>
    <row r="855" spans="1:21" ht="45" customHeight="1">
      <c r="A855" s="634"/>
      <c r="B855" s="634"/>
      <c r="C855" s="105" t="s">
        <v>8</v>
      </c>
      <c r="E855" s="77"/>
      <c r="F855" s="105" t="str">
        <f t="shared" si="209"/>
        <v>关</v>
      </c>
      <c r="G855" s="105" t="str">
        <f t="shared" si="210"/>
        <v>关</v>
      </c>
      <c r="H855" s="105" t="str">
        <f t="shared" si="211"/>
        <v>关</v>
      </c>
      <c r="I855" s="106" t="s">
        <v>216</v>
      </c>
      <c r="J855" s="123" t="s">
        <v>753</v>
      </c>
      <c r="K855" s="105" t="str">
        <f t="shared" si="212"/>
        <v>开</v>
      </c>
      <c r="L855" s="105" t="str">
        <f t="shared" si="214"/>
        <v>开</v>
      </c>
      <c r="M855" s="634"/>
      <c r="N855" s="75"/>
      <c r="O855" s="75"/>
      <c r="Q855" s="75"/>
      <c r="T855" s="75" t="str">
        <f t="shared" si="213"/>
        <v>3.29.7</v>
      </c>
    </row>
    <row r="856" spans="1:21" ht="45" customHeight="1">
      <c r="A856" s="634"/>
      <c r="B856" s="634"/>
      <c r="C856" s="105" t="s">
        <v>8</v>
      </c>
      <c r="E856" s="77"/>
      <c r="F856" s="105" t="str">
        <f t="shared" si="209"/>
        <v>关</v>
      </c>
      <c r="G856" s="105" t="str">
        <f t="shared" si="210"/>
        <v>关</v>
      </c>
      <c r="H856" s="105" t="str">
        <f t="shared" si="211"/>
        <v>关</v>
      </c>
      <c r="I856" s="106" t="s">
        <v>82</v>
      </c>
      <c r="J856" s="475" t="s">
        <v>83</v>
      </c>
      <c r="K856" s="105" t="str">
        <f t="shared" si="212"/>
        <v>开</v>
      </c>
      <c r="L856" s="105" t="str">
        <f t="shared" si="214"/>
        <v>开</v>
      </c>
      <c r="M856" s="634"/>
      <c r="N856" s="75" t="s">
        <v>24</v>
      </c>
      <c r="O856" s="75" t="str">
        <f>MID(J856,FIND("setting",J856,1)+8,FIND("kg",J856,1)-FIND("setting",J856,1)-8)</f>
        <v xml:space="preserve"> 61.75</v>
      </c>
      <c r="Q856" s="75" t="str">
        <f>SUBSTITUTE(T856&amp;N856," ","")</f>
        <v>3.30.6DMF</v>
      </c>
      <c r="R856" s="74">
        <f>VLOOKUP(Q856,MOR投料表!A:L,9,FALSE)</f>
        <v>61.75</v>
      </c>
      <c r="T856" s="75" t="s">
        <v>449</v>
      </c>
      <c r="U856" s="74" t="b">
        <f>TEXT(O856,"0.00")=TEXT(R856,"0.00")</f>
        <v>1</v>
      </c>
    </row>
    <row r="857" spans="1:21" ht="45" customHeight="1">
      <c r="A857" s="634"/>
      <c r="B857" s="634"/>
      <c r="C857" s="105" t="s">
        <v>8</v>
      </c>
      <c r="E857" s="77"/>
      <c r="F857" s="105" t="str">
        <f t="shared" si="209"/>
        <v>关</v>
      </c>
      <c r="G857" s="105" t="str">
        <f t="shared" si="210"/>
        <v>关</v>
      </c>
      <c r="H857" s="105" t="str">
        <f t="shared" si="211"/>
        <v>关</v>
      </c>
      <c r="I857" s="106" t="s">
        <v>85</v>
      </c>
      <c r="J857" s="101" t="s">
        <v>86</v>
      </c>
      <c r="K857" s="105" t="str">
        <f t="shared" si="212"/>
        <v>开</v>
      </c>
      <c r="L857" s="105" t="str">
        <f t="shared" si="214"/>
        <v>开</v>
      </c>
      <c r="M857" s="634"/>
      <c r="T857" s="75" t="str">
        <f>IF(ISBLANK(A857),T856,LEFT(A857,FIND(" ",A857,1)-1))</f>
        <v>3.30.6</v>
      </c>
    </row>
    <row r="858" spans="1:21" ht="45" customHeight="1">
      <c r="A858" s="634"/>
      <c r="B858" s="634"/>
      <c r="C858" s="105" t="s">
        <v>30</v>
      </c>
      <c r="D858" s="106" t="s">
        <v>450</v>
      </c>
      <c r="E858" s="476" t="s">
        <v>258</v>
      </c>
      <c r="F858" s="105" t="str">
        <f>IFERROR(IF(FIND("开",F857,1),"开","关"),"关")</f>
        <v>关</v>
      </c>
      <c r="G858" s="105" t="str">
        <f>IFERROR(IF(FIND("开",G857,1),"开","关"),"关")</f>
        <v>关</v>
      </c>
      <c r="H858" s="105" t="s">
        <v>42</v>
      </c>
      <c r="I858" s="106"/>
      <c r="J858" s="101"/>
      <c r="K858" s="105" t="str">
        <f t="shared" si="212"/>
        <v>开</v>
      </c>
      <c r="L858" s="105" t="str">
        <f t="shared" si="214"/>
        <v>开</v>
      </c>
      <c r="M858" s="634"/>
      <c r="T858" s="75" t="str">
        <f>IF(ISBLANK(A858),T857,LEFT(A858,FIND(" ",A858,1)-1))</f>
        <v>3.30.6</v>
      </c>
    </row>
    <row r="859" spans="1:21" ht="45" customHeight="1">
      <c r="A859" s="634"/>
      <c r="B859" s="634"/>
      <c r="C859" s="105" t="s">
        <v>8</v>
      </c>
      <c r="E859" s="77"/>
      <c r="F859" s="105" t="str">
        <f>IFERROR(IF(FIND("开",#REF!,1),"开","关"),"关")</f>
        <v>关</v>
      </c>
      <c r="G859" s="105" t="str">
        <f>IFERROR(IF(FIND("开",#REF!,1),"开","关"),"关")</f>
        <v>关</v>
      </c>
      <c r="H859" s="105" t="str">
        <f>IFERROR(IF(FIND("开",#REF!,1),"开","关"),"关")</f>
        <v>关</v>
      </c>
      <c r="I859" s="106" t="s">
        <v>104</v>
      </c>
      <c r="J859" s="87" t="s">
        <v>451</v>
      </c>
      <c r="K859" s="105" t="str">
        <f>IFERROR(IF(FIND("开",#REF!,1),"开","关"),"关")</f>
        <v>关</v>
      </c>
      <c r="L859" s="105" t="str">
        <f>IFERROR(IF(FIND("开",#REF!,1),"开","关"),"关")</f>
        <v>关</v>
      </c>
      <c r="M859" s="634"/>
      <c r="N859" s="75" t="str">
        <f>SUBSTITUTE(MID(J859,FIND("-》",J859,1)+11,FIND(", weight",J859,1)-FIND("-》",J859,1)-11),"-喷淋-固体喷淋","")</f>
        <v xml:space="preserve"> DIPEA</v>
      </c>
      <c r="O859" s="75" t="e">
        <f>MID(J859,FIND("量",J859,1)+2,FIND("kg",J859,1)-FIND("量",J859,1)-2)</f>
        <v>#VALUE!</v>
      </c>
      <c r="Q859" s="75" t="e">
        <f>SUBSTITUTE(T859&amp;N859," ","")</f>
        <v>#REF!</v>
      </c>
      <c r="R859" s="74" t="e">
        <f>VLOOKUP(Q859,氨基酸和溶剂信息!A:P,8,FALSE)</f>
        <v>#REF!</v>
      </c>
      <c r="T859" s="75" t="e">
        <f>IF(ISBLANK(A859),#REF!,LEFT(A859,FIND(" ",A859,1)-1))</f>
        <v>#REF!</v>
      </c>
      <c r="U859" s="74" t="e">
        <f>TEXT(O859,"0.00")=TEXT(R859,"0.00")</f>
        <v>#VALUE!</v>
      </c>
    </row>
    <row r="860" spans="1:21" ht="45" customHeight="1">
      <c r="A860" s="634"/>
      <c r="B860" s="634"/>
      <c r="C860" s="105" t="s">
        <v>8</v>
      </c>
      <c r="E860" s="77"/>
      <c r="F860" s="105" t="str">
        <f>IFERROR(IF(FIND("开",F859,1),"开","关"),"关")</f>
        <v>关</v>
      </c>
      <c r="G860" s="105" t="str">
        <f>IFERROR(IF(FIND("开",G859,1),"开","关"),"关")</f>
        <v>关</v>
      </c>
      <c r="H860" s="105" t="str">
        <f>IFERROR(IF(FIND("开",H859,1),"开","关"),"关")</f>
        <v>关</v>
      </c>
      <c r="I860" s="106" t="s">
        <v>106</v>
      </c>
      <c r="J860" s="101" t="s">
        <v>107</v>
      </c>
      <c r="K860" s="105" t="str">
        <f>IFERROR(IF(FIND("开",K859,1),"开","关"),"关")</f>
        <v>关</v>
      </c>
      <c r="L860" s="105" t="str">
        <f>IFERROR(IF(FIND("开",L859,1),"开","关"),"关")</f>
        <v>关</v>
      </c>
      <c r="M860" s="634"/>
      <c r="T860" s="75" t="e">
        <f>IF(ISBLANK(A860),T859,LEFT(A860,FIND(" ",A860,1)-1))</f>
        <v>#REF!</v>
      </c>
    </row>
    <row r="861" spans="1:21" ht="45" customHeight="1">
      <c r="A861" s="634"/>
      <c r="B861" s="634"/>
      <c r="C861" s="105" t="s">
        <v>8</v>
      </c>
      <c r="E861" s="102"/>
      <c r="I861" s="84" t="s">
        <v>254</v>
      </c>
      <c r="J861" s="477" t="s">
        <v>452</v>
      </c>
      <c r="M861" s="634"/>
      <c r="T861" s="75"/>
    </row>
    <row r="862" spans="1:21" ht="45" customHeight="1">
      <c r="A862" s="634"/>
      <c r="B862" s="634"/>
      <c r="C862" s="105" t="s">
        <v>8</v>
      </c>
      <c r="E862" s="102"/>
      <c r="I862" s="84" t="s">
        <v>89</v>
      </c>
      <c r="J862" s="478" t="s">
        <v>75</v>
      </c>
      <c r="M862" s="634"/>
      <c r="T862" s="75"/>
    </row>
    <row r="863" spans="1:21" ht="45" customHeight="1">
      <c r="A863" s="634"/>
      <c r="B863" s="634"/>
      <c r="C863" s="105" t="s">
        <v>8</v>
      </c>
      <c r="E863" s="102"/>
      <c r="I863" s="106" t="s">
        <v>91</v>
      </c>
      <c r="J863" s="479" t="s">
        <v>256</v>
      </c>
      <c r="M863" s="634"/>
      <c r="T863" s="75"/>
    </row>
    <row r="864" spans="1:21" ht="45" customHeight="1">
      <c r="A864" s="634"/>
      <c r="B864" s="634"/>
      <c r="C864" s="105" t="s">
        <v>8</v>
      </c>
      <c r="E864" s="102"/>
      <c r="I864" s="84" t="s">
        <v>254</v>
      </c>
      <c r="J864" s="480" t="s">
        <v>88</v>
      </c>
      <c r="M864" s="634"/>
      <c r="T864" s="75"/>
    </row>
    <row r="865" spans="1:21" ht="45" customHeight="1">
      <c r="A865" s="634"/>
      <c r="B865" s="634"/>
      <c r="C865" s="105" t="s">
        <v>8</v>
      </c>
      <c r="E865" s="102"/>
      <c r="I865" s="84" t="s">
        <v>89</v>
      </c>
      <c r="J865" s="481" t="s">
        <v>204</v>
      </c>
      <c r="M865" s="634"/>
      <c r="T865" s="75"/>
    </row>
    <row r="866" spans="1:21" ht="45" customHeight="1">
      <c r="A866" s="634"/>
      <c r="B866" s="634"/>
      <c r="C866" s="105" t="s">
        <v>8</v>
      </c>
      <c r="E866" s="102"/>
      <c r="F866" s="105" t="str">
        <f>IFERROR(IF(FIND("开",F860,1),"开","关"),"关")</f>
        <v>关</v>
      </c>
      <c r="G866" s="105" t="str">
        <f>IFERROR(IF(FIND("开",G860,1),"开","关"),"关")</f>
        <v>关</v>
      </c>
      <c r="H866" s="105" t="str">
        <f>IFERROR(IF(FIND("开",H860,1),"开","关"),"关")</f>
        <v>关</v>
      </c>
      <c r="I866" s="106" t="s">
        <v>221</v>
      </c>
      <c r="J866" s="482" t="s">
        <v>263</v>
      </c>
      <c r="K866" s="105" t="str">
        <f>IFERROR(IF(FIND("开",K860,1),"开","关"),"关")</f>
        <v>关</v>
      </c>
      <c r="L866" s="105" t="str">
        <f>IFERROR(IF(FIND("开",L860,1),"开","关"),"关")</f>
        <v>关</v>
      </c>
      <c r="M866" s="634"/>
      <c r="T866" s="75" t="e">
        <f>IF(ISBLANK(A866),T860,LEFT(A866,FIND(" ",A866,1)-1))</f>
        <v>#REF!</v>
      </c>
    </row>
    <row r="867" spans="1:21" ht="45" customHeight="1">
      <c r="A867" s="634"/>
      <c r="B867" s="634"/>
      <c r="C867" s="105" t="s">
        <v>8</v>
      </c>
      <c r="E867" s="102"/>
      <c r="F867" s="105" t="str">
        <f>IFERROR(IF(FIND("开",F866,1),"开","关"),"关")</f>
        <v>关</v>
      </c>
      <c r="G867" s="105" t="str">
        <f>IFERROR(IF(FIND("开",G866,1),"开","关"),"关")</f>
        <v>关</v>
      </c>
      <c r="H867" s="105" t="str">
        <f>IFERROR(IF(FIND("开",H866,1),"开","关"),"关")</f>
        <v>关</v>
      </c>
      <c r="I867" s="106" t="s">
        <v>110</v>
      </c>
      <c r="J867" s="101" t="s">
        <v>111</v>
      </c>
      <c r="K867" s="105" t="s">
        <v>42</v>
      </c>
      <c r="L867" s="105" t="str">
        <f>IFERROR(IF(FIND("开",L866,1),"开","关"),"关")</f>
        <v>关</v>
      </c>
      <c r="M867" s="634"/>
      <c r="T867" s="75" t="e">
        <f>IF(ISBLANK(A867),T866,LEFT(A867,FIND(" ",A867,1)-1))</f>
        <v>#REF!</v>
      </c>
    </row>
    <row r="868" spans="1:21" ht="45" customHeight="1">
      <c r="A868" s="634"/>
      <c r="B868" s="634"/>
      <c r="C868" s="105" t="s">
        <v>8</v>
      </c>
      <c r="E868" s="102"/>
      <c r="I868" s="106" t="s">
        <v>112</v>
      </c>
      <c r="J868" s="483" t="s">
        <v>113</v>
      </c>
      <c r="M868" s="635"/>
      <c r="T868" s="75"/>
    </row>
    <row r="869" spans="1:21" ht="45" customHeight="1">
      <c r="A869" s="603" t="s">
        <v>453</v>
      </c>
      <c r="B869" s="681" t="s">
        <v>115</v>
      </c>
      <c r="C869" s="105" t="s">
        <v>30</v>
      </c>
      <c r="D869" s="106" t="s">
        <v>31</v>
      </c>
      <c r="E869" s="484" t="s">
        <v>32</v>
      </c>
      <c r="F869" s="105" t="str">
        <f>IFERROR(IF(FIND("开",F867,1),"开","关"),"关")</f>
        <v>关</v>
      </c>
      <c r="G869" s="105" t="str">
        <f>IFERROR(IF(FIND("开",G867,1),"开","关"),"关")</f>
        <v>关</v>
      </c>
      <c r="H869" s="105" t="str">
        <f>IFERROR(IF(FIND("开",H867,1),"开","关"),"关")</f>
        <v>关</v>
      </c>
      <c r="I869" s="106"/>
      <c r="J869" s="101"/>
      <c r="K869" s="105" t="str">
        <f>IFERROR(IF(FIND("开",K867,1),"开","关"),"关")</f>
        <v>关</v>
      </c>
      <c r="L869" s="105" t="str">
        <f>IFERROR(IF(FIND("开",L867,1),"开","关"),"关")</f>
        <v>关</v>
      </c>
      <c r="M869" s="601">
        <v>1</v>
      </c>
      <c r="N869" s="75"/>
      <c r="O869" s="75"/>
      <c r="T869" s="75" t="str">
        <f>IF(ISBLANK(A869),T867,LEFT(A869,FIND(" ",A869,1)-1))</f>
        <v>3.31.1</v>
      </c>
      <c r="U869" s="74" t="b">
        <f>TEXT(O869,"0.00")=TEXT(R869,"0.00")</f>
        <v>1</v>
      </c>
    </row>
    <row r="870" spans="1:21" ht="45" customHeight="1">
      <c r="A870" s="603"/>
      <c r="B870" s="622"/>
      <c r="C870" s="105" t="s">
        <v>8</v>
      </c>
      <c r="D870" s="106"/>
      <c r="E870" s="101"/>
      <c r="I870" s="106" t="s">
        <v>116</v>
      </c>
      <c r="J870" s="485" t="s">
        <v>117</v>
      </c>
      <c r="M870" s="601"/>
      <c r="T870" s="75"/>
    </row>
    <row r="871" spans="1:21" ht="45" customHeight="1">
      <c r="A871" s="603"/>
      <c r="B871" s="622"/>
      <c r="C871" s="105" t="s">
        <v>30</v>
      </c>
      <c r="D871" s="106" t="s">
        <v>33</v>
      </c>
      <c r="E871" s="101" t="s">
        <v>34</v>
      </c>
      <c r="F871" s="105" t="str">
        <f>IFERROR(IF(FIND("开",F869,1),"开","关"),"关")</f>
        <v>关</v>
      </c>
      <c r="G871" s="105" t="str">
        <f>IFERROR(IF(FIND("开",G869,1),"开","关"),"关")</f>
        <v>关</v>
      </c>
      <c r="H871" s="105" t="str">
        <f>IFERROR(IF(FIND("开",H869,1),"开","关"),"关")</f>
        <v>关</v>
      </c>
      <c r="I871" s="106"/>
      <c r="J871" s="101"/>
      <c r="K871" s="105" t="str">
        <f>IFERROR(IF(FIND("开",K869,1),"开","关"),"关")</f>
        <v>关</v>
      </c>
      <c r="L871" s="105" t="str">
        <f>IFERROR(IF(FIND("开",L869,1),"开","关"),"关")</f>
        <v>关</v>
      </c>
      <c r="M871" s="601"/>
      <c r="T871" s="75" t="str">
        <f>IF(ISBLANK(A871),T869,LEFT(A871,FIND(" ",A871,1)-1))</f>
        <v>3.31.1</v>
      </c>
    </row>
    <row r="872" spans="1:21" ht="45" customHeight="1">
      <c r="A872" s="603"/>
      <c r="B872" s="622"/>
      <c r="C872" s="105" t="s">
        <v>8</v>
      </c>
      <c r="D872" s="105"/>
      <c r="E872" s="104"/>
      <c r="F872" s="105" t="str">
        <f>IFERROR(IF(FIND("开",F871,1),"开","关"),"关")</f>
        <v>关</v>
      </c>
      <c r="G872" s="105" t="str">
        <f>IFERROR(IF(FIND("开",G871,1),"开","关"),"关")</f>
        <v>关</v>
      </c>
      <c r="H872" s="105" t="str">
        <f>IFERROR(IF(FIND("开",H871,1),"开","关"),"关")</f>
        <v>关</v>
      </c>
      <c r="I872" s="106" t="s">
        <v>22</v>
      </c>
      <c r="J872" s="486" t="s">
        <v>118</v>
      </c>
      <c r="K872" s="105" t="str">
        <f t="shared" ref="K872:L877" si="215">IFERROR(IF(FIND("开",K871,1),"开","关"),"关")</f>
        <v>关</v>
      </c>
      <c r="L872" s="105" t="str">
        <f t="shared" si="215"/>
        <v>关</v>
      </c>
      <c r="M872" s="601"/>
      <c r="N872" s="75" t="s">
        <v>24</v>
      </c>
      <c r="O872" s="75" t="str">
        <f>MID(J872,FIND("setting",J872,1)+8,FIND("kg",J872,1)-FIND("setting",J872,1)-8)</f>
        <v xml:space="preserve"> 61.75</v>
      </c>
      <c r="Q872" s="75" t="str">
        <f>SUBSTITUTE(T872&amp;N872," ","")</f>
        <v>3.31.2DMF</v>
      </c>
      <c r="R872" s="74">
        <f>VLOOKUP(Q872,MOR投料表!A:L,9,FALSE)</f>
        <v>61.75</v>
      </c>
      <c r="T872" s="75" t="s">
        <v>454</v>
      </c>
      <c r="U872" s="74" t="b">
        <f>TEXT(O872,"0.00")=TEXT(R872,"0.00")</f>
        <v>1</v>
      </c>
    </row>
    <row r="873" spans="1:21" ht="45" customHeight="1">
      <c r="A873" s="595" t="s">
        <v>455</v>
      </c>
      <c r="B873" s="661" t="s">
        <v>456</v>
      </c>
      <c r="C873" s="105" t="s">
        <v>3</v>
      </c>
      <c r="D873" s="106" t="s">
        <v>35</v>
      </c>
      <c r="E873" s="101" t="s">
        <v>63</v>
      </c>
      <c r="F873" s="105" t="s">
        <v>37</v>
      </c>
      <c r="G873" s="105" t="str">
        <f>IFERROR(IF(FIND("开",G872,1),"开","关"),"关")</f>
        <v>关</v>
      </c>
      <c r="H873" s="105" t="str">
        <f>IFERROR(IF(FIND("开",H872,1),"开","关"),"关")</f>
        <v>关</v>
      </c>
      <c r="I873" s="74"/>
      <c r="J873" s="77"/>
      <c r="K873" s="105" t="str">
        <f t="shared" si="215"/>
        <v>关</v>
      </c>
      <c r="L873" s="105" t="str">
        <f t="shared" si="215"/>
        <v>关</v>
      </c>
      <c r="M873" s="598">
        <v>1</v>
      </c>
      <c r="T873" s="75" t="str">
        <f t="shared" ref="T873:T905" si="216">IF(ISBLANK(A873),T872,LEFT(A873,FIND(" ",A873,1)-1))</f>
        <v>3.31.3</v>
      </c>
    </row>
    <row r="874" spans="1:21" ht="45" customHeight="1">
      <c r="A874" s="596"/>
      <c r="B874" s="599"/>
      <c r="C874" s="105" t="s">
        <v>3</v>
      </c>
      <c r="D874" s="106" t="s">
        <v>64</v>
      </c>
      <c r="E874" s="101" t="s">
        <v>65</v>
      </c>
      <c r="F874" s="105" t="str">
        <f t="shared" ref="F874:F883" si="217">IFERROR(IF(FIND("开",F873,1),"开","关"),"关")</f>
        <v>开</v>
      </c>
      <c r="G874" s="105" t="s">
        <v>37</v>
      </c>
      <c r="H874" s="105" t="str">
        <f t="shared" ref="H874:H900" si="218">IFERROR(IF(FIND("开",H873,1),"开","关"),"关")</f>
        <v>关</v>
      </c>
      <c r="I874" s="74"/>
      <c r="J874" s="77"/>
      <c r="K874" s="105" t="str">
        <f t="shared" si="215"/>
        <v>关</v>
      </c>
      <c r="L874" s="105" t="str">
        <f t="shared" si="215"/>
        <v>关</v>
      </c>
      <c r="M874" s="599"/>
      <c r="T874" s="75" t="str">
        <f t="shared" si="216"/>
        <v>3.31.3</v>
      </c>
    </row>
    <row r="875" spans="1:21" ht="45" customHeight="1">
      <c r="A875" s="596"/>
      <c r="B875" s="599"/>
      <c r="C875" s="105" t="s">
        <v>8</v>
      </c>
      <c r="D875" s="105"/>
      <c r="E875" s="104"/>
      <c r="F875" s="105" t="str">
        <f t="shared" si="217"/>
        <v>开</v>
      </c>
      <c r="G875" s="105" t="str">
        <f t="shared" ref="G875:G882" si="219">IFERROR(IF(FIND("开",G874,1),"开","关"),"关")</f>
        <v>开</v>
      </c>
      <c r="H875" s="105" t="str">
        <f t="shared" si="218"/>
        <v>关</v>
      </c>
      <c r="I875" s="106" t="s">
        <v>61</v>
      </c>
      <c r="J875" s="101" t="s">
        <v>26</v>
      </c>
      <c r="K875" s="105" t="str">
        <f t="shared" si="215"/>
        <v>关</v>
      </c>
      <c r="L875" s="105" t="str">
        <f t="shared" si="215"/>
        <v>关</v>
      </c>
      <c r="M875" s="599"/>
      <c r="N875" s="75"/>
      <c r="O875" s="75"/>
      <c r="T875" s="75" t="str">
        <f t="shared" si="216"/>
        <v>3.31.3</v>
      </c>
    </row>
    <row r="876" spans="1:21" ht="45" customHeight="1">
      <c r="A876" s="596"/>
      <c r="B876" s="599"/>
      <c r="C876" s="105" t="s">
        <v>30</v>
      </c>
      <c r="D876" s="106" t="s">
        <v>31</v>
      </c>
      <c r="E876" s="487" t="s">
        <v>32</v>
      </c>
      <c r="F876" s="105" t="str">
        <f t="shared" si="217"/>
        <v>开</v>
      </c>
      <c r="G876" s="105" t="str">
        <f t="shared" si="219"/>
        <v>开</v>
      </c>
      <c r="H876" s="105" t="str">
        <f t="shared" si="218"/>
        <v>关</v>
      </c>
      <c r="I876" s="106"/>
      <c r="J876" s="101"/>
      <c r="K876" s="105" t="str">
        <f t="shared" si="215"/>
        <v>关</v>
      </c>
      <c r="L876" s="105" t="str">
        <f t="shared" si="215"/>
        <v>关</v>
      </c>
      <c r="M876" s="599"/>
      <c r="N876" s="75"/>
      <c r="O876" s="75"/>
      <c r="T876" s="75" t="str">
        <f t="shared" si="216"/>
        <v>3.31.3</v>
      </c>
      <c r="U876" s="74" t="b">
        <f>TEXT(O876,"0.00")=TEXT(R876,"0.00")</f>
        <v>1</v>
      </c>
    </row>
    <row r="877" spans="1:21" ht="45" customHeight="1">
      <c r="A877" s="596"/>
      <c r="B877" s="599"/>
      <c r="C877" s="105" t="s">
        <v>30</v>
      </c>
      <c r="D877" s="106" t="s">
        <v>33</v>
      </c>
      <c r="E877" s="101" t="s">
        <v>34</v>
      </c>
      <c r="F877" s="105" t="str">
        <f t="shared" si="217"/>
        <v>开</v>
      </c>
      <c r="G877" s="105" t="str">
        <f t="shared" si="219"/>
        <v>开</v>
      </c>
      <c r="H877" s="105" t="str">
        <f t="shared" si="218"/>
        <v>关</v>
      </c>
      <c r="I877" s="106"/>
      <c r="J877" s="101"/>
      <c r="K877" s="105" t="str">
        <f t="shared" si="215"/>
        <v>关</v>
      </c>
      <c r="L877" s="105" t="str">
        <f t="shared" si="215"/>
        <v>关</v>
      </c>
      <c r="M877" s="599"/>
      <c r="T877" s="75" t="str">
        <f t="shared" si="216"/>
        <v>3.31.3</v>
      </c>
    </row>
    <row r="878" spans="1:21" ht="45" customHeight="1">
      <c r="A878" s="596"/>
      <c r="B878" s="599"/>
      <c r="C878" s="105" t="s">
        <v>8</v>
      </c>
      <c r="D878" s="106"/>
      <c r="E878" s="78"/>
      <c r="F878" s="105" t="str">
        <f t="shared" si="217"/>
        <v>开</v>
      </c>
      <c r="G878" s="105" t="str">
        <f t="shared" si="219"/>
        <v>开</v>
      </c>
      <c r="H878" s="105" t="str">
        <f t="shared" si="218"/>
        <v>关</v>
      </c>
      <c r="I878" s="106" t="s">
        <v>123</v>
      </c>
      <c r="J878" s="488" t="s">
        <v>211</v>
      </c>
      <c r="K878" s="105" t="str">
        <f t="shared" ref="K878:K905" si="220">IFERROR(IF(FIND("开",K877,1),"开","关"),"关")</f>
        <v>关</v>
      </c>
      <c r="L878" s="105" t="s">
        <v>42</v>
      </c>
      <c r="M878" s="599"/>
      <c r="T878" s="75" t="str">
        <f t="shared" si="216"/>
        <v>3.31.3</v>
      </c>
    </row>
    <row r="879" spans="1:21" ht="45" customHeight="1">
      <c r="A879" s="596"/>
      <c r="B879" s="599"/>
      <c r="C879" s="105" t="s">
        <v>8</v>
      </c>
      <c r="D879" s="106"/>
      <c r="E879" s="78"/>
      <c r="F879" s="105" t="str">
        <f t="shared" si="217"/>
        <v>开</v>
      </c>
      <c r="G879" s="105" t="str">
        <f t="shared" si="219"/>
        <v>开</v>
      </c>
      <c r="H879" s="105" t="str">
        <f t="shared" si="218"/>
        <v>关</v>
      </c>
      <c r="I879" s="106" t="s">
        <v>125</v>
      </c>
      <c r="J879" s="101" t="s">
        <v>126</v>
      </c>
      <c r="K879" s="105" t="str">
        <f t="shared" si="220"/>
        <v>关</v>
      </c>
      <c r="L879" s="105" t="str">
        <f t="shared" ref="L879:L905" si="221">IFERROR(IF(FIND("开",L878,1),"开","关"),"关")</f>
        <v>关</v>
      </c>
      <c r="M879" s="599"/>
      <c r="T879" s="75" t="str">
        <f t="shared" si="216"/>
        <v>3.31.3</v>
      </c>
    </row>
    <row r="880" spans="1:21" ht="45" customHeight="1">
      <c r="A880" s="596"/>
      <c r="B880" s="599"/>
      <c r="C880" s="105" t="s">
        <v>3</v>
      </c>
      <c r="D880" s="106" t="s">
        <v>66</v>
      </c>
      <c r="E880" s="489" t="s">
        <v>127</v>
      </c>
      <c r="F880" s="105" t="str">
        <f t="shared" si="217"/>
        <v>开</v>
      </c>
      <c r="G880" s="105" t="str">
        <f t="shared" si="219"/>
        <v>开</v>
      </c>
      <c r="H880" s="105" t="str">
        <f t="shared" si="218"/>
        <v>关</v>
      </c>
      <c r="I880" s="74"/>
      <c r="J880" s="77"/>
      <c r="K880" s="105" t="str">
        <f t="shared" si="220"/>
        <v>关</v>
      </c>
      <c r="L880" s="105" t="str">
        <f t="shared" si="221"/>
        <v>关</v>
      </c>
      <c r="M880" s="599"/>
      <c r="T880" s="75" t="str">
        <f t="shared" si="216"/>
        <v>3.31.3</v>
      </c>
    </row>
    <row r="881" spans="1:38" s="121" customFormat="1" ht="45" customHeight="1">
      <c r="A881" s="596"/>
      <c r="B881" s="599"/>
      <c r="C881" s="105" t="s">
        <v>3</v>
      </c>
      <c r="D881" s="106" t="s">
        <v>128</v>
      </c>
      <c r="E881" s="490" t="s">
        <v>162</v>
      </c>
      <c r="F881" s="105" t="str">
        <f t="shared" si="217"/>
        <v>开</v>
      </c>
      <c r="G881" s="105" t="str">
        <f t="shared" si="219"/>
        <v>开</v>
      </c>
      <c r="H881" s="105" t="str">
        <f t="shared" si="218"/>
        <v>关</v>
      </c>
      <c r="I881" s="74"/>
      <c r="J881" s="77"/>
      <c r="K881" s="105" t="str">
        <f t="shared" si="220"/>
        <v>关</v>
      </c>
      <c r="L881" s="105" t="str">
        <f t="shared" si="221"/>
        <v>关</v>
      </c>
      <c r="M881" s="599"/>
      <c r="N881" s="74"/>
      <c r="O881" s="74"/>
      <c r="P881" s="74"/>
      <c r="Q881" s="74"/>
      <c r="R881" s="74"/>
      <c r="S881" s="74"/>
      <c r="T881" s="75" t="str">
        <f t="shared" si="216"/>
        <v>3.31.3</v>
      </c>
      <c r="U881" s="74"/>
      <c r="V881" s="74"/>
      <c r="W881" s="76"/>
      <c r="X881" s="76"/>
      <c r="Y881" s="76"/>
      <c r="Z881" s="76"/>
      <c r="AA881" s="76"/>
      <c r="AB881" s="76"/>
      <c r="AC881" s="76"/>
      <c r="AD881" s="76"/>
      <c r="AE881" s="76"/>
      <c r="AF881" s="76"/>
      <c r="AG881" s="76"/>
      <c r="AH881" s="76"/>
      <c r="AI881" s="76"/>
      <c r="AJ881" s="76"/>
      <c r="AK881" s="76"/>
      <c r="AL881" s="76"/>
    </row>
    <row r="882" spans="1:38" s="121" customFormat="1" ht="45" customHeight="1">
      <c r="A882" s="596"/>
      <c r="B882" s="599"/>
      <c r="C882" s="105" t="s">
        <v>3</v>
      </c>
      <c r="D882" s="106" t="s">
        <v>233</v>
      </c>
      <c r="E882" s="491" t="s">
        <v>234</v>
      </c>
      <c r="F882" s="105" t="str">
        <f t="shared" si="217"/>
        <v>开</v>
      </c>
      <c r="G882" s="105" t="str">
        <f t="shared" si="219"/>
        <v>开</v>
      </c>
      <c r="H882" s="105" t="str">
        <f t="shared" si="218"/>
        <v>关</v>
      </c>
      <c r="I882" s="84"/>
      <c r="J882" s="101"/>
      <c r="K882" s="105" t="str">
        <f t="shared" si="220"/>
        <v>关</v>
      </c>
      <c r="L882" s="105" t="str">
        <f t="shared" si="221"/>
        <v>关</v>
      </c>
      <c r="M882" s="599"/>
      <c r="N882" s="74"/>
      <c r="O882" s="74"/>
      <c r="P882" s="74"/>
      <c r="Q882" s="74"/>
      <c r="R882" s="74"/>
      <c r="S882" s="74"/>
      <c r="T882" s="75" t="str">
        <f t="shared" si="216"/>
        <v>3.31.3</v>
      </c>
      <c r="U882" s="74"/>
      <c r="V882" s="74"/>
      <c r="W882" s="76"/>
      <c r="X882" s="76"/>
      <c r="Y882" s="76"/>
      <c r="Z882" s="76"/>
      <c r="AA882" s="76"/>
      <c r="AB882" s="76"/>
      <c r="AC882" s="76"/>
      <c r="AD882" s="76"/>
      <c r="AE882" s="76"/>
      <c r="AF882" s="76"/>
      <c r="AG882" s="76"/>
      <c r="AH882" s="76"/>
      <c r="AI882" s="76"/>
      <c r="AJ882" s="76"/>
      <c r="AK882" s="76"/>
      <c r="AL882" s="76"/>
    </row>
    <row r="883" spans="1:38" s="121" customFormat="1" ht="45" customHeight="1">
      <c r="A883" s="596"/>
      <c r="B883" s="599"/>
      <c r="C883" s="105" t="s">
        <v>3</v>
      </c>
      <c r="D883" s="106" t="s">
        <v>70</v>
      </c>
      <c r="E883" s="101" t="s">
        <v>71</v>
      </c>
      <c r="F883" s="105" t="str">
        <f t="shared" si="217"/>
        <v>开</v>
      </c>
      <c r="G883" s="105" t="s">
        <v>42</v>
      </c>
      <c r="H883" s="105" t="str">
        <f t="shared" si="218"/>
        <v>关</v>
      </c>
      <c r="I883" s="84"/>
      <c r="J883" s="101"/>
      <c r="K883" s="105" t="str">
        <f t="shared" si="220"/>
        <v>关</v>
      </c>
      <c r="L883" s="105" t="str">
        <f t="shared" si="221"/>
        <v>关</v>
      </c>
      <c r="M883" s="599"/>
      <c r="N883" s="74"/>
      <c r="O883" s="74"/>
      <c r="P883" s="74"/>
      <c r="Q883" s="74"/>
      <c r="R883" s="74"/>
      <c r="S883" s="74"/>
      <c r="T883" s="75" t="str">
        <f t="shared" si="216"/>
        <v>3.31.3</v>
      </c>
      <c r="U883" s="74"/>
      <c r="V883" s="74"/>
      <c r="W883" s="76"/>
      <c r="X883" s="76"/>
      <c r="Y883" s="76"/>
      <c r="Z883" s="76"/>
      <c r="AA883" s="76"/>
      <c r="AB883" s="76"/>
      <c r="AC883" s="76"/>
      <c r="AD883" s="76"/>
      <c r="AE883" s="76"/>
      <c r="AF883" s="76"/>
      <c r="AG883" s="76"/>
      <c r="AH883" s="76"/>
      <c r="AI883" s="76"/>
      <c r="AJ883" s="76"/>
      <c r="AK883" s="76"/>
      <c r="AL883" s="76"/>
    </row>
    <row r="884" spans="1:38" s="121" customFormat="1" ht="45" customHeight="1">
      <c r="A884" s="596"/>
      <c r="B884" s="599"/>
      <c r="C884" s="105" t="s">
        <v>3</v>
      </c>
      <c r="D884" s="106" t="s">
        <v>40</v>
      </c>
      <c r="E884" s="101" t="s">
        <v>41</v>
      </c>
      <c r="F884" s="105" t="s">
        <v>42</v>
      </c>
      <c r="G884" s="105" t="str">
        <f t="shared" ref="G884:G897" si="222">IFERROR(IF(FIND("开",G883,1),"开","关"),"关")</f>
        <v>关</v>
      </c>
      <c r="H884" s="105" t="str">
        <f t="shared" si="218"/>
        <v>关</v>
      </c>
      <c r="I884" s="84"/>
      <c r="J884" s="101"/>
      <c r="K884" s="105" t="str">
        <f t="shared" si="220"/>
        <v>关</v>
      </c>
      <c r="L884" s="105" t="str">
        <f t="shared" si="221"/>
        <v>关</v>
      </c>
      <c r="M884" s="599"/>
      <c r="N884" s="74"/>
      <c r="O884" s="74"/>
      <c r="P884" s="74"/>
      <c r="Q884" s="74"/>
      <c r="R884" s="74"/>
      <c r="S884" s="74"/>
      <c r="T884" s="75" t="str">
        <f t="shared" si="216"/>
        <v>3.31.3</v>
      </c>
      <c r="U884" s="74"/>
      <c r="V884" s="74"/>
      <c r="W884" s="76"/>
      <c r="X884" s="76"/>
      <c r="Y884" s="76"/>
      <c r="Z884" s="76"/>
      <c r="AA884" s="76"/>
      <c r="AB884" s="76"/>
      <c r="AC884" s="76"/>
      <c r="AD884" s="76"/>
      <c r="AE884" s="76"/>
      <c r="AF884" s="76"/>
      <c r="AG884" s="76"/>
      <c r="AH884" s="76"/>
      <c r="AI884" s="76"/>
      <c r="AJ884" s="76"/>
      <c r="AK884" s="76"/>
      <c r="AL884" s="76"/>
    </row>
    <row r="885" spans="1:38" s="121" customFormat="1" ht="45" customHeight="1">
      <c r="A885" s="597"/>
      <c r="B885" s="599"/>
      <c r="C885" s="105" t="s">
        <v>3</v>
      </c>
      <c r="D885" s="106" t="s">
        <v>45</v>
      </c>
      <c r="E885" s="492" t="s">
        <v>46</v>
      </c>
      <c r="F885" s="105" t="str">
        <f t="shared" ref="F885:F896" si="223">IFERROR(IF(FIND("开",F884,1),"开","关"),"关")</f>
        <v>关</v>
      </c>
      <c r="G885" s="105" t="str">
        <f t="shared" si="222"/>
        <v>关</v>
      </c>
      <c r="H885" s="105" t="str">
        <f t="shared" si="218"/>
        <v>关</v>
      </c>
      <c r="I885" s="84"/>
      <c r="J885" s="101"/>
      <c r="K885" s="105" t="str">
        <f t="shared" si="220"/>
        <v>关</v>
      </c>
      <c r="L885" s="105" t="str">
        <f t="shared" si="221"/>
        <v>关</v>
      </c>
      <c r="M885" s="600"/>
      <c r="N885" s="74"/>
      <c r="O885" s="74"/>
      <c r="P885" s="74"/>
      <c r="Q885" s="74"/>
      <c r="R885" s="74"/>
      <c r="S885" s="74"/>
      <c r="T885" s="75" t="str">
        <f t="shared" si="216"/>
        <v>3.31.3</v>
      </c>
      <c r="U885" s="74"/>
      <c r="V885" s="74"/>
      <c r="W885" s="76"/>
      <c r="X885" s="76"/>
      <c r="Y885" s="76"/>
      <c r="Z885" s="76"/>
      <c r="AA885" s="76"/>
      <c r="AB885" s="76"/>
      <c r="AC885" s="76"/>
      <c r="AD885" s="76"/>
      <c r="AE885" s="76"/>
      <c r="AF885" s="76"/>
      <c r="AG885" s="76"/>
      <c r="AH885" s="76"/>
      <c r="AI885" s="76"/>
      <c r="AJ885" s="76"/>
      <c r="AK885" s="76"/>
      <c r="AL885" s="76"/>
    </row>
    <row r="886" spans="1:38" s="121" customFormat="1" ht="45" customHeight="1">
      <c r="A886" s="603" t="s">
        <v>457</v>
      </c>
      <c r="B886" s="689" t="s">
        <v>354</v>
      </c>
      <c r="C886" s="105" t="s">
        <v>8</v>
      </c>
      <c r="D886" s="74"/>
      <c r="E886" s="102"/>
      <c r="F886" s="105" t="str">
        <f t="shared" si="223"/>
        <v>关</v>
      </c>
      <c r="G886" s="105" t="str">
        <f t="shared" si="222"/>
        <v>关</v>
      </c>
      <c r="H886" s="105" t="str">
        <f t="shared" si="218"/>
        <v>关</v>
      </c>
      <c r="I886" s="84" t="s">
        <v>77</v>
      </c>
      <c r="J886" s="101" t="s">
        <v>355</v>
      </c>
      <c r="K886" s="105" t="str">
        <f t="shared" si="220"/>
        <v>关</v>
      </c>
      <c r="L886" s="105" t="str">
        <f t="shared" si="221"/>
        <v>关</v>
      </c>
      <c r="M886" s="601">
        <v>3</v>
      </c>
      <c r="N886" s="75" t="s">
        <v>24</v>
      </c>
      <c r="O886" s="75" t="str">
        <f>MID(J886,FIND("setting",J886,1)+8,FIND("kg",J886,1)-FIND("setting",J886,1)-8)</f>
        <v xml:space="preserve"> 616.20</v>
      </c>
      <c r="P886" s="74"/>
      <c r="Q886" s="75" t="str">
        <f>SUBSTITUTE(T886&amp;N886," ","")</f>
        <v>3.31.6DMF</v>
      </c>
      <c r="R886" s="74">
        <f>VLOOKUP(Q886,MOR投料表!A:L,9,FALSE)</f>
        <v>616.20000000000005</v>
      </c>
      <c r="S886" s="74"/>
      <c r="T886" s="75" t="str">
        <f t="shared" si="216"/>
        <v>3.31.6</v>
      </c>
      <c r="U886" s="74" t="b">
        <f>TEXT(O886,"0.00")=TEXT(R886,"0.00")</f>
        <v>1</v>
      </c>
      <c r="V886" s="74"/>
      <c r="W886" s="76"/>
      <c r="X886" s="76"/>
      <c r="Y886" s="76"/>
      <c r="Z886" s="76"/>
      <c r="AA886" s="76"/>
      <c r="AB886" s="76"/>
      <c r="AC886" s="76"/>
      <c r="AD886" s="76"/>
      <c r="AE886" s="76"/>
      <c r="AF886" s="76"/>
      <c r="AG886" s="76"/>
      <c r="AH886" s="76"/>
      <c r="AI886" s="76"/>
      <c r="AJ886" s="76"/>
      <c r="AK886" s="76"/>
      <c r="AL886" s="76"/>
    </row>
    <row r="887" spans="1:38" ht="45" customHeight="1">
      <c r="A887" s="603"/>
      <c r="B887" s="602"/>
      <c r="C887" s="105" t="s">
        <v>8</v>
      </c>
      <c r="D887" s="74"/>
      <c r="E887" s="102"/>
      <c r="F887" s="105" t="str">
        <f t="shared" si="223"/>
        <v>关</v>
      </c>
      <c r="G887" s="105" t="str">
        <f t="shared" si="222"/>
        <v>关</v>
      </c>
      <c r="H887" s="105" t="str">
        <f t="shared" si="218"/>
        <v>关</v>
      </c>
      <c r="I887" s="84" t="s">
        <v>61</v>
      </c>
      <c r="J887" s="101" t="s">
        <v>26</v>
      </c>
      <c r="K887" s="105" t="str">
        <f t="shared" si="220"/>
        <v>关</v>
      </c>
      <c r="L887" s="105" t="str">
        <f t="shared" si="221"/>
        <v>关</v>
      </c>
      <c r="M887" s="601"/>
      <c r="T887" s="75" t="str">
        <f t="shared" si="216"/>
        <v>3.31.6</v>
      </c>
    </row>
    <row r="888" spans="1:38" ht="45" customHeight="1">
      <c r="A888" s="603"/>
      <c r="B888" s="602"/>
      <c r="C888" s="105" t="s">
        <v>8</v>
      </c>
      <c r="E888" s="102"/>
      <c r="F888" s="105" t="str">
        <f t="shared" si="223"/>
        <v>关</v>
      </c>
      <c r="G888" s="105" t="str">
        <f t="shared" si="222"/>
        <v>关</v>
      </c>
      <c r="H888" s="105" t="str">
        <f t="shared" si="218"/>
        <v>关</v>
      </c>
      <c r="I888" s="84" t="s">
        <v>137</v>
      </c>
      <c r="J888" s="101" t="s">
        <v>138</v>
      </c>
      <c r="K888" s="105" t="str">
        <f t="shared" si="220"/>
        <v>关</v>
      </c>
      <c r="L888" s="105" t="str">
        <f t="shared" si="221"/>
        <v>关</v>
      </c>
      <c r="M888" s="601"/>
      <c r="T888" s="75" t="str">
        <f t="shared" si="216"/>
        <v>3.31.6</v>
      </c>
    </row>
    <row r="889" spans="1:38" ht="45" customHeight="1">
      <c r="A889" s="603"/>
      <c r="B889" s="602"/>
      <c r="C889" s="105" t="s">
        <v>8</v>
      </c>
      <c r="E889" s="102"/>
      <c r="F889" s="105" t="str">
        <f t="shared" si="223"/>
        <v>关</v>
      </c>
      <c r="G889" s="105" t="str">
        <f t="shared" si="222"/>
        <v>关</v>
      </c>
      <c r="H889" s="105" t="str">
        <f t="shared" si="218"/>
        <v>关</v>
      </c>
      <c r="I889" s="84" t="s">
        <v>139</v>
      </c>
      <c r="J889" s="101" t="s">
        <v>140</v>
      </c>
      <c r="K889" s="105" t="str">
        <f t="shared" si="220"/>
        <v>关</v>
      </c>
      <c r="L889" s="105" t="str">
        <f t="shared" si="221"/>
        <v>关</v>
      </c>
      <c r="M889" s="601"/>
      <c r="T889" s="75" t="str">
        <f t="shared" si="216"/>
        <v>3.31.6</v>
      </c>
    </row>
    <row r="890" spans="1:38" ht="45" customHeight="1">
      <c r="A890" s="603"/>
      <c r="B890" s="602"/>
      <c r="C890" s="105" t="s">
        <v>8</v>
      </c>
      <c r="E890" s="102"/>
      <c r="F890" s="105" t="str">
        <f t="shared" si="223"/>
        <v>关</v>
      </c>
      <c r="G890" s="105" t="str">
        <f t="shared" si="222"/>
        <v>关</v>
      </c>
      <c r="H890" s="105" t="str">
        <f t="shared" si="218"/>
        <v>关</v>
      </c>
      <c r="I890" s="84" t="s">
        <v>141</v>
      </c>
      <c r="J890" s="101" t="s">
        <v>142</v>
      </c>
      <c r="K890" s="105" t="str">
        <f t="shared" si="220"/>
        <v>关</v>
      </c>
      <c r="L890" s="105" t="str">
        <f t="shared" si="221"/>
        <v>关</v>
      </c>
      <c r="M890" s="601"/>
      <c r="T890" s="75" t="str">
        <f t="shared" si="216"/>
        <v>3.31.6</v>
      </c>
    </row>
    <row r="891" spans="1:38" ht="45" customHeight="1">
      <c r="A891" s="603"/>
      <c r="B891" s="602"/>
      <c r="C891" s="105" t="s">
        <v>8</v>
      </c>
      <c r="E891" s="102"/>
      <c r="F891" s="105" t="str">
        <f t="shared" si="223"/>
        <v>关</v>
      </c>
      <c r="G891" s="105" t="str">
        <f t="shared" si="222"/>
        <v>关</v>
      </c>
      <c r="H891" s="105" t="str">
        <f t="shared" si="218"/>
        <v>关</v>
      </c>
      <c r="I891" s="84" t="s">
        <v>143</v>
      </c>
      <c r="J891" s="101" t="s">
        <v>144</v>
      </c>
      <c r="K891" s="105" t="str">
        <f t="shared" si="220"/>
        <v>关</v>
      </c>
      <c r="L891" s="105" t="str">
        <f t="shared" si="221"/>
        <v>关</v>
      </c>
      <c r="M891" s="601"/>
      <c r="T891" s="75" t="str">
        <f t="shared" si="216"/>
        <v>3.31.6</v>
      </c>
    </row>
    <row r="892" spans="1:38" ht="45" customHeight="1">
      <c r="A892" s="603"/>
      <c r="B892" s="602"/>
      <c r="C892" s="105" t="s">
        <v>8</v>
      </c>
      <c r="E892" s="102"/>
      <c r="F892" s="105" t="str">
        <f t="shared" si="223"/>
        <v>关</v>
      </c>
      <c r="G892" s="105" t="str">
        <f t="shared" si="222"/>
        <v>关</v>
      </c>
      <c r="H892" s="105" t="str">
        <f t="shared" si="218"/>
        <v>关</v>
      </c>
      <c r="I892" s="84" t="s">
        <v>145</v>
      </c>
      <c r="J892" s="101" t="s">
        <v>146</v>
      </c>
      <c r="K892" s="105" t="str">
        <f t="shared" si="220"/>
        <v>关</v>
      </c>
      <c r="L892" s="105" t="str">
        <f t="shared" si="221"/>
        <v>关</v>
      </c>
      <c r="M892" s="601"/>
      <c r="T892" s="75" t="str">
        <f t="shared" si="216"/>
        <v>3.31.6</v>
      </c>
    </row>
    <row r="893" spans="1:38" ht="45" customHeight="1">
      <c r="A893" s="603"/>
      <c r="B893" s="602"/>
      <c r="C893" s="105" t="s">
        <v>8</v>
      </c>
      <c r="E893" s="102"/>
      <c r="F893" s="105" t="str">
        <f t="shared" si="223"/>
        <v>关</v>
      </c>
      <c r="G893" s="105" t="str">
        <f t="shared" si="222"/>
        <v>关</v>
      </c>
      <c r="H893" s="105" t="str">
        <f t="shared" si="218"/>
        <v>关</v>
      </c>
      <c r="I893" s="84" t="s">
        <v>147</v>
      </c>
      <c r="J893" s="101" t="s">
        <v>148</v>
      </c>
      <c r="K893" s="105" t="str">
        <f t="shared" si="220"/>
        <v>关</v>
      </c>
      <c r="L893" s="105" t="str">
        <f t="shared" si="221"/>
        <v>关</v>
      </c>
      <c r="M893" s="601"/>
      <c r="N893" s="75"/>
      <c r="O893" s="75"/>
      <c r="T893" s="75" t="str">
        <f t="shared" si="216"/>
        <v>3.31.6</v>
      </c>
      <c r="U893" s="74" t="b">
        <f>TEXT(O893,"0.00")=TEXT(R893,"0.00")</f>
        <v>1</v>
      </c>
    </row>
    <row r="894" spans="1:38" ht="45" customHeight="1">
      <c r="A894" s="603"/>
      <c r="B894" s="602"/>
      <c r="C894" s="105" t="s">
        <v>30</v>
      </c>
      <c r="D894" s="106" t="s">
        <v>31</v>
      </c>
      <c r="E894" s="493" t="s">
        <v>32</v>
      </c>
      <c r="F894" s="105" t="str">
        <f t="shared" si="223"/>
        <v>关</v>
      </c>
      <c r="G894" s="105" t="str">
        <f t="shared" si="222"/>
        <v>关</v>
      </c>
      <c r="H894" s="105" t="str">
        <f t="shared" si="218"/>
        <v>关</v>
      </c>
      <c r="I894" s="106"/>
      <c r="J894" s="101"/>
      <c r="K894" s="105" t="str">
        <f t="shared" si="220"/>
        <v>关</v>
      </c>
      <c r="L894" s="105" t="str">
        <f t="shared" si="221"/>
        <v>关</v>
      </c>
      <c r="M894" s="601"/>
      <c r="T894" s="75" t="str">
        <f t="shared" si="216"/>
        <v>3.31.6</v>
      </c>
    </row>
    <row r="895" spans="1:38" ht="45" customHeight="1">
      <c r="A895" s="603"/>
      <c r="B895" s="602"/>
      <c r="C895" s="105" t="s">
        <v>30</v>
      </c>
      <c r="D895" s="106" t="s">
        <v>33</v>
      </c>
      <c r="E895" s="101" t="s">
        <v>34</v>
      </c>
      <c r="F895" s="105" t="str">
        <f t="shared" si="223"/>
        <v>关</v>
      </c>
      <c r="G895" s="105" t="str">
        <f t="shared" si="222"/>
        <v>关</v>
      </c>
      <c r="H895" s="105" t="str">
        <f t="shared" si="218"/>
        <v>关</v>
      </c>
      <c r="J895" s="101"/>
      <c r="K895" s="105" t="str">
        <f t="shared" si="220"/>
        <v>关</v>
      </c>
      <c r="L895" s="105" t="str">
        <f t="shared" si="221"/>
        <v>关</v>
      </c>
      <c r="M895" s="601"/>
      <c r="T895" s="75" t="str">
        <f t="shared" si="216"/>
        <v>3.31.6</v>
      </c>
    </row>
    <row r="896" spans="1:38" ht="45" customHeight="1">
      <c r="A896" s="603"/>
      <c r="B896" s="602"/>
      <c r="C896" s="105" t="s">
        <v>8</v>
      </c>
      <c r="D896" s="106"/>
      <c r="E896" s="78"/>
      <c r="F896" s="105" t="str">
        <f t="shared" si="223"/>
        <v>关</v>
      </c>
      <c r="G896" s="105" t="str">
        <f t="shared" si="222"/>
        <v>关</v>
      </c>
      <c r="H896" s="105" t="str">
        <f t="shared" si="218"/>
        <v>关</v>
      </c>
      <c r="I896" s="106" t="s">
        <v>54</v>
      </c>
      <c r="J896" s="494" t="s">
        <v>149</v>
      </c>
      <c r="K896" s="105" t="str">
        <f t="shared" si="220"/>
        <v>关</v>
      </c>
      <c r="L896" s="105" t="str">
        <f t="shared" si="221"/>
        <v>关</v>
      </c>
      <c r="M896" s="601"/>
      <c r="T896" s="75" t="str">
        <f t="shared" si="216"/>
        <v>3.31.6</v>
      </c>
    </row>
    <row r="897" spans="1:22" ht="45" customHeight="1">
      <c r="A897" s="603"/>
      <c r="B897" s="602"/>
      <c r="C897" s="105" t="s">
        <v>3</v>
      </c>
      <c r="D897" s="106" t="s">
        <v>35</v>
      </c>
      <c r="E897" s="101" t="s">
        <v>63</v>
      </c>
      <c r="F897" s="105" t="s">
        <v>37</v>
      </c>
      <c r="G897" s="105" t="str">
        <f t="shared" si="222"/>
        <v>关</v>
      </c>
      <c r="H897" s="105" t="str">
        <f t="shared" si="218"/>
        <v>关</v>
      </c>
      <c r="J897" s="101"/>
      <c r="K897" s="105" t="str">
        <f t="shared" si="220"/>
        <v>关</v>
      </c>
      <c r="L897" s="105" t="str">
        <f t="shared" si="221"/>
        <v>关</v>
      </c>
      <c r="M897" s="601"/>
      <c r="T897" s="75" t="str">
        <f t="shared" si="216"/>
        <v>3.31.6</v>
      </c>
    </row>
    <row r="898" spans="1:22" ht="45" customHeight="1">
      <c r="A898" s="603"/>
      <c r="B898" s="602"/>
      <c r="C898" s="105" t="s">
        <v>3</v>
      </c>
      <c r="D898" s="106" t="s">
        <v>38</v>
      </c>
      <c r="E898" s="101" t="s">
        <v>101</v>
      </c>
      <c r="F898" s="105" t="str">
        <f>IFERROR(IF(FIND("开",F897,1),"开","关"),"关")</f>
        <v>开</v>
      </c>
      <c r="G898" s="105" t="s">
        <v>29</v>
      </c>
      <c r="H898" s="105" t="str">
        <f t="shared" si="218"/>
        <v>关</v>
      </c>
      <c r="I898" s="106"/>
      <c r="J898" s="101"/>
      <c r="K898" s="105" t="str">
        <f t="shared" si="220"/>
        <v>关</v>
      </c>
      <c r="L898" s="105" t="str">
        <f t="shared" si="221"/>
        <v>关</v>
      </c>
      <c r="M898" s="601"/>
      <c r="T898" s="75" t="str">
        <f t="shared" si="216"/>
        <v>3.31.6</v>
      </c>
    </row>
    <row r="899" spans="1:22" ht="45" customHeight="1">
      <c r="A899" s="603"/>
      <c r="B899" s="602"/>
      <c r="C899" s="105" t="s">
        <v>3</v>
      </c>
      <c r="D899" s="106" t="s">
        <v>40</v>
      </c>
      <c r="E899" s="101" t="s">
        <v>41</v>
      </c>
      <c r="F899" s="105" t="s">
        <v>42</v>
      </c>
      <c r="G899" s="105" t="str">
        <f t="shared" ref="G899:G905" si="224">IFERROR(IF(FIND("开",G898,1),"开","关"),"关")</f>
        <v>关</v>
      </c>
      <c r="H899" s="105" t="str">
        <f t="shared" si="218"/>
        <v>关</v>
      </c>
      <c r="I899" s="106"/>
      <c r="J899" s="101"/>
      <c r="K899" s="105" t="str">
        <f t="shared" si="220"/>
        <v>关</v>
      </c>
      <c r="L899" s="105" t="str">
        <f t="shared" si="221"/>
        <v>关</v>
      </c>
      <c r="M899" s="601"/>
      <c r="N899" s="75"/>
      <c r="O899" s="75"/>
      <c r="P899" s="75"/>
      <c r="S899" s="74">
        <f>ROUND(R899*0.03,2)</f>
        <v>0</v>
      </c>
      <c r="T899" s="75" t="str">
        <f t="shared" si="216"/>
        <v>3.31.6</v>
      </c>
      <c r="U899" s="74" t="b">
        <f>TEXT(O899,"0.00")=TEXT(R899,"0.00")</f>
        <v>1</v>
      </c>
      <c r="V899" s="74">
        <f>S899-P899</f>
        <v>0</v>
      </c>
    </row>
    <row r="900" spans="1:22" ht="45" customHeight="1">
      <c r="A900" s="603"/>
      <c r="B900" s="602"/>
      <c r="C900" s="105" t="s">
        <v>3</v>
      </c>
      <c r="D900" s="106" t="s">
        <v>45</v>
      </c>
      <c r="E900" s="495" t="s">
        <v>46</v>
      </c>
      <c r="F900" s="105" t="str">
        <f t="shared" ref="F900:F905" si="225">IFERROR(IF(FIND("开",F899,1),"开","关"),"关")</f>
        <v>关</v>
      </c>
      <c r="G900" s="105" t="str">
        <f t="shared" si="224"/>
        <v>关</v>
      </c>
      <c r="H900" s="105" t="str">
        <f t="shared" si="218"/>
        <v>关</v>
      </c>
      <c r="I900" s="74"/>
      <c r="J900" s="77"/>
      <c r="K900" s="105" t="str">
        <f t="shared" si="220"/>
        <v>关</v>
      </c>
      <c r="L900" s="105" t="str">
        <f t="shared" si="221"/>
        <v>关</v>
      </c>
      <c r="M900" s="601"/>
      <c r="N900" s="75"/>
      <c r="O900" s="75"/>
      <c r="P900" s="75"/>
      <c r="S900" s="74">
        <f>ROUND(R900*0.03,2)</f>
        <v>0</v>
      </c>
      <c r="T900" s="75" t="str">
        <f t="shared" si="216"/>
        <v>3.31.6</v>
      </c>
      <c r="U900" s="74" t="b">
        <f>TEXT(O900,"0.00")=TEXT(R900,"0.00")</f>
        <v>1</v>
      </c>
      <c r="V900" s="74">
        <f>S900-P900</f>
        <v>0</v>
      </c>
    </row>
    <row r="901" spans="1:22" ht="45" customHeight="1">
      <c r="A901" s="603" t="s">
        <v>168</v>
      </c>
      <c r="B901" s="602" t="s">
        <v>169</v>
      </c>
      <c r="C901" s="105" t="s">
        <v>3</v>
      </c>
      <c r="D901" s="106" t="s">
        <v>130</v>
      </c>
      <c r="E901" s="496" t="s">
        <v>131</v>
      </c>
      <c r="F901" s="105" t="str">
        <f t="shared" si="225"/>
        <v>关</v>
      </c>
      <c r="G901" s="105" t="str">
        <f t="shared" si="224"/>
        <v>关</v>
      </c>
      <c r="H901" s="105" t="s">
        <v>42</v>
      </c>
      <c r="I901" s="106"/>
      <c r="J901" s="101"/>
      <c r="K901" s="105" t="str">
        <f t="shared" si="220"/>
        <v>关</v>
      </c>
      <c r="L901" s="105" t="str">
        <f t="shared" si="221"/>
        <v>关</v>
      </c>
      <c r="M901" s="601">
        <v>1</v>
      </c>
      <c r="N901" s="75"/>
      <c r="O901" s="75"/>
      <c r="T901" s="75" t="e">
        <f t="shared" si="216"/>
        <v>#VALUE!</v>
      </c>
      <c r="U901" s="74" t="b">
        <f>TEXT(O901,"0.00")=TEXT(R901,"0.00")</f>
        <v>1</v>
      </c>
    </row>
    <row r="902" spans="1:22" ht="45" customHeight="1">
      <c r="A902" s="603"/>
      <c r="B902" s="602"/>
      <c r="C902" s="105" t="s">
        <v>3</v>
      </c>
      <c r="D902" s="106" t="s">
        <v>171</v>
      </c>
      <c r="E902" s="101" t="s">
        <v>44</v>
      </c>
      <c r="F902" s="105" t="str">
        <f t="shared" si="225"/>
        <v>关</v>
      </c>
      <c r="G902" s="105" t="str">
        <f t="shared" si="224"/>
        <v>关</v>
      </c>
      <c r="H902" s="105" t="str">
        <f>IFERROR(IF(FIND("开",H901,1),"开","关"),"关")</f>
        <v>关</v>
      </c>
      <c r="J902" s="77"/>
      <c r="K902" s="105" t="str">
        <f t="shared" si="220"/>
        <v>关</v>
      </c>
      <c r="L902" s="105" t="str">
        <f t="shared" si="221"/>
        <v>关</v>
      </c>
      <c r="M902" s="601"/>
      <c r="T902" s="75" t="e">
        <f t="shared" si="216"/>
        <v>#VALUE!</v>
      </c>
    </row>
    <row r="903" spans="1:22" ht="45" customHeight="1">
      <c r="A903" s="603"/>
      <c r="B903" s="602"/>
      <c r="C903" s="105" t="s">
        <v>8</v>
      </c>
      <c r="E903" s="77"/>
      <c r="F903" s="105" t="str">
        <f t="shared" si="225"/>
        <v>关</v>
      </c>
      <c r="G903" s="105" t="str">
        <f t="shared" si="224"/>
        <v>关</v>
      </c>
      <c r="H903" s="105" t="str">
        <f>IFERROR(IF(FIND("开",H902,1),"开","关"),"关")</f>
        <v>关</v>
      </c>
      <c r="I903" s="106" t="s">
        <v>172</v>
      </c>
      <c r="J903" s="101" t="s">
        <v>126</v>
      </c>
      <c r="K903" s="105" t="str">
        <f t="shared" si="220"/>
        <v>关</v>
      </c>
      <c r="L903" s="105" t="str">
        <f t="shared" si="221"/>
        <v>关</v>
      </c>
      <c r="M903" s="601"/>
      <c r="T903" s="75" t="e">
        <f t="shared" si="216"/>
        <v>#VALUE!</v>
      </c>
    </row>
    <row r="904" spans="1:22" ht="45" customHeight="1">
      <c r="A904" s="89" t="s">
        <v>459</v>
      </c>
      <c r="B904" s="111"/>
      <c r="C904" s="105"/>
      <c r="E904" s="77"/>
      <c r="F904" s="105" t="str">
        <f t="shared" si="225"/>
        <v>关</v>
      </c>
      <c r="G904" s="105" t="str">
        <f t="shared" si="224"/>
        <v>关</v>
      </c>
      <c r="H904" s="105" t="str">
        <f>IFERROR(IF(FIND("开",H903,1),"开","关"),"关")</f>
        <v>关</v>
      </c>
      <c r="I904" s="106"/>
      <c r="J904" s="101"/>
      <c r="K904" s="105" t="str">
        <f t="shared" si="220"/>
        <v>关</v>
      </c>
      <c r="L904" s="105" t="str">
        <f t="shared" si="221"/>
        <v>关</v>
      </c>
      <c r="T904" s="75" t="str">
        <f t="shared" si="216"/>
        <v>3.32</v>
      </c>
    </row>
    <row r="905" spans="1:22" ht="192.95" customHeight="1">
      <c r="A905" s="90" t="s">
        <v>460</v>
      </c>
      <c r="B905" s="721" t="s">
        <v>751</v>
      </c>
      <c r="C905" s="497" t="s">
        <v>461</v>
      </c>
      <c r="D905" s="93"/>
      <c r="E905" s="105"/>
      <c r="F905" s="105" t="str">
        <f t="shared" si="225"/>
        <v>关</v>
      </c>
      <c r="G905" s="105" t="str">
        <f t="shared" si="224"/>
        <v>关</v>
      </c>
      <c r="H905" s="105" t="str">
        <f>IFERROR(IF(FIND("开",H904,1),"开","关"),"关")</f>
        <v>关</v>
      </c>
      <c r="I905" s="106"/>
      <c r="J905" s="101"/>
      <c r="K905" s="105" t="str">
        <f t="shared" si="220"/>
        <v>关</v>
      </c>
      <c r="L905" s="105" t="str">
        <f t="shared" si="221"/>
        <v>关</v>
      </c>
      <c r="T905" s="75" t="str">
        <f t="shared" si="216"/>
        <v>3.32.1</v>
      </c>
    </row>
    <row r="906" spans="1:22" ht="60" customHeight="1">
      <c r="A906" s="595" t="s">
        <v>463</v>
      </c>
      <c r="B906" s="684" t="s">
        <v>464</v>
      </c>
      <c r="C906" s="105" t="s">
        <v>178</v>
      </c>
      <c r="D906" s="106"/>
      <c r="E906" s="106"/>
      <c r="I906" s="106" t="s">
        <v>179</v>
      </c>
      <c r="J906" s="498" t="s">
        <v>149</v>
      </c>
      <c r="M906" s="598">
        <v>1</v>
      </c>
      <c r="N906" s="75"/>
      <c r="O906" s="75"/>
      <c r="Q906" s="75"/>
      <c r="T906" s="75"/>
    </row>
    <row r="907" spans="1:22" ht="60" customHeight="1">
      <c r="A907" s="634"/>
      <c r="B907" s="634"/>
      <c r="C907" s="105" t="s">
        <v>3</v>
      </c>
      <c r="D907" s="106" t="s">
        <v>58</v>
      </c>
      <c r="E907" s="499" t="s">
        <v>465</v>
      </c>
      <c r="F907" s="105" t="str">
        <f>IFERROR(IF(FIND("开",F905,1),"开","关"),"关")</f>
        <v>关</v>
      </c>
      <c r="G907" s="105" t="str">
        <f>IFERROR(IF(FIND("开",G905,1),"开","关"),"关")</f>
        <v>关</v>
      </c>
      <c r="H907" s="105" t="str">
        <f>IFERROR(IF(FIND("开",H905,1),"开","关"),"关")</f>
        <v>关</v>
      </c>
      <c r="I907" s="106"/>
      <c r="J907" s="101"/>
      <c r="K907" s="105" t="str">
        <f>IFERROR(IF(FIND("开",K905,1),"开","关"),"关")</f>
        <v>关</v>
      </c>
      <c r="L907" s="105" t="str">
        <f>IFERROR(IF(FIND("开",L905,1),"开","关"),"关")</f>
        <v>关</v>
      </c>
      <c r="M907" s="634"/>
      <c r="N907" s="75" t="s">
        <v>24</v>
      </c>
      <c r="O907" s="75" t="str">
        <f>MID(E907,FIND("setting",E907,1)+8,FIND("kg",E907,1)-FIND("setting",E907,1)-8)</f>
        <v xml:space="preserve"> 739.05</v>
      </c>
      <c r="Q907" s="75" t="str">
        <f>SUBSTITUTE(T907&amp;N907," ","")</f>
        <v>3.32.5DMF</v>
      </c>
      <c r="R907" s="74">
        <f>VLOOKUP(Q907,MOR投料表!A:L,9,FALSE)</f>
        <v>739.05</v>
      </c>
      <c r="T907" s="75" t="s">
        <v>466</v>
      </c>
      <c r="U907" s="74" t="b">
        <f>TEXT(O907,"0.00")=TEXT(R907,"0.00")</f>
        <v>1</v>
      </c>
    </row>
    <row r="908" spans="1:22" ht="45" customHeight="1">
      <c r="A908" s="634"/>
      <c r="B908" s="634"/>
      <c r="C908" s="105" t="s">
        <v>3</v>
      </c>
      <c r="D908" s="106" t="s">
        <v>61</v>
      </c>
      <c r="E908" s="101" t="s">
        <v>62</v>
      </c>
      <c r="F908" s="105" t="str">
        <f>IFERROR(IF(FIND("开",F907,1),"开","关"),"关")</f>
        <v>关</v>
      </c>
      <c r="G908" s="105" t="str">
        <f>IFERROR(IF(FIND("开",G907,1),"开","关"),"关")</f>
        <v>关</v>
      </c>
      <c r="H908" s="105" t="str">
        <f>IFERROR(IF(FIND("开",H907,1),"开","关"),"关")</f>
        <v>关</v>
      </c>
      <c r="I908" s="106"/>
      <c r="J908" s="101"/>
      <c r="K908" s="105" t="str">
        <f t="shared" ref="K908:L914" si="226">IFERROR(IF(FIND("开",K907,1),"开","关"),"关")</f>
        <v>关</v>
      </c>
      <c r="L908" s="105" t="str">
        <f t="shared" si="226"/>
        <v>关</v>
      </c>
      <c r="M908" s="634"/>
      <c r="T908" s="75" t="str">
        <f t="shared" ref="T908:T914" si="227">IF(ISBLANK(A908),T907,LEFT(A908,FIND(" ",A908,1)-1))</f>
        <v>3.32.5</v>
      </c>
    </row>
    <row r="909" spans="1:22" ht="45" customHeight="1">
      <c r="A909" s="634"/>
      <c r="B909" s="634"/>
      <c r="C909" s="105" t="s">
        <v>3</v>
      </c>
      <c r="D909" s="106" t="s">
        <v>35</v>
      </c>
      <c r="E909" s="101" t="s">
        <v>63</v>
      </c>
      <c r="F909" s="105" t="s">
        <v>37</v>
      </c>
      <c r="G909" s="105" t="str">
        <f>IFERROR(IF(FIND("开",G908,1),"开","关"),"关")</f>
        <v>关</v>
      </c>
      <c r="H909" s="105" t="str">
        <f>IFERROR(IF(FIND("开",H908,1),"开","关"),"关")</f>
        <v>关</v>
      </c>
      <c r="I909" s="106"/>
      <c r="J909" s="101"/>
      <c r="K909" s="105" t="str">
        <f t="shared" si="226"/>
        <v>关</v>
      </c>
      <c r="L909" s="105" t="str">
        <f t="shared" si="226"/>
        <v>关</v>
      </c>
      <c r="M909" s="634"/>
      <c r="T909" s="75" t="str">
        <f t="shared" si="227"/>
        <v>3.32.5</v>
      </c>
    </row>
    <row r="910" spans="1:22" ht="45" customHeight="1">
      <c r="A910" s="634"/>
      <c r="B910" s="634"/>
      <c r="C910" s="105" t="s">
        <v>3</v>
      </c>
      <c r="D910" s="106" t="s">
        <v>64</v>
      </c>
      <c r="E910" s="101" t="s">
        <v>65</v>
      </c>
      <c r="F910" s="105" t="str">
        <f>IFERROR(IF(FIND("开",F909,1),"开","关"),"关")</f>
        <v>开</v>
      </c>
      <c r="G910" s="105" t="s">
        <v>37</v>
      </c>
      <c r="H910" s="105" t="str">
        <f>IFERROR(IF(FIND("开",H909,1),"开","关"),"关")</f>
        <v>关</v>
      </c>
      <c r="I910" s="106"/>
      <c r="J910" s="101"/>
      <c r="K910" s="105" t="str">
        <f t="shared" si="226"/>
        <v>关</v>
      </c>
      <c r="L910" s="105" t="str">
        <f t="shared" si="226"/>
        <v>关</v>
      </c>
      <c r="M910" s="634"/>
      <c r="T910" s="75" t="str">
        <f t="shared" si="227"/>
        <v>3.32.5</v>
      </c>
    </row>
    <row r="911" spans="1:22" ht="45" customHeight="1">
      <c r="A911" s="634"/>
      <c r="B911" s="634"/>
      <c r="C911" s="105" t="s">
        <v>3</v>
      </c>
      <c r="D911" s="106" t="s">
        <v>52</v>
      </c>
      <c r="E911" s="101" t="s">
        <v>467</v>
      </c>
      <c r="F911" s="105" t="str">
        <f>IFERROR(IF(FIND("开",F910,1),"开","关"),"关")</f>
        <v>开</v>
      </c>
      <c r="G911" s="105" t="str">
        <f>IFERROR(IF(FIND("开",G910,1),"开","关"),"关")</f>
        <v>开</v>
      </c>
      <c r="H911" s="105" t="s">
        <v>37</v>
      </c>
      <c r="I911" s="106"/>
      <c r="J911" s="101"/>
      <c r="K911" s="105" t="str">
        <f t="shared" si="226"/>
        <v>关</v>
      </c>
      <c r="L911" s="105" t="str">
        <f t="shared" si="226"/>
        <v>关</v>
      </c>
      <c r="M911" s="634"/>
      <c r="T911" s="75" t="str">
        <f t="shared" si="227"/>
        <v>3.32.5</v>
      </c>
    </row>
    <row r="912" spans="1:22" ht="45" customHeight="1">
      <c r="A912" s="634"/>
      <c r="B912" s="634"/>
      <c r="C912" s="105" t="s">
        <v>3</v>
      </c>
      <c r="D912" s="106" t="s">
        <v>66</v>
      </c>
      <c r="E912" s="500" t="s">
        <v>468</v>
      </c>
      <c r="F912" s="105" t="str">
        <f>IFERROR(IF(FIND("开",F911,1),"开","关"),"关")</f>
        <v>开</v>
      </c>
      <c r="G912" s="105" t="str">
        <f>IFERROR(IF(FIND("开",G911,1),"开","关"),"关")</f>
        <v>开</v>
      </c>
      <c r="H912" s="105" t="str">
        <f>IFERROR(IF(FIND("开",H911,1),"开","关"),"关")</f>
        <v>开</v>
      </c>
      <c r="I912" s="106"/>
      <c r="J912" s="101"/>
      <c r="K912" s="105" t="str">
        <f t="shared" si="226"/>
        <v>关</v>
      </c>
      <c r="L912" s="105" t="str">
        <f t="shared" si="226"/>
        <v>关</v>
      </c>
      <c r="M912" s="634"/>
      <c r="T912" s="75" t="str">
        <f t="shared" si="227"/>
        <v>3.32.5</v>
      </c>
    </row>
    <row r="913" spans="1:38" ht="45" customHeight="1">
      <c r="A913" s="634"/>
      <c r="B913" s="634"/>
      <c r="C913" s="105" t="s">
        <v>3</v>
      </c>
      <c r="D913" s="106" t="s">
        <v>130</v>
      </c>
      <c r="E913" s="101" t="s">
        <v>469</v>
      </c>
      <c r="F913" s="105" t="str">
        <f>IFERROR(IF(FIND("开",F912,1),"开","关"),"关")</f>
        <v>开</v>
      </c>
      <c r="G913" s="105" t="str">
        <f>IFERROR(IF(FIND("开",G912,1),"开","关"),"关")</f>
        <v>开</v>
      </c>
      <c r="H913" s="105" t="s">
        <v>42</v>
      </c>
      <c r="I913" s="106"/>
      <c r="J913" s="101"/>
      <c r="K913" s="105" t="str">
        <f t="shared" si="226"/>
        <v>关</v>
      </c>
      <c r="L913" s="105" t="str">
        <f t="shared" si="226"/>
        <v>关</v>
      </c>
      <c r="M913" s="634"/>
      <c r="N913" s="76"/>
      <c r="O913" s="76"/>
      <c r="P913" s="76"/>
      <c r="Q913" s="76"/>
      <c r="T913" s="75" t="str">
        <f t="shared" si="227"/>
        <v>3.32.5</v>
      </c>
    </row>
    <row r="914" spans="1:38" ht="45" customHeight="1">
      <c r="A914" s="634"/>
      <c r="B914" s="634"/>
      <c r="C914" s="105" t="s">
        <v>3</v>
      </c>
      <c r="D914" s="106" t="s">
        <v>52</v>
      </c>
      <c r="E914" s="101" t="s">
        <v>470</v>
      </c>
      <c r="F914" s="105" t="str">
        <f>IFERROR(IF(FIND("开",F913,1),"开","关"),"关")</f>
        <v>开</v>
      </c>
      <c r="G914" s="105" t="str">
        <f>IFERROR(IF(FIND("开",G913,1),"开","关"),"关")</f>
        <v>开</v>
      </c>
      <c r="H914" s="105" t="s">
        <v>37</v>
      </c>
      <c r="I914" s="106"/>
      <c r="J914" s="101"/>
      <c r="K914" s="105" t="str">
        <f t="shared" si="226"/>
        <v>关</v>
      </c>
      <c r="L914" s="105" t="str">
        <f t="shared" si="226"/>
        <v>关</v>
      </c>
      <c r="M914" s="634"/>
      <c r="N914" s="76"/>
      <c r="O914" s="76"/>
      <c r="P914" s="76"/>
      <c r="Q914" s="76"/>
      <c r="T914" s="75" t="str">
        <f t="shared" si="227"/>
        <v>3.32.5</v>
      </c>
    </row>
    <row r="915" spans="1:38" ht="45" customHeight="1">
      <c r="A915" s="634"/>
      <c r="B915" s="634"/>
      <c r="C915" s="105" t="s">
        <v>3</v>
      </c>
      <c r="D915" s="106" t="s">
        <v>471</v>
      </c>
      <c r="E915" s="501" t="s">
        <v>472</v>
      </c>
      <c r="I915" s="106"/>
      <c r="J915" s="101"/>
      <c r="M915" s="634"/>
      <c r="N915" s="76"/>
      <c r="O915" s="76"/>
      <c r="P915" s="76"/>
      <c r="Q915" s="76"/>
      <c r="T915" s="75"/>
    </row>
    <row r="916" spans="1:38" ht="45" customHeight="1">
      <c r="A916" s="634"/>
      <c r="B916" s="634"/>
      <c r="C916" s="105" t="s">
        <v>3</v>
      </c>
      <c r="D916" s="106" t="s">
        <v>473</v>
      </c>
      <c r="E916" s="502" t="s">
        <v>474</v>
      </c>
      <c r="F916" s="105" t="str">
        <f>IFERROR(IF(FIND("开",F914,1),"开","关"),"关")</f>
        <v>开</v>
      </c>
      <c r="G916" s="105" t="str">
        <f>IFERROR(IF(FIND("开",G914,1),"开","关"),"关")</f>
        <v>开</v>
      </c>
      <c r="H916" s="105" t="str">
        <f>IFERROR(IF(FIND("开",H914,1),"开","关"),"关")</f>
        <v>开</v>
      </c>
      <c r="I916" s="106"/>
      <c r="J916" s="101"/>
      <c r="K916" s="105" t="str">
        <f>IFERROR(IF(FIND("开",K914,1),"开","关"),"关")</f>
        <v>关</v>
      </c>
      <c r="L916" s="105" t="str">
        <f>IFERROR(IF(FIND("开",L914,1),"开","关"),"关")</f>
        <v>关</v>
      </c>
      <c r="M916" s="634"/>
      <c r="N916" s="76"/>
      <c r="O916" s="76"/>
      <c r="P916" s="76"/>
      <c r="Q916" s="76"/>
      <c r="T916" s="75" t="str">
        <f>IF(ISBLANK(A916),T914,LEFT(A916,FIND(" ",A916,1)-1))</f>
        <v>3.32.5</v>
      </c>
      <c r="U916" s="74" t="b">
        <f>TEXT(O916,"0.00")=TEXT(R916,"0.00")</f>
        <v>1</v>
      </c>
    </row>
    <row r="917" spans="1:38" ht="45" customHeight="1">
      <c r="A917" s="634"/>
      <c r="B917" s="634"/>
      <c r="C917" s="105" t="s">
        <v>3</v>
      </c>
      <c r="D917" s="106" t="s">
        <v>70</v>
      </c>
      <c r="E917" s="101" t="s">
        <v>71</v>
      </c>
      <c r="F917" s="105" t="str">
        <f>IFERROR(IF(FIND("开",F916,1),"开","关"),"关")</f>
        <v>开</v>
      </c>
      <c r="G917" s="105" t="s">
        <v>42</v>
      </c>
      <c r="H917" s="105" t="str">
        <f>IFERROR(IF(FIND("开",H916,1),"开","关"),"关")</f>
        <v>开</v>
      </c>
      <c r="I917" s="106"/>
      <c r="J917" s="101"/>
      <c r="K917" s="105" t="str">
        <f>IFERROR(IF(FIND("开",K916,1),"开","关"),"关")</f>
        <v>关</v>
      </c>
      <c r="L917" s="105" t="str">
        <f>IFERROR(IF(FIND("开",L916,1),"开","关"),"关")</f>
        <v>关</v>
      </c>
      <c r="M917" s="634"/>
      <c r="T917" s="75" t="str">
        <f>IF(ISBLANK(A917),T916,LEFT(A917,FIND(" ",A917,1)-1))</f>
        <v>3.32.5</v>
      </c>
    </row>
    <row r="918" spans="1:38" ht="45" customHeight="1">
      <c r="A918" s="634"/>
      <c r="B918" s="634"/>
      <c r="C918" s="105" t="s">
        <v>3</v>
      </c>
      <c r="D918" s="106" t="s">
        <v>40</v>
      </c>
      <c r="E918" s="101" t="s">
        <v>41</v>
      </c>
      <c r="F918" s="105" t="s">
        <v>42</v>
      </c>
      <c r="G918" s="105" t="str">
        <f>IFERROR(IF(FIND("开",G917,1),"开","关"),"关")</f>
        <v>关</v>
      </c>
      <c r="H918" s="105" t="str">
        <f>IFERROR(IF(FIND("开",H917,1),"开","关"),"关")</f>
        <v>开</v>
      </c>
      <c r="I918" s="106"/>
      <c r="J918" s="101"/>
      <c r="K918" s="105" t="str">
        <f>IFERROR(IF(FIND("开",K917,1),"开","关"),"关")</f>
        <v>关</v>
      </c>
      <c r="L918" s="105" t="str">
        <f>IFERROR(IF(FIND("开",L917,1),"开","关"),"关")</f>
        <v>关</v>
      </c>
      <c r="M918" s="634"/>
      <c r="T918" s="75" t="str">
        <f>IF(ISBLANK(A918),T917,LEFT(A918,FIND(" ",A918,1)-1))</f>
        <v>3.32.5</v>
      </c>
    </row>
    <row r="919" spans="1:38" ht="45" customHeight="1">
      <c r="A919" s="634"/>
      <c r="B919" s="634"/>
      <c r="C919" s="105" t="s">
        <v>3</v>
      </c>
      <c r="D919" s="106" t="s">
        <v>475</v>
      </c>
      <c r="E919" s="503" t="s">
        <v>476</v>
      </c>
      <c r="F919" s="105" t="str">
        <f>IFERROR(IF(FIND("开",#REF!,1),"开","关"),"关")</f>
        <v>关</v>
      </c>
      <c r="G919" s="105" t="str">
        <f>IFERROR(IF(FIND("开",#REF!,1),"开","关"),"关")</f>
        <v>关</v>
      </c>
      <c r="H919" s="105" t="str">
        <f>IFERROR(IF(FIND("开",#REF!,1),"开","关"),"关")</f>
        <v>关</v>
      </c>
      <c r="I919" s="106"/>
      <c r="J919" s="101"/>
      <c r="K919" s="105" t="str">
        <f>IFERROR(IF(FIND("开",#REF!,1),"开","关"),"关")</f>
        <v>关</v>
      </c>
      <c r="L919" s="105" t="str">
        <f>IFERROR(IF(FIND("开",#REF!,1),"开","关"),"关")</f>
        <v>关</v>
      </c>
      <c r="M919" s="635"/>
      <c r="T919" s="75" t="e">
        <f>IF(ISBLANK(A919),#REF!,LEFT(A919,FIND(" ",A919,1)-1))</f>
        <v>#REF!</v>
      </c>
    </row>
    <row r="920" spans="1:38" ht="45" customHeight="1">
      <c r="A920" s="603" t="s">
        <v>477</v>
      </c>
      <c r="B920" s="623" t="s">
        <v>478</v>
      </c>
      <c r="C920" s="105" t="s">
        <v>3</v>
      </c>
      <c r="D920" s="106" t="s">
        <v>130</v>
      </c>
      <c r="E920" s="101" t="s">
        <v>479</v>
      </c>
      <c r="F920" s="105" t="str">
        <f t="shared" ref="F920:G922" si="228">IFERROR(IF(FIND("开",F919,1),"开","关"),"关")</f>
        <v>关</v>
      </c>
      <c r="G920" s="105" t="str">
        <f t="shared" si="228"/>
        <v>关</v>
      </c>
      <c r="H920" s="105" t="s">
        <v>42</v>
      </c>
      <c r="I920" s="106"/>
      <c r="J920" s="101"/>
      <c r="K920" s="105" t="str">
        <f t="shared" ref="K920:L922" si="229">IFERROR(IF(FIND("开",K919,1),"开","关"),"关")</f>
        <v>关</v>
      </c>
      <c r="L920" s="105" t="str">
        <f t="shared" si="229"/>
        <v>关</v>
      </c>
      <c r="M920" s="601">
        <v>1</v>
      </c>
      <c r="T920" s="75" t="str">
        <f>IF(ISBLANK(A920),T919,LEFT(A920,FIND(" ",A920,1)-1))</f>
        <v>Adjust</v>
      </c>
    </row>
    <row r="921" spans="1:38" ht="54.6" customHeight="1">
      <c r="A921" s="603"/>
      <c r="B921" s="602"/>
      <c r="C921" s="105" t="s">
        <v>3</v>
      </c>
      <c r="D921" s="106" t="s">
        <v>52</v>
      </c>
      <c r="E921" s="504" t="s">
        <v>480</v>
      </c>
      <c r="F921" s="105" t="str">
        <f t="shared" si="228"/>
        <v>关</v>
      </c>
      <c r="G921" s="105" t="str">
        <f t="shared" si="228"/>
        <v>关</v>
      </c>
      <c r="H921" s="105" t="s">
        <v>37</v>
      </c>
      <c r="I921" s="106"/>
      <c r="J921" s="101"/>
      <c r="K921" s="105" t="str">
        <f t="shared" si="229"/>
        <v>关</v>
      </c>
      <c r="L921" s="105" t="str">
        <f t="shared" si="229"/>
        <v>关</v>
      </c>
      <c r="M921" s="601"/>
      <c r="T921" s="75" t="str">
        <f>IF(ISBLANK(A921),T920,LEFT(A921,FIND(" ",A921,1)-1))</f>
        <v>Adjust</v>
      </c>
    </row>
    <row r="922" spans="1:38" ht="45" customHeight="1">
      <c r="A922" s="603" t="s">
        <v>481</v>
      </c>
      <c r="B922" s="619" t="s">
        <v>750</v>
      </c>
      <c r="C922" s="105" t="s">
        <v>178</v>
      </c>
      <c r="D922" s="106"/>
      <c r="E922" s="101"/>
      <c r="F922" s="105" t="str">
        <f t="shared" si="228"/>
        <v>关</v>
      </c>
      <c r="G922" s="105" t="str">
        <f t="shared" si="228"/>
        <v>关</v>
      </c>
      <c r="H922" s="105" t="str">
        <f>IFERROR(IF(FIND("开",H921,1),"开","关"),"关")</f>
        <v>开</v>
      </c>
      <c r="I922" s="95" t="s">
        <v>74</v>
      </c>
      <c r="J922" s="505" t="s">
        <v>482</v>
      </c>
      <c r="K922" s="105" t="str">
        <f t="shared" si="229"/>
        <v>关</v>
      </c>
      <c r="L922" s="105" t="str">
        <f t="shared" si="229"/>
        <v>关</v>
      </c>
      <c r="M922" s="601">
        <v>1</v>
      </c>
      <c r="N922" s="75"/>
      <c r="O922" s="75"/>
      <c r="Q922" s="75"/>
      <c r="T922" s="75"/>
    </row>
    <row r="923" spans="1:38" s="121" customFormat="1" ht="45" customHeight="1">
      <c r="A923" s="603"/>
      <c r="B923" s="602"/>
      <c r="C923" s="105" t="s">
        <v>178</v>
      </c>
      <c r="D923" s="106"/>
      <c r="E923" s="101"/>
      <c r="F923" s="105"/>
      <c r="G923" s="105"/>
      <c r="H923" s="105"/>
      <c r="I923" s="84" t="s">
        <v>483</v>
      </c>
      <c r="J923" s="506" t="s">
        <v>484</v>
      </c>
      <c r="K923" s="105"/>
      <c r="L923" s="105"/>
      <c r="M923" s="601"/>
      <c r="N923" s="75" t="s">
        <v>24</v>
      </c>
      <c r="O923" s="75" t="str">
        <f>MID(J923,FIND("setting",J923,1)+8,FIND("kg",J923,1)-FIND("setting",J923,1)-8)</f>
        <v xml:space="preserve"> 616.20</v>
      </c>
      <c r="P923" s="74"/>
      <c r="Q923" s="75" t="str">
        <f>SUBSTITUTE(T923&amp;N923," ","")</f>
        <v>3.32.9DMF</v>
      </c>
      <c r="R923" s="74">
        <f>VLOOKUP(Q923,MOR投料表!A:L,9,FALSE)</f>
        <v>616.20000000000005</v>
      </c>
      <c r="S923" s="74"/>
      <c r="T923" s="75" t="s">
        <v>485</v>
      </c>
      <c r="U923" s="74" t="b">
        <f>TEXT(O923,"0.00")=TEXT(R923,"0.00")</f>
        <v>1</v>
      </c>
      <c r="V923" s="74"/>
      <c r="W923" s="76"/>
      <c r="X923" s="76"/>
      <c r="Y923" s="76"/>
      <c r="Z923" s="76"/>
      <c r="AA923" s="76"/>
      <c r="AB923" s="76"/>
      <c r="AC923" s="76"/>
      <c r="AD923" s="76"/>
      <c r="AE923" s="76"/>
      <c r="AF923" s="76"/>
      <c r="AG923" s="76"/>
      <c r="AH923" s="76"/>
      <c r="AI923" s="76"/>
      <c r="AJ923" s="76"/>
      <c r="AK923" s="76"/>
      <c r="AL923" s="76"/>
    </row>
    <row r="924" spans="1:38" s="121" customFormat="1" ht="45" customHeight="1">
      <c r="A924" s="603"/>
      <c r="B924" s="602"/>
      <c r="C924" s="105" t="s">
        <v>178</v>
      </c>
      <c r="D924" s="106"/>
      <c r="E924" s="101"/>
      <c r="F924" s="105" t="str">
        <f>IFERROR(IF(FIND("开",F922,1),"开","关"),"关")</f>
        <v>关</v>
      </c>
      <c r="G924" s="105" t="str">
        <f>IFERROR(IF(FIND("开",G922,1),"开","关"),"关")</f>
        <v>关</v>
      </c>
      <c r="H924" s="105" t="str">
        <f>IFERROR(IF(FIND("开",H922,1),"开","关"),"关")</f>
        <v>开</v>
      </c>
      <c r="I924" s="84" t="s">
        <v>61</v>
      </c>
      <c r="J924" s="507" t="s">
        <v>486</v>
      </c>
      <c r="K924" s="105" t="str">
        <f>IFERROR(IF(FIND("开",K922,1),"开","关"),"关")</f>
        <v>关</v>
      </c>
      <c r="L924" s="105" t="str">
        <f>IFERROR(IF(FIND("开",L922,1),"开","关"),"关")</f>
        <v>关</v>
      </c>
      <c r="M924" s="601"/>
      <c r="N924" s="74"/>
      <c r="O924" s="74"/>
      <c r="P924" s="74"/>
      <c r="Q924" s="74"/>
      <c r="R924" s="74"/>
      <c r="S924" s="74"/>
      <c r="T924" s="75">
        <f>IF(ISBLANK(A924),T922,LEFT(A924,FIND(" ",A924,1)-1))</f>
        <v>0</v>
      </c>
      <c r="U924" s="74"/>
      <c r="V924" s="74"/>
      <c r="W924" s="76"/>
      <c r="X924" s="76"/>
      <c r="Y924" s="76"/>
      <c r="Z924" s="76"/>
      <c r="AA924" s="76"/>
      <c r="AB924" s="76"/>
      <c r="AC924" s="76"/>
      <c r="AD924" s="76"/>
      <c r="AE924" s="76"/>
      <c r="AF924" s="76"/>
      <c r="AG924" s="76"/>
      <c r="AH924" s="76"/>
      <c r="AI924" s="76"/>
      <c r="AJ924" s="76"/>
      <c r="AK924" s="76"/>
      <c r="AL924" s="76"/>
    </row>
    <row r="925" spans="1:38" s="121" customFormat="1" ht="45" customHeight="1">
      <c r="A925" s="603"/>
      <c r="B925" s="602"/>
      <c r="C925" s="105" t="s">
        <v>178</v>
      </c>
      <c r="D925" s="106"/>
      <c r="E925" s="101"/>
      <c r="F925" s="105"/>
      <c r="G925" s="105"/>
      <c r="H925" s="105"/>
      <c r="I925" s="84" t="s">
        <v>112</v>
      </c>
      <c r="J925" s="508" t="s">
        <v>487</v>
      </c>
      <c r="K925" s="105"/>
      <c r="L925" s="105"/>
      <c r="M925" s="601"/>
      <c r="N925" s="74"/>
      <c r="O925" s="74"/>
      <c r="P925" s="74"/>
      <c r="Q925" s="74"/>
      <c r="R925" s="74"/>
      <c r="S925" s="74"/>
      <c r="T925" s="75"/>
      <c r="U925" s="74"/>
      <c r="V925" s="74"/>
      <c r="W925" s="76"/>
      <c r="X925" s="76"/>
      <c r="Y925" s="76"/>
      <c r="Z925" s="76"/>
      <c r="AA925" s="76"/>
      <c r="AB925" s="76"/>
      <c r="AC925" s="76"/>
      <c r="AD925" s="76"/>
      <c r="AE925" s="76"/>
      <c r="AF925" s="76"/>
      <c r="AG925" s="76"/>
      <c r="AH925" s="76"/>
      <c r="AI925" s="76"/>
      <c r="AJ925" s="76"/>
      <c r="AK925" s="76"/>
      <c r="AL925" s="76"/>
    </row>
    <row r="926" spans="1:38" s="121" customFormat="1" ht="45" customHeight="1">
      <c r="A926" s="603"/>
      <c r="B926" s="602"/>
      <c r="C926" s="105" t="s">
        <v>178</v>
      </c>
      <c r="D926" s="106"/>
      <c r="E926" s="101"/>
      <c r="F926" s="105"/>
      <c r="G926" s="105"/>
      <c r="H926" s="105"/>
      <c r="I926" s="84" t="s">
        <v>488</v>
      </c>
      <c r="J926" s="509" t="s">
        <v>489</v>
      </c>
      <c r="K926" s="105"/>
      <c r="L926" s="105"/>
      <c r="M926" s="601"/>
      <c r="N926" s="74"/>
      <c r="O926" s="74"/>
      <c r="P926" s="74"/>
      <c r="Q926" s="74"/>
      <c r="R926" s="74"/>
      <c r="S926" s="74"/>
      <c r="T926" s="75"/>
      <c r="U926" s="74"/>
      <c r="V926" s="74"/>
      <c r="W926" s="76"/>
      <c r="X926" s="76"/>
      <c r="Y926" s="76"/>
      <c r="Z926" s="76"/>
      <c r="AA926" s="76"/>
      <c r="AB926" s="76"/>
      <c r="AC926" s="76"/>
      <c r="AD926" s="76"/>
      <c r="AE926" s="76"/>
      <c r="AF926" s="76"/>
      <c r="AG926" s="76"/>
      <c r="AH926" s="76"/>
      <c r="AI926" s="76"/>
      <c r="AJ926" s="76"/>
      <c r="AK926" s="76"/>
      <c r="AL926" s="76"/>
    </row>
    <row r="927" spans="1:38" s="121" customFormat="1" ht="45" customHeight="1">
      <c r="A927" s="603"/>
      <c r="B927" s="602"/>
      <c r="C927" s="105" t="s">
        <v>178</v>
      </c>
      <c r="D927" s="106"/>
      <c r="E927" s="101"/>
      <c r="F927" s="105"/>
      <c r="G927" s="105"/>
      <c r="H927" s="105"/>
      <c r="I927" s="84" t="s">
        <v>87</v>
      </c>
      <c r="J927" s="510" t="s">
        <v>490</v>
      </c>
      <c r="K927" s="105"/>
      <c r="L927" s="105"/>
      <c r="M927" s="601"/>
      <c r="N927" s="74"/>
      <c r="O927" s="74"/>
      <c r="P927" s="74"/>
      <c r="Q927" s="74"/>
      <c r="R927" s="74"/>
      <c r="S927" s="74"/>
      <c r="T927" s="75"/>
      <c r="U927" s="74"/>
      <c r="V927" s="74"/>
      <c r="W927" s="76"/>
      <c r="X927" s="76"/>
      <c r="Y927" s="76"/>
      <c r="Z927" s="76"/>
      <c r="AA927" s="76"/>
      <c r="AB927" s="76"/>
      <c r="AC927" s="76"/>
      <c r="AD927" s="76"/>
      <c r="AE927" s="76"/>
      <c r="AF927" s="76"/>
      <c r="AG927" s="76"/>
      <c r="AH927" s="76"/>
      <c r="AI927" s="76"/>
      <c r="AJ927" s="76"/>
      <c r="AK927" s="76"/>
      <c r="AL927" s="76"/>
    </row>
    <row r="928" spans="1:38" s="121" customFormat="1" ht="45" customHeight="1">
      <c r="A928" s="603"/>
      <c r="B928" s="602"/>
      <c r="C928" s="105" t="s">
        <v>178</v>
      </c>
      <c r="D928" s="106"/>
      <c r="E928" s="101"/>
      <c r="F928" s="105"/>
      <c r="G928" s="105"/>
      <c r="H928" s="105"/>
      <c r="I928" s="2" t="s">
        <v>74</v>
      </c>
      <c r="J928" s="511" t="s">
        <v>491</v>
      </c>
      <c r="K928" s="105"/>
      <c r="L928" s="105"/>
      <c r="M928" s="601"/>
      <c r="N928" s="74"/>
      <c r="O928" s="74"/>
      <c r="P928" s="74"/>
      <c r="Q928" s="74"/>
      <c r="R928" s="74"/>
      <c r="S928" s="74"/>
      <c r="T928" s="75"/>
      <c r="U928" s="74"/>
      <c r="V928" s="74"/>
      <c r="W928" s="76"/>
      <c r="X928" s="76"/>
      <c r="Y928" s="76"/>
      <c r="Z928" s="76"/>
      <c r="AA928" s="76"/>
      <c r="AB928" s="76"/>
      <c r="AC928" s="76"/>
      <c r="AD928" s="76"/>
      <c r="AE928" s="76"/>
      <c r="AF928" s="76"/>
      <c r="AG928" s="76"/>
      <c r="AH928" s="76"/>
      <c r="AI928" s="76"/>
      <c r="AJ928" s="76"/>
      <c r="AK928" s="76"/>
      <c r="AL928" s="76"/>
    </row>
    <row r="929" spans="1:38" s="121" customFormat="1" ht="45" customHeight="1">
      <c r="A929" s="603"/>
      <c r="B929" s="602"/>
      <c r="C929" s="105" t="s">
        <v>178</v>
      </c>
      <c r="D929" s="106"/>
      <c r="E929" s="101"/>
      <c r="F929" s="105"/>
      <c r="G929" s="105"/>
      <c r="H929" s="105"/>
      <c r="I929" s="84" t="s">
        <v>179</v>
      </c>
      <c r="J929" s="512" t="s">
        <v>492</v>
      </c>
      <c r="K929" s="105"/>
      <c r="L929" s="105"/>
      <c r="M929" s="601"/>
      <c r="N929" s="74"/>
      <c r="O929" s="74"/>
      <c r="P929" s="74"/>
      <c r="Q929" s="74"/>
      <c r="R929" s="74"/>
      <c r="S929" s="74"/>
      <c r="T929" s="75"/>
      <c r="U929" s="74"/>
      <c r="V929" s="74"/>
      <c r="W929" s="76"/>
      <c r="X929" s="76"/>
      <c r="Y929" s="76"/>
      <c r="Z929" s="76"/>
      <c r="AA929" s="76"/>
      <c r="AB929" s="76"/>
      <c r="AC929" s="76"/>
      <c r="AD929" s="76"/>
      <c r="AE929" s="76"/>
      <c r="AF929" s="76"/>
      <c r="AG929" s="76"/>
      <c r="AH929" s="76"/>
      <c r="AI929" s="76"/>
      <c r="AJ929" s="76"/>
      <c r="AK929" s="76"/>
      <c r="AL929" s="76"/>
    </row>
    <row r="930" spans="1:38" s="121" customFormat="1" ht="45" customHeight="1">
      <c r="A930" s="603"/>
      <c r="B930" s="602"/>
      <c r="C930" s="105" t="s">
        <v>178</v>
      </c>
      <c r="D930" s="106"/>
      <c r="E930" s="101"/>
      <c r="F930" s="105"/>
      <c r="G930" s="105"/>
      <c r="H930" s="105"/>
      <c r="I930" s="84" t="s">
        <v>116</v>
      </c>
      <c r="J930" s="513" t="s">
        <v>493</v>
      </c>
      <c r="K930" s="105"/>
      <c r="L930" s="105"/>
      <c r="M930" s="601"/>
      <c r="N930" s="74"/>
      <c r="O930" s="74"/>
      <c r="P930" s="74"/>
      <c r="Q930" s="74"/>
      <c r="R930" s="74"/>
      <c r="S930" s="74"/>
      <c r="T930" s="75"/>
      <c r="U930" s="74"/>
      <c r="V930" s="74"/>
      <c r="W930" s="76"/>
      <c r="X930" s="76"/>
      <c r="Y930" s="76"/>
      <c r="Z930" s="76"/>
      <c r="AA930" s="76"/>
      <c r="AB930" s="76"/>
      <c r="AC930" s="76"/>
      <c r="AD930" s="76"/>
      <c r="AE930" s="76"/>
      <c r="AF930" s="76"/>
      <c r="AG930" s="76"/>
      <c r="AH930" s="76"/>
      <c r="AI930" s="76"/>
      <c r="AJ930" s="76"/>
      <c r="AK930" s="76"/>
      <c r="AL930" s="76"/>
    </row>
    <row r="931" spans="1:38" s="121" customFormat="1" ht="45" customHeight="1">
      <c r="A931" s="603"/>
      <c r="B931" s="602"/>
      <c r="C931" s="105" t="s">
        <v>494</v>
      </c>
      <c r="D931" s="106" t="s">
        <v>495</v>
      </c>
      <c r="E931" s="514" t="s">
        <v>32</v>
      </c>
      <c r="F931" s="105"/>
      <c r="G931" s="105"/>
      <c r="H931" s="105"/>
      <c r="I931" s="84"/>
      <c r="J931" s="77"/>
      <c r="K931" s="105"/>
      <c r="L931" s="105"/>
      <c r="M931" s="601"/>
      <c r="N931" s="74"/>
      <c r="O931" s="74"/>
      <c r="P931" s="74"/>
      <c r="Q931" s="74"/>
      <c r="R931" s="74"/>
      <c r="S931" s="74"/>
      <c r="T931" s="75"/>
      <c r="U931" s="74"/>
      <c r="V931" s="74"/>
      <c r="W931" s="76"/>
      <c r="X931" s="76"/>
      <c r="Y931" s="76"/>
      <c r="Z931" s="76"/>
      <c r="AA931" s="76"/>
      <c r="AB931" s="76"/>
      <c r="AC931" s="76"/>
      <c r="AD931" s="76"/>
      <c r="AE931" s="76"/>
      <c r="AF931" s="76"/>
      <c r="AG931" s="76"/>
      <c r="AH931" s="76"/>
      <c r="AI931" s="76"/>
      <c r="AJ931" s="76"/>
      <c r="AK931" s="76"/>
      <c r="AL931" s="76"/>
    </row>
    <row r="932" spans="1:38" s="121" customFormat="1" ht="45" customHeight="1">
      <c r="A932" s="603"/>
      <c r="B932" s="602"/>
      <c r="C932" s="105" t="s">
        <v>494</v>
      </c>
      <c r="D932" s="106" t="s">
        <v>496</v>
      </c>
      <c r="E932" s="515" t="s">
        <v>497</v>
      </c>
      <c r="F932" s="105"/>
      <c r="G932" s="105"/>
      <c r="H932" s="105"/>
      <c r="I932" s="84"/>
      <c r="J932" s="77"/>
      <c r="K932" s="105"/>
      <c r="L932" s="105"/>
      <c r="M932" s="601"/>
      <c r="N932" s="74"/>
      <c r="O932" s="74"/>
      <c r="P932" s="74"/>
      <c r="Q932" s="74"/>
      <c r="R932" s="74"/>
      <c r="S932" s="74"/>
      <c r="T932" s="75"/>
      <c r="U932" s="74"/>
      <c r="V932" s="74"/>
      <c r="W932" s="76"/>
      <c r="X932" s="76"/>
      <c r="Y932" s="76"/>
      <c r="Z932" s="76"/>
      <c r="AA932" s="76"/>
      <c r="AB932" s="76"/>
      <c r="AC932" s="76"/>
      <c r="AD932" s="76"/>
      <c r="AE932" s="76"/>
      <c r="AF932" s="76"/>
      <c r="AG932" s="76"/>
      <c r="AH932" s="76"/>
      <c r="AI932" s="76"/>
      <c r="AJ932" s="76"/>
      <c r="AK932" s="76"/>
      <c r="AL932" s="76"/>
    </row>
    <row r="933" spans="1:38" s="121" customFormat="1" ht="45" customHeight="1">
      <c r="A933" s="603"/>
      <c r="B933" s="602"/>
      <c r="C933" s="105" t="s">
        <v>178</v>
      </c>
      <c r="D933" s="106"/>
      <c r="E933" s="101"/>
      <c r="F933" s="105"/>
      <c r="G933" s="105"/>
      <c r="H933" s="105"/>
      <c r="I933" s="84" t="s">
        <v>87</v>
      </c>
      <c r="J933" s="516" t="s">
        <v>498</v>
      </c>
      <c r="K933" s="105"/>
      <c r="L933" s="105"/>
      <c r="M933" s="601"/>
      <c r="N933" s="74"/>
      <c r="O933" s="74"/>
      <c r="P933" s="74"/>
      <c r="Q933" s="74"/>
      <c r="R933" s="74"/>
      <c r="S933" s="74"/>
      <c r="T933" s="75"/>
      <c r="U933" s="74"/>
      <c r="V933" s="74"/>
      <c r="W933" s="76"/>
      <c r="X933" s="76"/>
      <c r="Y933" s="76"/>
      <c r="Z933" s="76"/>
      <c r="AA933" s="76"/>
      <c r="AB933" s="76"/>
      <c r="AC933" s="76"/>
      <c r="AD933" s="76"/>
      <c r="AE933" s="76"/>
      <c r="AF933" s="76"/>
      <c r="AG933" s="76"/>
      <c r="AH933" s="76"/>
      <c r="AI933" s="76"/>
      <c r="AJ933" s="76"/>
      <c r="AK933" s="76"/>
      <c r="AL933" s="76"/>
    </row>
    <row r="934" spans="1:38" s="121" customFormat="1" ht="45" customHeight="1">
      <c r="A934" s="603"/>
      <c r="B934" s="602"/>
      <c r="C934" s="105" t="s">
        <v>3</v>
      </c>
      <c r="D934" s="106" t="s">
        <v>35</v>
      </c>
      <c r="E934" s="101" t="s">
        <v>63</v>
      </c>
      <c r="F934" s="105" t="s">
        <v>37</v>
      </c>
      <c r="G934" s="105" t="str">
        <f>IFERROR(IF(FIND("开",G924,1),"开","关"),"关")</f>
        <v>关</v>
      </c>
      <c r="H934" s="105" t="str">
        <f>IFERROR(IF(FIND("开",H924,1),"开","关"),"关")</f>
        <v>开</v>
      </c>
      <c r="I934" s="84"/>
      <c r="J934" s="77"/>
      <c r="K934" s="105" t="str">
        <f>IFERROR(IF(FIND("开",K924,1),"开","关"),"关")</f>
        <v>关</v>
      </c>
      <c r="L934" s="105" t="str">
        <f>IFERROR(IF(FIND("开",L924,1),"开","关"),"关")</f>
        <v>关</v>
      </c>
      <c r="M934" s="601"/>
      <c r="N934" s="74"/>
      <c r="O934" s="74"/>
      <c r="P934" s="74"/>
      <c r="Q934" s="74"/>
      <c r="R934" s="74"/>
      <c r="S934" s="74"/>
      <c r="T934" s="75">
        <f>IF(ISBLANK(A934),T924,LEFT(A934,FIND(" ",A934,1)-1))</f>
        <v>0</v>
      </c>
      <c r="U934" s="74"/>
      <c r="V934" s="74"/>
      <c r="W934" s="76"/>
      <c r="X934" s="76"/>
      <c r="Y934" s="76"/>
      <c r="Z934" s="76"/>
      <c r="AA934" s="76"/>
      <c r="AB934" s="76"/>
      <c r="AC934" s="76"/>
      <c r="AD934" s="76"/>
      <c r="AE934" s="76"/>
      <c r="AF934" s="76"/>
      <c r="AG934" s="76"/>
      <c r="AH934" s="76"/>
      <c r="AI934" s="76"/>
      <c r="AJ934" s="76"/>
      <c r="AK934" s="76"/>
      <c r="AL934" s="76"/>
    </row>
    <row r="935" spans="1:38" s="121" customFormat="1" ht="45" customHeight="1">
      <c r="A935" s="603"/>
      <c r="B935" s="602"/>
      <c r="C935" s="105" t="s">
        <v>3</v>
      </c>
      <c r="D935" s="106" t="s">
        <v>499</v>
      </c>
      <c r="E935" s="517" t="s">
        <v>122</v>
      </c>
      <c r="F935" s="105" t="str">
        <f>IFERROR(IF(FIND("开",F934,1),"开","关"),"关")</f>
        <v>开</v>
      </c>
      <c r="G935" s="105" t="s">
        <v>29</v>
      </c>
      <c r="H935" s="105" t="str">
        <f>IFERROR(IF(FIND("开",H934,1),"开","关"),"关")</f>
        <v>开</v>
      </c>
      <c r="I935" s="84"/>
      <c r="J935" s="77"/>
      <c r="K935" s="105" t="str">
        <f>IFERROR(IF(FIND("开",K934,1),"开","关"),"关")</f>
        <v>关</v>
      </c>
      <c r="L935" s="105" t="str">
        <f>IFERROR(IF(FIND("开",L934,1),"开","关"),"关")</f>
        <v>关</v>
      </c>
      <c r="M935" s="601"/>
      <c r="N935" s="75"/>
      <c r="O935" s="75"/>
      <c r="P935" s="74"/>
      <c r="Q935" s="74"/>
      <c r="R935" s="74"/>
      <c r="S935" s="74"/>
      <c r="T935" s="75">
        <f>IF(ISBLANK(A935),T934,LEFT(A935,FIND(" ",A935,1)-1))</f>
        <v>0</v>
      </c>
      <c r="U935" s="74"/>
      <c r="V935" s="74"/>
      <c r="W935" s="76"/>
      <c r="X935" s="76"/>
      <c r="Y935" s="76"/>
      <c r="Z935" s="76"/>
      <c r="AA935" s="76"/>
      <c r="AB935" s="76"/>
      <c r="AC935" s="76"/>
      <c r="AD935" s="76"/>
      <c r="AE935" s="76"/>
      <c r="AF935" s="76"/>
      <c r="AG935" s="76"/>
      <c r="AH935" s="76"/>
      <c r="AI935" s="76"/>
      <c r="AJ935" s="76"/>
      <c r="AK935" s="76"/>
      <c r="AL935" s="76"/>
    </row>
    <row r="936" spans="1:38" s="121" customFormat="1" ht="45" customHeight="1">
      <c r="A936" s="603"/>
      <c r="B936" s="602"/>
      <c r="C936" s="105" t="s">
        <v>3</v>
      </c>
      <c r="D936" s="106" t="s">
        <v>500</v>
      </c>
      <c r="E936" s="518" t="s">
        <v>501</v>
      </c>
      <c r="F936" s="105"/>
      <c r="G936" s="105"/>
      <c r="H936" s="105"/>
      <c r="I936" s="84"/>
      <c r="J936" s="77"/>
      <c r="K936" s="105"/>
      <c r="L936" s="105"/>
      <c r="M936" s="601"/>
      <c r="N936" s="75"/>
      <c r="O936" s="75"/>
      <c r="P936" s="74"/>
      <c r="Q936" s="74"/>
      <c r="R936" s="74"/>
      <c r="S936" s="74"/>
      <c r="T936" s="75"/>
      <c r="U936" s="74"/>
      <c r="V936" s="74"/>
      <c r="W936" s="76"/>
      <c r="X936" s="76"/>
      <c r="Y936" s="76"/>
      <c r="Z936" s="76"/>
      <c r="AA936" s="76"/>
      <c r="AB936" s="76"/>
      <c r="AC936" s="76"/>
      <c r="AD936" s="76"/>
      <c r="AE936" s="76"/>
      <c r="AF936" s="76"/>
      <c r="AG936" s="76"/>
      <c r="AH936" s="76"/>
      <c r="AI936" s="76"/>
      <c r="AJ936" s="76"/>
      <c r="AK936" s="76"/>
      <c r="AL936" s="76"/>
    </row>
    <row r="937" spans="1:38" s="121" customFormat="1" ht="45" customHeight="1">
      <c r="A937" s="603"/>
      <c r="B937" s="602"/>
      <c r="C937" s="105" t="s">
        <v>3</v>
      </c>
      <c r="D937" s="106" t="s">
        <v>450</v>
      </c>
      <c r="E937" s="519" t="s">
        <v>502</v>
      </c>
      <c r="F937" s="105"/>
      <c r="G937" s="105"/>
      <c r="H937" s="105"/>
      <c r="I937" s="84"/>
      <c r="J937" s="77"/>
      <c r="K937" s="105"/>
      <c r="L937" s="105"/>
      <c r="M937" s="601"/>
      <c r="N937" s="75"/>
      <c r="O937" s="75"/>
      <c r="P937" s="74"/>
      <c r="Q937" s="74"/>
      <c r="R937" s="74"/>
      <c r="S937" s="74"/>
      <c r="T937" s="75"/>
      <c r="U937" s="74"/>
      <c r="V937" s="74"/>
      <c r="W937" s="76"/>
      <c r="X937" s="76"/>
      <c r="Y937" s="76"/>
      <c r="Z937" s="76"/>
      <c r="AA937" s="76"/>
      <c r="AB937" s="76"/>
      <c r="AC937" s="76"/>
      <c r="AD937" s="76"/>
      <c r="AE937" s="76"/>
      <c r="AF937" s="76"/>
      <c r="AG937" s="76"/>
      <c r="AH937" s="76"/>
      <c r="AI937" s="76"/>
      <c r="AJ937" s="76"/>
      <c r="AK937" s="76"/>
      <c r="AL937" s="76"/>
    </row>
    <row r="938" spans="1:38" s="121" customFormat="1" ht="45" customHeight="1">
      <c r="A938" s="603"/>
      <c r="B938" s="602"/>
      <c r="C938" s="105" t="s">
        <v>3</v>
      </c>
      <c r="D938" s="106" t="s">
        <v>503</v>
      </c>
      <c r="E938" s="520" t="s">
        <v>504</v>
      </c>
      <c r="F938" s="105"/>
      <c r="G938" s="105"/>
      <c r="H938" s="105"/>
      <c r="I938" s="84"/>
      <c r="J938" s="77"/>
      <c r="K938" s="105"/>
      <c r="L938" s="105"/>
      <c r="M938" s="601"/>
      <c r="N938" s="75"/>
      <c r="O938" s="75"/>
      <c r="P938" s="74"/>
      <c r="Q938" s="74"/>
      <c r="R938" s="74"/>
      <c r="S938" s="74"/>
      <c r="T938" s="75"/>
      <c r="U938" s="74"/>
      <c r="V938" s="74"/>
      <c r="W938" s="76"/>
      <c r="X938" s="76"/>
      <c r="Y938" s="76"/>
      <c r="Z938" s="76"/>
      <c r="AA938" s="76"/>
      <c r="AB938" s="76"/>
      <c r="AC938" s="76"/>
      <c r="AD938" s="76"/>
      <c r="AE938" s="76"/>
      <c r="AF938" s="76"/>
      <c r="AG938" s="76"/>
      <c r="AH938" s="76"/>
      <c r="AI938" s="76"/>
      <c r="AJ938" s="76"/>
      <c r="AK938" s="76"/>
      <c r="AL938" s="76"/>
    </row>
    <row r="939" spans="1:38" s="121" customFormat="1" ht="45" customHeight="1">
      <c r="A939" s="603"/>
      <c r="B939" s="602"/>
      <c r="C939" s="105" t="s">
        <v>3</v>
      </c>
      <c r="D939" s="106" t="s">
        <v>40</v>
      </c>
      <c r="E939" s="101" t="s">
        <v>41</v>
      </c>
      <c r="F939" s="105" t="s">
        <v>42</v>
      </c>
      <c r="G939" s="105" t="str">
        <f>IFERROR(IF(FIND("开",G935,1),"开","关"),"关")</f>
        <v>关</v>
      </c>
      <c r="H939" s="105" t="str">
        <f>IFERROR(IF(FIND("开",H935,1),"开","关"),"关")</f>
        <v>开</v>
      </c>
      <c r="I939" s="84"/>
      <c r="J939" s="77"/>
      <c r="K939" s="105" t="str">
        <f>IFERROR(IF(FIND("开",K935,1),"开","关"),"关")</f>
        <v>关</v>
      </c>
      <c r="L939" s="105" t="str">
        <f>IFERROR(IF(FIND("开",L935,1),"开","关"),"关")</f>
        <v>关</v>
      </c>
      <c r="M939" s="601"/>
      <c r="N939" s="75"/>
      <c r="O939" s="75"/>
      <c r="P939" s="74"/>
      <c r="Q939" s="74"/>
      <c r="R939" s="74"/>
      <c r="S939" s="74"/>
      <c r="T939" s="75">
        <f>IF(ISBLANK(A939),T935,LEFT(A939,FIND(" ",A939,1)-1))</f>
        <v>0</v>
      </c>
      <c r="U939" s="74" t="b">
        <f>TEXT(O939,"0.00")=TEXT(R939,"0.00")</f>
        <v>1</v>
      </c>
      <c r="V939" s="74"/>
      <c r="W939" s="76"/>
      <c r="X939" s="76"/>
      <c r="Y939" s="76"/>
      <c r="Z939" s="76"/>
      <c r="AA939" s="76"/>
      <c r="AB939" s="76"/>
      <c r="AC939" s="76"/>
      <c r="AD939" s="76"/>
      <c r="AE939" s="76"/>
      <c r="AF939" s="76"/>
      <c r="AG939" s="76"/>
      <c r="AH939" s="76"/>
      <c r="AI939" s="76"/>
      <c r="AJ939" s="76"/>
      <c r="AK939" s="76"/>
      <c r="AL939" s="76"/>
    </row>
    <row r="940" spans="1:38" s="121" customFormat="1" ht="45" customHeight="1">
      <c r="A940" s="603"/>
      <c r="B940" s="602"/>
      <c r="C940" s="105" t="s">
        <v>3</v>
      </c>
      <c r="D940" s="106" t="s">
        <v>505</v>
      </c>
      <c r="E940" s="101" t="s">
        <v>44</v>
      </c>
      <c r="F940" s="105" t="str">
        <f t="shared" ref="F940:H942" si="230">IFERROR(IF(FIND("开",F939,1),"开","关"),"关")</f>
        <v>关</v>
      </c>
      <c r="G940" s="105" t="str">
        <f t="shared" si="230"/>
        <v>关</v>
      </c>
      <c r="H940" s="105" t="str">
        <f t="shared" si="230"/>
        <v>开</v>
      </c>
      <c r="I940" s="84"/>
      <c r="J940" s="77"/>
      <c r="K940" s="105" t="str">
        <f t="shared" ref="K940:L942" si="231">IFERROR(IF(FIND("开",K939,1),"开","关"),"关")</f>
        <v>关</v>
      </c>
      <c r="L940" s="105" t="str">
        <f t="shared" si="231"/>
        <v>关</v>
      </c>
      <c r="M940" s="601"/>
      <c r="N940" s="75"/>
      <c r="O940" s="75"/>
      <c r="P940" s="74"/>
      <c r="Q940" s="74"/>
      <c r="R940" s="74"/>
      <c r="S940" s="74"/>
      <c r="T940" s="75"/>
      <c r="U940" s="74"/>
      <c r="V940" s="74"/>
      <c r="W940" s="76"/>
      <c r="X940" s="76"/>
      <c r="Y940" s="76"/>
      <c r="Z940" s="76"/>
      <c r="AA940" s="76"/>
      <c r="AB940" s="76"/>
      <c r="AC940" s="76"/>
      <c r="AD940" s="76"/>
      <c r="AE940" s="76"/>
      <c r="AF940" s="76"/>
      <c r="AG940" s="76"/>
      <c r="AH940" s="76"/>
      <c r="AI940" s="76"/>
      <c r="AJ940" s="76"/>
      <c r="AK940" s="76"/>
      <c r="AL940" s="76"/>
    </row>
    <row r="941" spans="1:38" s="121" customFormat="1" ht="45" customHeight="1">
      <c r="A941" s="603"/>
      <c r="B941" s="602"/>
      <c r="C941" s="105" t="s">
        <v>3</v>
      </c>
      <c r="D941" s="106" t="s">
        <v>475</v>
      </c>
      <c r="E941" s="521" t="s">
        <v>476</v>
      </c>
      <c r="F941" s="105" t="str">
        <f t="shared" si="230"/>
        <v>关</v>
      </c>
      <c r="G941" s="105" t="str">
        <f t="shared" si="230"/>
        <v>关</v>
      </c>
      <c r="H941" s="105" t="str">
        <f t="shared" si="230"/>
        <v>开</v>
      </c>
      <c r="I941" s="84"/>
      <c r="J941" s="77"/>
      <c r="K941" s="105" t="str">
        <f t="shared" si="231"/>
        <v>关</v>
      </c>
      <c r="L941" s="105" t="str">
        <f t="shared" si="231"/>
        <v>关</v>
      </c>
      <c r="M941" s="601"/>
      <c r="N941" s="74"/>
      <c r="O941" s="74"/>
      <c r="P941" s="74"/>
      <c r="Q941" s="74"/>
      <c r="R941" s="74"/>
      <c r="S941" s="74"/>
      <c r="T941" s="75">
        <f>IF(ISBLANK(A941),T939,LEFT(A941,FIND(" ",A941,1)-1))</f>
        <v>0</v>
      </c>
      <c r="U941" s="74"/>
      <c r="V941" s="74"/>
      <c r="W941" s="76"/>
      <c r="X941" s="76"/>
      <c r="Y941" s="76"/>
      <c r="Z941" s="76"/>
      <c r="AA941" s="76"/>
      <c r="AB941" s="76"/>
      <c r="AC941" s="76"/>
      <c r="AD941" s="76"/>
      <c r="AE941" s="76"/>
      <c r="AF941" s="76"/>
      <c r="AG941" s="76"/>
      <c r="AH941" s="76"/>
      <c r="AI941" s="76"/>
      <c r="AJ941" s="76"/>
      <c r="AK941" s="76"/>
      <c r="AL941" s="76"/>
    </row>
    <row r="942" spans="1:38" ht="45" customHeight="1">
      <c r="A942" s="603" t="s">
        <v>506</v>
      </c>
      <c r="B942" s="685" t="s">
        <v>507</v>
      </c>
      <c r="C942" s="105" t="s">
        <v>178</v>
      </c>
      <c r="D942" s="106"/>
      <c r="E942" s="101"/>
      <c r="F942" s="105" t="str">
        <f t="shared" si="230"/>
        <v>关</v>
      </c>
      <c r="G942" s="105" t="str">
        <f t="shared" si="230"/>
        <v>关</v>
      </c>
      <c r="H942" s="105" t="str">
        <f t="shared" si="230"/>
        <v>开</v>
      </c>
      <c r="I942" s="95" t="s">
        <v>74</v>
      </c>
      <c r="J942" s="522" t="s">
        <v>508</v>
      </c>
      <c r="K942" s="105" t="str">
        <f t="shared" si="231"/>
        <v>关</v>
      </c>
      <c r="L942" s="105" t="str">
        <f t="shared" si="231"/>
        <v>关</v>
      </c>
      <c r="M942" s="601">
        <v>1</v>
      </c>
      <c r="N942" s="75"/>
      <c r="O942" s="75"/>
      <c r="Q942" s="75"/>
      <c r="T942" s="75"/>
    </row>
    <row r="943" spans="1:38" s="121" customFormat="1" ht="45" customHeight="1">
      <c r="A943" s="603"/>
      <c r="B943" s="602"/>
      <c r="C943" s="105" t="s">
        <v>178</v>
      </c>
      <c r="D943" s="106"/>
      <c r="E943" s="101"/>
      <c r="F943" s="105"/>
      <c r="G943" s="105"/>
      <c r="H943" s="105"/>
      <c r="I943" s="84" t="s">
        <v>483</v>
      </c>
      <c r="J943" s="523" t="s">
        <v>484</v>
      </c>
      <c r="K943" s="105"/>
      <c r="L943" s="105"/>
      <c r="M943" s="601"/>
      <c r="N943" s="75" t="s">
        <v>24</v>
      </c>
      <c r="O943" s="75" t="str">
        <f>MID(J943,FIND("setting",J943,1)+8,FIND("kg",J943,1)-FIND("setting",J943,1)-8)</f>
        <v xml:space="preserve"> 616.20</v>
      </c>
      <c r="P943" s="74"/>
      <c r="Q943" s="75" t="str">
        <f>SUBSTITUTE(T943&amp;N943," ","")</f>
        <v>3.32.9DMF</v>
      </c>
      <c r="R943" s="74">
        <f>VLOOKUP(Q943,MOR投料表!A:L,9,FALSE)</f>
        <v>616.20000000000005</v>
      </c>
      <c r="S943" s="74"/>
      <c r="T943" s="75" t="s">
        <v>485</v>
      </c>
      <c r="U943" s="74" t="b">
        <f>TEXT(O943,"0.00")=TEXT(R943,"0.00")</f>
        <v>1</v>
      </c>
      <c r="V943" s="74"/>
      <c r="W943" s="76"/>
      <c r="X943" s="76"/>
      <c r="Y943" s="76"/>
      <c r="Z943" s="76"/>
      <c r="AA943" s="76"/>
      <c r="AB943" s="76"/>
      <c r="AC943" s="76"/>
      <c r="AD943" s="76"/>
      <c r="AE943" s="76"/>
      <c r="AF943" s="76"/>
      <c r="AG943" s="76"/>
      <c r="AH943" s="76"/>
      <c r="AI943" s="76"/>
      <c r="AJ943" s="76"/>
      <c r="AK943" s="76"/>
      <c r="AL943" s="76"/>
    </row>
    <row r="944" spans="1:38" s="121" customFormat="1" ht="45" customHeight="1">
      <c r="A944" s="603"/>
      <c r="B944" s="602"/>
      <c r="C944" s="105" t="s">
        <v>178</v>
      </c>
      <c r="D944" s="106"/>
      <c r="E944" s="101"/>
      <c r="F944" s="105" t="str">
        <f>IFERROR(IF(FIND("开",F942,1),"开","关"),"关")</f>
        <v>关</v>
      </c>
      <c r="G944" s="105" t="str">
        <f>IFERROR(IF(FIND("开",G942,1),"开","关"),"关")</f>
        <v>关</v>
      </c>
      <c r="H944" s="105" t="str">
        <f>IFERROR(IF(FIND("开",H942,1),"开","关"),"关")</f>
        <v>开</v>
      </c>
      <c r="I944" s="84" t="s">
        <v>61</v>
      </c>
      <c r="J944" s="524" t="s">
        <v>486</v>
      </c>
      <c r="K944" s="105" t="str">
        <f>IFERROR(IF(FIND("开",K942,1),"开","关"),"关")</f>
        <v>关</v>
      </c>
      <c r="L944" s="105" t="str">
        <f>IFERROR(IF(FIND("开",L942,1),"开","关"),"关")</f>
        <v>关</v>
      </c>
      <c r="M944" s="601"/>
      <c r="N944" s="74"/>
      <c r="O944" s="74"/>
      <c r="P944" s="74"/>
      <c r="Q944" s="74"/>
      <c r="R944" s="74"/>
      <c r="S944" s="74"/>
      <c r="T944" s="75">
        <f>IF(ISBLANK(A944),T942,LEFT(A944,FIND(" ",A944,1)-1))</f>
        <v>0</v>
      </c>
      <c r="U944" s="74"/>
      <c r="V944" s="74"/>
      <c r="W944" s="76"/>
      <c r="X944" s="76"/>
      <c r="Y944" s="76"/>
      <c r="Z944" s="76"/>
      <c r="AA944" s="76"/>
      <c r="AB944" s="76"/>
      <c r="AC944" s="76"/>
      <c r="AD944" s="76"/>
      <c r="AE944" s="76"/>
      <c r="AF944" s="76"/>
      <c r="AG944" s="76"/>
      <c r="AH944" s="76"/>
      <c r="AI944" s="76"/>
      <c r="AJ944" s="76"/>
      <c r="AK944" s="76"/>
      <c r="AL944" s="76"/>
    </row>
    <row r="945" spans="1:38" s="121" customFormat="1" ht="45" customHeight="1">
      <c r="A945" s="603"/>
      <c r="B945" s="602"/>
      <c r="C945" s="105" t="s">
        <v>178</v>
      </c>
      <c r="D945" s="106"/>
      <c r="E945" s="101"/>
      <c r="F945" s="105"/>
      <c r="G945" s="105"/>
      <c r="H945" s="105"/>
      <c r="I945" s="84" t="s">
        <v>112</v>
      </c>
      <c r="J945" s="525" t="s">
        <v>487</v>
      </c>
      <c r="K945" s="105"/>
      <c r="L945" s="105"/>
      <c r="M945" s="601"/>
      <c r="N945" s="74"/>
      <c r="O945" s="74"/>
      <c r="P945" s="74"/>
      <c r="Q945" s="74"/>
      <c r="R945" s="74"/>
      <c r="S945" s="74"/>
      <c r="T945" s="75"/>
      <c r="U945" s="74"/>
      <c r="V945" s="74"/>
      <c r="W945" s="76"/>
      <c r="X945" s="76"/>
      <c r="Y945" s="76"/>
      <c r="Z945" s="76"/>
      <c r="AA945" s="76"/>
      <c r="AB945" s="76"/>
      <c r="AC945" s="76"/>
      <c r="AD945" s="76"/>
      <c r="AE945" s="76"/>
      <c r="AF945" s="76"/>
      <c r="AG945" s="76"/>
      <c r="AH945" s="76"/>
      <c r="AI945" s="76"/>
      <c r="AJ945" s="76"/>
      <c r="AK945" s="76"/>
      <c r="AL945" s="76"/>
    </row>
    <row r="946" spans="1:38" s="121" customFormat="1" ht="45" customHeight="1">
      <c r="A946" s="603"/>
      <c r="B946" s="602"/>
      <c r="C946" s="105" t="s">
        <v>178</v>
      </c>
      <c r="D946" s="106"/>
      <c r="E946" s="101"/>
      <c r="F946" s="105"/>
      <c r="G946" s="105"/>
      <c r="H946" s="105"/>
      <c r="I946" s="84" t="s">
        <v>488</v>
      </c>
      <c r="J946" s="526" t="s">
        <v>509</v>
      </c>
      <c r="K946" s="105"/>
      <c r="L946" s="105"/>
      <c r="M946" s="601"/>
      <c r="N946" s="74"/>
      <c r="O946" s="74"/>
      <c r="P946" s="74"/>
      <c r="Q946" s="74"/>
      <c r="R946" s="74"/>
      <c r="S946" s="74"/>
      <c r="T946" s="75"/>
      <c r="U946" s="74"/>
      <c r="V946" s="74"/>
      <c r="W946" s="76"/>
      <c r="X946" s="76"/>
      <c r="Y946" s="76"/>
      <c r="Z946" s="76"/>
      <c r="AA946" s="76"/>
      <c r="AB946" s="76"/>
      <c r="AC946" s="76"/>
      <c r="AD946" s="76"/>
      <c r="AE946" s="76"/>
      <c r="AF946" s="76"/>
      <c r="AG946" s="76"/>
      <c r="AH946" s="76"/>
      <c r="AI946" s="76"/>
      <c r="AJ946" s="76"/>
      <c r="AK946" s="76"/>
      <c r="AL946" s="76"/>
    </row>
    <row r="947" spans="1:38" s="121" customFormat="1" ht="45" customHeight="1">
      <c r="A947" s="603"/>
      <c r="B947" s="602"/>
      <c r="C947" s="105" t="s">
        <v>178</v>
      </c>
      <c r="D947" s="106"/>
      <c r="E947" s="101"/>
      <c r="F947" s="105"/>
      <c r="G947" s="105"/>
      <c r="H947" s="105"/>
      <c r="I947" s="84" t="s">
        <v>179</v>
      </c>
      <c r="J947" s="527" t="s">
        <v>492</v>
      </c>
      <c r="K947" s="105"/>
      <c r="L947" s="105"/>
      <c r="M947" s="601"/>
      <c r="N947" s="74"/>
      <c r="O947" s="74"/>
      <c r="P947" s="74"/>
      <c r="Q947" s="74"/>
      <c r="R947" s="74"/>
      <c r="S947" s="74"/>
      <c r="T947" s="75"/>
      <c r="U947" s="74"/>
      <c r="V947" s="74"/>
      <c r="W947" s="76"/>
      <c r="X947" s="76"/>
      <c r="Y947" s="76"/>
      <c r="Z947" s="76"/>
      <c r="AA947" s="76"/>
      <c r="AB947" s="76"/>
      <c r="AC947" s="76"/>
      <c r="AD947" s="76"/>
      <c r="AE947" s="76"/>
      <c r="AF947" s="76"/>
      <c r="AG947" s="76"/>
      <c r="AH947" s="76"/>
      <c r="AI947" s="76"/>
      <c r="AJ947" s="76"/>
      <c r="AK947" s="76"/>
      <c r="AL947" s="76"/>
    </row>
    <row r="948" spans="1:38" s="121" customFormat="1" ht="45" customHeight="1">
      <c r="A948" s="603"/>
      <c r="B948" s="602"/>
      <c r="C948" s="105" t="s">
        <v>178</v>
      </c>
      <c r="D948" s="106"/>
      <c r="E948" s="101"/>
      <c r="F948" s="105"/>
      <c r="G948" s="105"/>
      <c r="H948" s="105"/>
      <c r="I948" s="84" t="s">
        <v>116</v>
      </c>
      <c r="J948" s="528" t="s">
        <v>493</v>
      </c>
      <c r="K948" s="105"/>
      <c r="L948" s="105"/>
      <c r="M948" s="601"/>
      <c r="N948" s="74"/>
      <c r="O948" s="74"/>
      <c r="P948" s="74"/>
      <c r="Q948" s="74"/>
      <c r="R948" s="74"/>
      <c r="S948" s="74"/>
      <c r="T948" s="75"/>
      <c r="U948" s="74"/>
      <c r="V948" s="74"/>
      <c r="W948" s="76"/>
      <c r="X948" s="76"/>
      <c r="Y948" s="76"/>
      <c r="Z948" s="76"/>
      <c r="AA948" s="76"/>
      <c r="AB948" s="76"/>
      <c r="AC948" s="76"/>
      <c r="AD948" s="76"/>
      <c r="AE948" s="76"/>
      <c r="AF948" s="76"/>
      <c r="AG948" s="76"/>
      <c r="AH948" s="76"/>
      <c r="AI948" s="76"/>
      <c r="AJ948" s="76"/>
      <c r="AK948" s="76"/>
      <c r="AL948" s="76"/>
    </row>
    <row r="949" spans="1:38" s="121" customFormat="1" ht="45" customHeight="1">
      <c r="A949" s="603"/>
      <c r="B949" s="602"/>
      <c r="C949" s="105" t="s">
        <v>494</v>
      </c>
      <c r="D949" s="106" t="s">
        <v>495</v>
      </c>
      <c r="E949" s="529" t="s">
        <v>32</v>
      </c>
      <c r="F949" s="105"/>
      <c r="G949" s="105"/>
      <c r="H949" s="105"/>
      <c r="I949" s="84"/>
      <c r="J949" s="77"/>
      <c r="K949" s="105"/>
      <c r="L949" s="105"/>
      <c r="M949" s="601"/>
      <c r="N949" s="74"/>
      <c r="O949" s="74"/>
      <c r="P949" s="74"/>
      <c r="Q949" s="74"/>
      <c r="R949" s="74"/>
      <c r="S949" s="74"/>
      <c r="T949" s="75"/>
      <c r="U949" s="74"/>
      <c r="V949" s="74"/>
      <c r="W949" s="76"/>
      <c r="X949" s="76"/>
      <c r="Y949" s="76"/>
      <c r="Z949" s="76"/>
      <c r="AA949" s="76"/>
      <c r="AB949" s="76"/>
      <c r="AC949" s="76"/>
      <c r="AD949" s="76"/>
      <c r="AE949" s="76"/>
      <c r="AF949" s="76"/>
      <c r="AG949" s="76"/>
      <c r="AH949" s="76"/>
      <c r="AI949" s="76"/>
      <c r="AJ949" s="76"/>
      <c r="AK949" s="76"/>
      <c r="AL949" s="76"/>
    </row>
    <row r="950" spans="1:38" s="121" customFormat="1" ht="45" customHeight="1">
      <c r="A950" s="603"/>
      <c r="B950" s="602"/>
      <c r="C950" s="105" t="s">
        <v>494</v>
      </c>
      <c r="D950" s="106" t="s">
        <v>496</v>
      </c>
      <c r="E950" s="530" t="s">
        <v>497</v>
      </c>
      <c r="F950" s="105"/>
      <c r="G950" s="105"/>
      <c r="H950" s="105"/>
      <c r="I950" s="84"/>
      <c r="J950" s="77"/>
      <c r="K950" s="105"/>
      <c r="L950" s="105"/>
      <c r="M950" s="601"/>
      <c r="N950" s="74"/>
      <c r="O950" s="74"/>
      <c r="P950" s="74"/>
      <c r="Q950" s="74"/>
      <c r="R950" s="74"/>
      <c r="S950" s="74"/>
      <c r="T950" s="75"/>
      <c r="U950" s="74"/>
      <c r="V950" s="74"/>
      <c r="W950" s="76"/>
      <c r="X950" s="76"/>
      <c r="Y950" s="76"/>
      <c r="Z950" s="76"/>
      <c r="AA950" s="76"/>
      <c r="AB950" s="76"/>
      <c r="AC950" s="76"/>
      <c r="AD950" s="76"/>
      <c r="AE950" s="76"/>
      <c r="AF950" s="76"/>
      <c r="AG950" s="76"/>
      <c r="AH950" s="76"/>
      <c r="AI950" s="76"/>
      <c r="AJ950" s="76"/>
      <c r="AK950" s="76"/>
      <c r="AL950" s="76"/>
    </row>
    <row r="951" spans="1:38" s="121" customFormat="1" ht="45" customHeight="1">
      <c r="A951" s="603"/>
      <c r="B951" s="602"/>
      <c r="C951" s="105" t="s">
        <v>178</v>
      </c>
      <c r="D951" s="106"/>
      <c r="E951" s="101"/>
      <c r="F951" s="105"/>
      <c r="G951" s="105"/>
      <c r="H951" s="105"/>
      <c r="I951" s="84" t="s">
        <v>87</v>
      </c>
      <c r="J951" s="531" t="s">
        <v>510</v>
      </c>
      <c r="K951" s="105"/>
      <c r="L951" s="105"/>
      <c r="M951" s="601"/>
      <c r="N951" s="74"/>
      <c r="O951" s="74"/>
      <c r="P951" s="74"/>
      <c r="Q951" s="74"/>
      <c r="R951" s="74"/>
      <c r="S951" s="74"/>
      <c r="T951" s="75"/>
      <c r="U951" s="74"/>
      <c r="V951" s="74"/>
      <c r="W951" s="76"/>
      <c r="X951" s="76"/>
      <c r="Y951" s="76"/>
      <c r="Z951" s="76"/>
      <c r="AA951" s="76"/>
      <c r="AB951" s="76"/>
      <c r="AC951" s="76"/>
      <c r="AD951" s="76"/>
      <c r="AE951" s="76"/>
      <c r="AF951" s="76"/>
      <c r="AG951" s="76"/>
      <c r="AH951" s="76"/>
      <c r="AI951" s="76"/>
      <c r="AJ951" s="76"/>
      <c r="AK951" s="76"/>
      <c r="AL951" s="76"/>
    </row>
    <row r="952" spans="1:38" s="121" customFormat="1" ht="45" customHeight="1">
      <c r="A952" s="603"/>
      <c r="B952" s="602"/>
      <c r="C952" s="105" t="s">
        <v>3</v>
      </c>
      <c r="D952" s="106" t="s">
        <v>35</v>
      </c>
      <c r="E952" s="101" t="s">
        <v>63</v>
      </c>
      <c r="F952" s="105" t="s">
        <v>37</v>
      </c>
      <c r="G952" s="105" t="str">
        <f>IFERROR(IF(FIND("开",G944,1),"开","关"),"关")</f>
        <v>关</v>
      </c>
      <c r="H952" s="105" t="str">
        <f>IFERROR(IF(FIND("开",H944,1),"开","关"),"关")</f>
        <v>开</v>
      </c>
      <c r="I952" s="84"/>
      <c r="J952" s="77"/>
      <c r="K952" s="105" t="str">
        <f>IFERROR(IF(FIND("开",K944,1),"开","关"),"关")</f>
        <v>关</v>
      </c>
      <c r="L952" s="105" t="str">
        <f>IFERROR(IF(FIND("开",L944,1),"开","关"),"关")</f>
        <v>关</v>
      </c>
      <c r="M952" s="601"/>
      <c r="N952" s="74"/>
      <c r="O952" s="74"/>
      <c r="P952" s="74"/>
      <c r="Q952" s="74"/>
      <c r="R952" s="74"/>
      <c r="S952" s="74"/>
      <c r="T952" s="75">
        <f>IF(ISBLANK(A952),T944,LEFT(A952,FIND(" ",A952,1)-1))</f>
        <v>0</v>
      </c>
      <c r="U952" s="74"/>
      <c r="V952" s="74"/>
      <c r="W952" s="76"/>
      <c r="X952" s="76"/>
      <c r="Y952" s="76"/>
      <c r="Z952" s="76"/>
      <c r="AA952" s="76"/>
      <c r="AB952" s="76"/>
      <c r="AC952" s="76"/>
      <c r="AD952" s="76"/>
      <c r="AE952" s="76"/>
      <c r="AF952" s="76"/>
      <c r="AG952" s="76"/>
      <c r="AH952" s="76"/>
      <c r="AI952" s="76"/>
      <c r="AJ952" s="76"/>
      <c r="AK952" s="76"/>
      <c r="AL952" s="76"/>
    </row>
    <row r="953" spans="1:38" s="121" customFormat="1" ht="45" customHeight="1">
      <c r="A953" s="603"/>
      <c r="B953" s="602"/>
      <c r="C953" s="105" t="s">
        <v>3</v>
      </c>
      <c r="D953" s="106" t="s">
        <v>499</v>
      </c>
      <c r="E953" s="532" t="s">
        <v>122</v>
      </c>
      <c r="F953" s="105" t="str">
        <f>IFERROR(IF(FIND("开",F952,1),"开","关"),"关")</f>
        <v>开</v>
      </c>
      <c r="G953" s="105" t="s">
        <v>29</v>
      </c>
      <c r="H953" s="105" t="str">
        <f>IFERROR(IF(FIND("开",H952,1),"开","关"),"关")</f>
        <v>开</v>
      </c>
      <c r="I953" s="84"/>
      <c r="J953" s="77"/>
      <c r="K953" s="105" t="str">
        <f>IFERROR(IF(FIND("开",K952,1),"开","关"),"关")</f>
        <v>关</v>
      </c>
      <c r="L953" s="105" t="str">
        <f>IFERROR(IF(FIND("开",L952,1),"开","关"),"关")</f>
        <v>关</v>
      </c>
      <c r="M953" s="601"/>
      <c r="N953" s="75"/>
      <c r="O953" s="75"/>
      <c r="P953" s="74"/>
      <c r="Q953" s="74"/>
      <c r="R953" s="74"/>
      <c r="S953" s="74"/>
      <c r="T953" s="75">
        <f>IF(ISBLANK(A953),T952,LEFT(A953,FIND(" ",A953,1)-1))</f>
        <v>0</v>
      </c>
      <c r="U953" s="74"/>
      <c r="V953" s="74"/>
      <c r="W953" s="76"/>
      <c r="X953" s="76"/>
      <c r="Y953" s="76"/>
      <c r="Z953" s="76"/>
      <c r="AA953" s="76"/>
      <c r="AB953" s="76"/>
      <c r="AC953" s="76"/>
      <c r="AD953" s="76"/>
      <c r="AE953" s="76"/>
      <c r="AF953" s="76"/>
      <c r="AG953" s="76"/>
      <c r="AH953" s="76"/>
      <c r="AI953" s="76"/>
      <c r="AJ953" s="76"/>
      <c r="AK953" s="76"/>
      <c r="AL953" s="76"/>
    </row>
    <row r="954" spans="1:38" s="121" customFormat="1" ht="45" customHeight="1">
      <c r="A954" s="603"/>
      <c r="B954" s="602"/>
      <c r="C954" s="105" t="s">
        <v>3</v>
      </c>
      <c r="D954" s="106" t="s">
        <v>500</v>
      </c>
      <c r="E954" s="533" t="s">
        <v>501</v>
      </c>
      <c r="F954" s="105"/>
      <c r="G954" s="105"/>
      <c r="H954" s="105"/>
      <c r="I954" s="84"/>
      <c r="J954" s="77"/>
      <c r="K954" s="105"/>
      <c r="L954" s="105"/>
      <c r="M954" s="601"/>
      <c r="N954" s="75"/>
      <c r="O954" s="75"/>
      <c r="P954" s="74"/>
      <c r="Q954" s="74"/>
      <c r="R954" s="74"/>
      <c r="S954" s="74"/>
      <c r="T954" s="75"/>
      <c r="U954" s="74"/>
      <c r="V954" s="74"/>
      <c r="W954" s="76"/>
      <c r="X954" s="76"/>
      <c r="Y954" s="76"/>
      <c r="Z954" s="76"/>
      <c r="AA954" s="76"/>
      <c r="AB954" s="76"/>
      <c r="AC954" s="76"/>
      <c r="AD954" s="76"/>
      <c r="AE954" s="76"/>
      <c r="AF954" s="76"/>
      <c r="AG954" s="76"/>
      <c r="AH954" s="76"/>
      <c r="AI954" s="76"/>
      <c r="AJ954" s="76"/>
      <c r="AK954" s="76"/>
      <c r="AL954" s="76"/>
    </row>
    <row r="955" spans="1:38" s="121" customFormat="1" ht="45" customHeight="1">
      <c r="A955" s="603"/>
      <c r="B955" s="602"/>
      <c r="C955" s="105" t="s">
        <v>3</v>
      </c>
      <c r="D955" s="106" t="s">
        <v>450</v>
      </c>
      <c r="E955" s="534" t="s">
        <v>502</v>
      </c>
      <c r="F955" s="105"/>
      <c r="G955" s="105"/>
      <c r="H955" s="105"/>
      <c r="I955" s="84"/>
      <c r="J955" s="77"/>
      <c r="K955" s="105"/>
      <c r="L955" s="105"/>
      <c r="M955" s="601"/>
      <c r="N955" s="75"/>
      <c r="O955" s="75"/>
      <c r="P955" s="74"/>
      <c r="Q955" s="74"/>
      <c r="R955" s="74"/>
      <c r="S955" s="74"/>
      <c r="T955" s="75"/>
      <c r="U955" s="74"/>
      <c r="V955" s="74"/>
      <c r="W955" s="76"/>
      <c r="X955" s="76"/>
      <c r="Y955" s="76"/>
      <c r="Z955" s="76"/>
      <c r="AA955" s="76"/>
      <c r="AB955" s="76"/>
      <c r="AC955" s="76"/>
      <c r="AD955" s="76"/>
      <c r="AE955" s="76"/>
      <c r="AF955" s="76"/>
      <c r="AG955" s="76"/>
      <c r="AH955" s="76"/>
      <c r="AI955" s="76"/>
      <c r="AJ955" s="76"/>
      <c r="AK955" s="76"/>
      <c r="AL955" s="76"/>
    </row>
    <row r="956" spans="1:38" s="121" customFormat="1" ht="45" customHeight="1">
      <c r="A956" s="603"/>
      <c r="B956" s="602"/>
      <c r="C956" s="105" t="s">
        <v>3</v>
      </c>
      <c r="D956" s="106" t="s">
        <v>503</v>
      </c>
      <c r="E956" s="535" t="s">
        <v>504</v>
      </c>
      <c r="F956" s="105"/>
      <c r="G956" s="105"/>
      <c r="H956" s="105"/>
      <c r="I956" s="84"/>
      <c r="J956" s="77"/>
      <c r="K956" s="105"/>
      <c r="L956" s="105"/>
      <c r="M956" s="601"/>
      <c r="N956" s="75"/>
      <c r="O956" s="75"/>
      <c r="P956" s="74"/>
      <c r="Q956" s="74"/>
      <c r="R956" s="74"/>
      <c r="S956" s="74"/>
      <c r="T956" s="75"/>
      <c r="U956" s="74"/>
      <c r="V956" s="74"/>
      <c r="W956" s="76"/>
      <c r="X956" s="76"/>
      <c r="Y956" s="76"/>
      <c r="Z956" s="76"/>
      <c r="AA956" s="76"/>
      <c r="AB956" s="76"/>
      <c r="AC956" s="76"/>
      <c r="AD956" s="76"/>
      <c r="AE956" s="76"/>
      <c r="AF956" s="76"/>
      <c r="AG956" s="76"/>
      <c r="AH956" s="76"/>
      <c r="AI956" s="76"/>
      <c r="AJ956" s="76"/>
      <c r="AK956" s="76"/>
      <c r="AL956" s="76"/>
    </row>
    <row r="957" spans="1:38" s="121" customFormat="1" ht="45" customHeight="1">
      <c r="A957" s="603"/>
      <c r="B957" s="602"/>
      <c r="C957" s="105" t="s">
        <v>3</v>
      </c>
      <c r="D957" s="106" t="s">
        <v>40</v>
      </c>
      <c r="E957" s="101" t="s">
        <v>41</v>
      </c>
      <c r="F957" s="105" t="s">
        <v>42</v>
      </c>
      <c r="G957" s="105" t="str">
        <f>IFERROR(IF(FIND("开",G953,1),"开","关"),"关")</f>
        <v>关</v>
      </c>
      <c r="H957" s="105" t="str">
        <f>IFERROR(IF(FIND("开",H953,1),"开","关"),"关")</f>
        <v>开</v>
      </c>
      <c r="I957" s="84"/>
      <c r="J957" s="77"/>
      <c r="K957" s="105" t="str">
        <f>IFERROR(IF(FIND("开",K953,1),"开","关"),"关")</f>
        <v>关</v>
      </c>
      <c r="L957" s="105" t="str">
        <f>IFERROR(IF(FIND("开",L953,1),"开","关"),"关")</f>
        <v>关</v>
      </c>
      <c r="M957" s="601"/>
      <c r="N957" s="75"/>
      <c r="O957" s="75"/>
      <c r="P957" s="74"/>
      <c r="Q957" s="74"/>
      <c r="R957" s="74"/>
      <c r="S957" s="74"/>
      <c r="T957" s="75">
        <f>IF(ISBLANK(A957),T953,LEFT(A957,FIND(" ",A957,1)-1))</f>
        <v>0</v>
      </c>
      <c r="U957" s="74" t="b">
        <f>TEXT(O957,"0.00")=TEXT(R957,"0.00")</f>
        <v>1</v>
      </c>
      <c r="V957" s="74"/>
      <c r="W957" s="76"/>
      <c r="X957" s="76"/>
      <c r="Y957" s="76"/>
      <c r="Z957" s="76"/>
      <c r="AA957" s="76"/>
      <c r="AB957" s="76"/>
      <c r="AC957" s="76"/>
      <c r="AD957" s="76"/>
      <c r="AE957" s="76"/>
      <c r="AF957" s="76"/>
      <c r="AG957" s="76"/>
      <c r="AH957" s="76"/>
      <c r="AI957" s="76"/>
      <c r="AJ957" s="76"/>
      <c r="AK957" s="76"/>
      <c r="AL957" s="76"/>
    </row>
    <row r="958" spans="1:38" s="121" customFormat="1" ht="45" customHeight="1">
      <c r="A958" s="603"/>
      <c r="B958" s="602"/>
      <c r="C958" s="105" t="s">
        <v>3</v>
      </c>
      <c r="D958" s="106" t="s">
        <v>511</v>
      </c>
      <c r="E958" s="536" t="s">
        <v>46</v>
      </c>
      <c r="F958" s="105" t="str">
        <f>IFERROR(IF(FIND("开",#REF!,1),"开","关"),"关")</f>
        <v>关</v>
      </c>
      <c r="G958" s="105" t="str">
        <f>IFERROR(IF(FIND("开",#REF!,1),"开","关"),"关")</f>
        <v>关</v>
      </c>
      <c r="H958" s="105" t="str">
        <f>IFERROR(IF(FIND("开",#REF!,1),"开","关"),"关")</f>
        <v>关</v>
      </c>
      <c r="I958" s="84"/>
      <c r="J958" s="77"/>
      <c r="K958" s="105" t="str">
        <f>IFERROR(IF(FIND("开",#REF!,1),"开","关"),"关")</f>
        <v>关</v>
      </c>
      <c r="L958" s="105" t="str">
        <f>IFERROR(IF(FIND("开",#REF!,1),"开","关"),"关")</f>
        <v>关</v>
      </c>
      <c r="M958" s="601"/>
      <c r="N958" s="74"/>
      <c r="O958" s="74"/>
      <c r="P958" s="74"/>
      <c r="Q958" s="74"/>
      <c r="R958" s="74"/>
      <c r="S958" s="74"/>
      <c r="T958" s="75">
        <f>IF(ISBLANK(A958),T957,LEFT(A958,FIND(" ",A958,1)-1))</f>
        <v>0</v>
      </c>
      <c r="U958" s="74"/>
      <c r="V958" s="74"/>
      <c r="W958" s="76"/>
      <c r="X958" s="76"/>
      <c r="Y958" s="76"/>
      <c r="Z958" s="76"/>
      <c r="AA958" s="76"/>
      <c r="AB958" s="76"/>
      <c r="AC958" s="76"/>
      <c r="AD958" s="76"/>
      <c r="AE958" s="76"/>
      <c r="AF958" s="76"/>
      <c r="AG958" s="76"/>
      <c r="AH958" s="76"/>
      <c r="AI958" s="76"/>
      <c r="AJ958" s="76"/>
      <c r="AK958" s="76"/>
      <c r="AL958" s="76"/>
    </row>
    <row r="959" spans="1:38" ht="61.15" customHeight="1">
      <c r="A959" s="603" t="s">
        <v>477</v>
      </c>
      <c r="B959" s="602" t="s">
        <v>512</v>
      </c>
      <c r="C959" s="105" t="s">
        <v>3</v>
      </c>
      <c r="D959" s="106" t="s">
        <v>130</v>
      </c>
      <c r="E959" s="537" t="s">
        <v>513</v>
      </c>
      <c r="F959" s="105" t="str">
        <f t="shared" ref="F959:G962" si="232">IFERROR(IF(FIND("开",F958,1),"开","关"),"关")</f>
        <v>关</v>
      </c>
      <c r="G959" s="105" t="str">
        <f t="shared" si="232"/>
        <v>关</v>
      </c>
      <c r="H959" s="105" t="s">
        <v>42</v>
      </c>
      <c r="J959" s="77"/>
      <c r="K959" s="105" t="str">
        <f t="shared" ref="K959:K969" si="233">IFERROR(IF(FIND("开",K958,1),"开","关"),"关")</f>
        <v>关</v>
      </c>
      <c r="L959" s="105" t="str">
        <f t="shared" ref="L959:L969" si="234">IFERROR(IF(FIND("开",L958,1),"开","关"),"关")</f>
        <v>关</v>
      </c>
      <c r="M959" s="601">
        <v>1</v>
      </c>
      <c r="T959" s="75" t="str">
        <f>IF(ISBLANK(A959),T941,LEFT(A959,FIND(" ",A959,1)-1))</f>
        <v>Adjust</v>
      </c>
    </row>
    <row r="960" spans="1:38" ht="45" customHeight="1">
      <c r="A960" s="603"/>
      <c r="B960" s="602"/>
      <c r="C960" s="105" t="s">
        <v>3</v>
      </c>
      <c r="D960" s="106" t="s">
        <v>52</v>
      </c>
      <c r="E960" s="101" t="s">
        <v>514</v>
      </c>
      <c r="F960" s="105" t="str">
        <f t="shared" si="232"/>
        <v>关</v>
      </c>
      <c r="G960" s="105" t="str">
        <f t="shared" si="232"/>
        <v>关</v>
      </c>
      <c r="H960" s="105" t="s">
        <v>37</v>
      </c>
      <c r="J960" s="77"/>
      <c r="K960" s="105" t="str">
        <f t="shared" si="233"/>
        <v>关</v>
      </c>
      <c r="L960" s="105" t="str">
        <f t="shared" si="234"/>
        <v>关</v>
      </c>
      <c r="M960" s="601"/>
      <c r="T960" s="75" t="str">
        <f t="shared" ref="T960:T969" si="235">IF(ISBLANK(A960),T959,LEFT(A960,FIND(" ",A960,1)-1))</f>
        <v>Adjust</v>
      </c>
    </row>
    <row r="961" spans="1:21" ht="45" customHeight="1">
      <c r="A961" s="603" t="s">
        <v>515</v>
      </c>
      <c r="B961" s="627" t="s">
        <v>516</v>
      </c>
      <c r="C961" s="105" t="s">
        <v>3</v>
      </c>
      <c r="D961" s="106" t="s">
        <v>58</v>
      </c>
      <c r="E961" s="101" t="s">
        <v>367</v>
      </c>
      <c r="F961" s="105" t="str">
        <f t="shared" si="232"/>
        <v>关</v>
      </c>
      <c r="G961" s="105" t="str">
        <f t="shared" si="232"/>
        <v>关</v>
      </c>
      <c r="H961" s="105" t="str">
        <f t="shared" ref="H961:H967" si="236">IFERROR(IF(FIND("开",H960,1),"开","关"),"关")</f>
        <v>开</v>
      </c>
      <c r="J961" s="77"/>
      <c r="K961" s="105" t="str">
        <f t="shared" si="233"/>
        <v>关</v>
      </c>
      <c r="L961" s="105" t="str">
        <f t="shared" si="234"/>
        <v>关</v>
      </c>
      <c r="M961" s="601">
        <v>4</v>
      </c>
      <c r="N961" s="75" t="s">
        <v>24</v>
      </c>
      <c r="O961" s="75" t="str">
        <f>MID(E961,FIND("setting",E961,1)+8,FIND("kg",E961,1)-FIND("setting",E961,1)-8)</f>
        <v xml:space="preserve"> 616.20</v>
      </c>
      <c r="Q961" s="75" t="str">
        <f>SUBSTITUTE(T961&amp;N961," ","")</f>
        <v>3.32.13DMF</v>
      </c>
      <c r="R961" s="74" t="e">
        <f>VLOOKUP(Q961,MOR投料表!A:L,9,FALSE)</f>
        <v>#N/A</v>
      </c>
      <c r="T961" s="75" t="str">
        <f t="shared" si="235"/>
        <v>3.32.13</v>
      </c>
      <c r="U961" s="74" t="e">
        <f>TEXT(O961,"0.00")=TEXT(R961,"0.00")</f>
        <v>#N/A</v>
      </c>
    </row>
    <row r="962" spans="1:21" ht="45" customHeight="1">
      <c r="A962" s="603"/>
      <c r="B962" s="602"/>
      <c r="C962" s="105" t="s">
        <v>3</v>
      </c>
      <c r="D962" s="106" t="s">
        <v>61</v>
      </c>
      <c r="E962" s="101" t="s">
        <v>62</v>
      </c>
      <c r="F962" s="105" t="str">
        <f t="shared" si="232"/>
        <v>关</v>
      </c>
      <c r="G962" s="105" t="str">
        <f t="shared" si="232"/>
        <v>关</v>
      </c>
      <c r="H962" s="105" t="str">
        <f t="shared" si="236"/>
        <v>开</v>
      </c>
      <c r="J962" s="77"/>
      <c r="K962" s="105" t="str">
        <f t="shared" si="233"/>
        <v>关</v>
      </c>
      <c r="L962" s="105" t="str">
        <f t="shared" si="234"/>
        <v>关</v>
      </c>
      <c r="M962" s="601"/>
      <c r="N962" s="75"/>
      <c r="O962" s="75"/>
      <c r="T962" s="75" t="str">
        <f t="shared" si="235"/>
        <v>3.32.13</v>
      </c>
      <c r="U962" s="74" t="b">
        <f>TEXT(O962,"0.00")=TEXT(R962,"0.00")</f>
        <v>1</v>
      </c>
    </row>
    <row r="963" spans="1:21" ht="45" customHeight="1">
      <c r="A963" s="603"/>
      <c r="B963" s="602"/>
      <c r="C963" s="105" t="s">
        <v>3</v>
      </c>
      <c r="D963" s="106" t="s">
        <v>35</v>
      </c>
      <c r="E963" s="101" t="s">
        <v>63</v>
      </c>
      <c r="F963" s="105" t="s">
        <v>37</v>
      </c>
      <c r="G963" s="105" t="str">
        <f>IFERROR(IF(FIND("开",G962,1),"开","关"),"关")</f>
        <v>关</v>
      </c>
      <c r="H963" s="105" t="str">
        <f t="shared" si="236"/>
        <v>开</v>
      </c>
      <c r="J963" s="77"/>
      <c r="K963" s="105" t="str">
        <f t="shared" si="233"/>
        <v>关</v>
      </c>
      <c r="L963" s="105" t="str">
        <f t="shared" si="234"/>
        <v>关</v>
      </c>
      <c r="M963" s="601"/>
      <c r="T963" s="75" t="str">
        <f t="shared" si="235"/>
        <v>3.32.13</v>
      </c>
    </row>
    <row r="964" spans="1:21" ht="45" customHeight="1">
      <c r="A964" s="603"/>
      <c r="B964" s="602"/>
      <c r="C964" s="105" t="s">
        <v>3</v>
      </c>
      <c r="D964" s="106" t="s">
        <v>38</v>
      </c>
      <c r="E964" s="101" t="s">
        <v>167</v>
      </c>
      <c r="F964" s="105" t="str">
        <f>IFERROR(IF(FIND("开",F963,1),"开","关"),"关")</f>
        <v>开</v>
      </c>
      <c r="G964" s="105" t="s">
        <v>29</v>
      </c>
      <c r="H964" s="105" t="str">
        <f t="shared" si="236"/>
        <v>开</v>
      </c>
      <c r="J964" s="77"/>
      <c r="K964" s="105" t="str">
        <f t="shared" si="233"/>
        <v>关</v>
      </c>
      <c r="L964" s="105" t="str">
        <f t="shared" si="234"/>
        <v>关</v>
      </c>
      <c r="M964" s="601"/>
      <c r="T964" s="75" t="str">
        <f t="shared" si="235"/>
        <v>3.32.13</v>
      </c>
    </row>
    <row r="965" spans="1:21" ht="45" customHeight="1">
      <c r="A965" s="603"/>
      <c r="B965" s="602"/>
      <c r="C965" s="105" t="s">
        <v>3</v>
      </c>
      <c r="D965" s="106" t="s">
        <v>40</v>
      </c>
      <c r="E965" s="101" t="s">
        <v>41</v>
      </c>
      <c r="F965" s="105" t="s">
        <v>42</v>
      </c>
      <c r="G965" s="105" t="str">
        <f>IFERROR(IF(FIND("开",G964,1),"开","关"),"关")</f>
        <v>关</v>
      </c>
      <c r="H965" s="105" t="str">
        <f t="shared" si="236"/>
        <v>开</v>
      </c>
      <c r="J965" s="77"/>
      <c r="K965" s="105" t="str">
        <f t="shared" si="233"/>
        <v>关</v>
      </c>
      <c r="L965" s="105" t="str">
        <f t="shared" si="234"/>
        <v>关</v>
      </c>
      <c r="M965" s="601"/>
      <c r="T965" s="75" t="str">
        <f t="shared" si="235"/>
        <v>3.32.13</v>
      </c>
    </row>
    <row r="966" spans="1:21" ht="45" customHeight="1">
      <c r="A966" s="603"/>
      <c r="B966" s="602"/>
      <c r="C966" s="105" t="s">
        <v>3</v>
      </c>
      <c r="D966" s="106" t="s">
        <v>45</v>
      </c>
      <c r="E966" s="538" t="s">
        <v>46</v>
      </c>
      <c r="F966" s="105" t="str">
        <f>IFERROR(IF(FIND("开",F965,1),"开","关"),"关")</f>
        <v>关</v>
      </c>
      <c r="G966" s="105" t="str">
        <f>IFERROR(IF(FIND("开",G965,1),"开","关"),"关")</f>
        <v>关</v>
      </c>
      <c r="H966" s="105" t="str">
        <f t="shared" si="236"/>
        <v>开</v>
      </c>
      <c r="J966" s="77"/>
      <c r="K966" s="105" t="str">
        <f t="shared" si="233"/>
        <v>关</v>
      </c>
      <c r="L966" s="105" t="str">
        <f t="shared" si="234"/>
        <v>关</v>
      </c>
      <c r="M966" s="601"/>
      <c r="T966" s="75" t="str">
        <f t="shared" si="235"/>
        <v>3.32.13</v>
      </c>
    </row>
    <row r="967" spans="1:21" ht="98.1" customHeight="1">
      <c r="A967" s="90" t="s">
        <v>518</v>
      </c>
      <c r="B967" s="539" t="s">
        <v>519</v>
      </c>
      <c r="C967" s="105" t="s">
        <v>3</v>
      </c>
      <c r="D967" s="106" t="s">
        <v>43</v>
      </c>
      <c r="E967" s="101" t="s">
        <v>44</v>
      </c>
      <c r="F967" s="105" t="str">
        <f>IFERROR(IF(FIND("开",F966,1),"开","关"),"关")</f>
        <v>关</v>
      </c>
      <c r="G967" s="105" t="str">
        <f>IFERROR(IF(FIND("开",G966,1),"开","关"),"关")</f>
        <v>关</v>
      </c>
      <c r="H967" s="105" t="str">
        <f t="shared" si="236"/>
        <v>开</v>
      </c>
      <c r="I967" s="106"/>
      <c r="J967" s="101"/>
      <c r="K967" s="105" t="str">
        <f t="shared" si="233"/>
        <v>关</v>
      </c>
      <c r="L967" s="105" t="str">
        <f t="shared" si="234"/>
        <v>关</v>
      </c>
      <c r="M967" s="105">
        <v>1</v>
      </c>
      <c r="T967" s="75" t="e">
        <f t="shared" si="235"/>
        <v>#VALUE!</v>
      </c>
    </row>
    <row r="968" spans="1:21" ht="45" customHeight="1">
      <c r="A968" s="595" t="s">
        <v>168</v>
      </c>
      <c r="B968" s="616" t="s">
        <v>169</v>
      </c>
      <c r="C968" s="105" t="s">
        <v>3</v>
      </c>
      <c r="D968" s="106" t="s">
        <v>130</v>
      </c>
      <c r="E968" s="101" t="s">
        <v>520</v>
      </c>
      <c r="F968" s="105" t="str">
        <f>IFERROR(IF(FIND("开",F967,1),"开","关"),"关")</f>
        <v>关</v>
      </c>
      <c r="G968" s="105" t="str">
        <f>IFERROR(IF(FIND("开",G967,1),"开","关"),"关")</f>
        <v>关</v>
      </c>
      <c r="H968" s="105" t="s">
        <v>42</v>
      </c>
      <c r="I968" s="106"/>
      <c r="J968" s="101"/>
      <c r="K968" s="105" t="str">
        <f t="shared" si="233"/>
        <v>关</v>
      </c>
      <c r="L968" s="105" t="str">
        <f t="shared" si="234"/>
        <v>关</v>
      </c>
      <c r="M968" s="598">
        <v>1</v>
      </c>
      <c r="T968" s="75" t="e">
        <f t="shared" si="235"/>
        <v>#VALUE!</v>
      </c>
    </row>
    <row r="969" spans="1:21" ht="45" customHeight="1">
      <c r="A969" s="634"/>
      <c r="B969" s="634"/>
      <c r="C969" s="105" t="s">
        <v>3</v>
      </c>
      <c r="D969" s="106" t="s">
        <v>171</v>
      </c>
      <c r="E969" s="101" t="s">
        <v>44</v>
      </c>
      <c r="F969" s="105" t="str">
        <f>IFERROR(IF(FIND("开",F968,1),"开","关"),"关")</f>
        <v>关</v>
      </c>
      <c r="G969" s="105" t="str">
        <f>IFERROR(IF(FIND("开",G968,1),"开","关"),"关")</f>
        <v>关</v>
      </c>
      <c r="H969" s="105" t="str">
        <f>IFERROR(IF(FIND("开",H968,1),"开","关"),"关")</f>
        <v>关</v>
      </c>
      <c r="J969" s="101"/>
      <c r="K969" s="105" t="str">
        <f t="shared" si="233"/>
        <v>关</v>
      </c>
      <c r="L969" s="105" t="str">
        <f t="shared" si="234"/>
        <v>关</v>
      </c>
      <c r="M969" s="634"/>
      <c r="T969" s="75" t="e">
        <f t="shared" si="235"/>
        <v>#VALUE!</v>
      </c>
    </row>
    <row r="970" spans="1:21" ht="45" customHeight="1">
      <c r="A970" s="635"/>
      <c r="B970" s="635"/>
      <c r="C970" s="105" t="s">
        <v>178</v>
      </c>
      <c r="D970" s="106"/>
      <c r="E970" s="101"/>
      <c r="I970" s="84" t="s">
        <v>521</v>
      </c>
      <c r="J970" s="540" t="s">
        <v>522</v>
      </c>
      <c r="M970" s="635"/>
      <c r="T970" s="75"/>
    </row>
    <row r="971" spans="1:21" ht="45" customHeight="1">
      <c r="A971" s="89" t="s">
        <v>523</v>
      </c>
      <c r="B971" s="111"/>
      <c r="C971" s="105"/>
      <c r="E971" s="77"/>
      <c r="F971" s="105" t="str">
        <f>IFERROR(IF(FIND("开",F969,1),"开","关"),"关")</f>
        <v>关</v>
      </c>
      <c r="G971" s="105" t="str">
        <f>IFERROR(IF(FIND("开",G969,1),"开","关"),"关")</f>
        <v>关</v>
      </c>
      <c r="H971" s="105" t="str">
        <f>IFERROR(IF(FIND("开",H969,1),"开","关"),"关")</f>
        <v>关</v>
      </c>
      <c r="I971" s="106"/>
      <c r="J971" s="101"/>
      <c r="K971" s="105" t="str">
        <f>IFERROR(IF(FIND("开",K969,1),"开","关"),"关")</f>
        <v>关</v>
      </c>
      <c r="L971" s="105" t="str">
        <f>IFERROR(IF(FIND("开",L969,1),"开","关"),"关")</f>
        <v>关</v>
      </c>
      <c r="T971" s="75" t="str">
        <f>IF(ISBLANK(A971),T969,LEFT(A971,FIND(" ",A971,1)-1))</f>
        <v>□3.33</v>
      </c>
    </row>
    <row r="972" spans="1:21" ht="189.95" customHeight="1">
      <c r="A972" s="90" t="s">
        <v>524</v>
      </c>
      <c r="B972" s="721" t="s">
        <v>754</v>
      </c>
      <c r="C972" s="722" t="s">
        <v>461</v>
      </c>
      <c r="D972" s="93"/>
      <c r="E972" s="105"/>
      <c r="F972" s="105" t="str">
        <f>IFERROR(IF(FIND("开",F971,1),"开","关"),"关")</f>
        <v>关</v>
      </c>
      <c r="G972" s="105" t="str">
        <f>IFERROR(IF(FIND("开",G971,1),"开","关"),"关")</f>
        <v>关</v>
      </c>
      <c r="H972" s="105" t="str">
        <f>IFERROR(IF(FIND("开",H971,1),"开","关"),"关")</f>
        <v>关</v>
      </c>
      <c r="I972" s="106"/>
      <c r="J972" s="101"/>
      <c r="K972" s="105" t="str">
        <f>IFERROR(IF(FIND("开",K971,1),"开","关"),"关")</f>
        <v>关</v>
      </c>
      <c r="L972" s="105" t="str">
        <f>IFERROR(IF(FIND("开",L971,1),"开","关"),"关")</f>
        <v>关</v>
      </c>
      <c r="T972" s="75" t="str">
        <f>IF(ISBLANK(A972),T971,LEFT(A972,FIND(" ",A972,1)-1))</f>
        <v>3.33.1</v>
      </c>
    </row>
    <row r="973" spans="1:21" ht="60" customHeight="1">
      <c r="A973" s="595" t="s">
        <v>526</v>
      </c>
      <c r="B973" s="704" t="s">
        <v>464</v>
      </c>
      <c r="C973" s="105" t="s">
        <v>178</v>
      </c>
      <c r="D973" s="106"/>
      <c r="E973" s="106"/>
      <c r="I973" s="106" t="s">
        <v>179</v>
      </c>
      <c r="J973" s="541" t="s">
        <v>149</v>
      </c>
      <c r="M973" s="598">
        <v>1</v>
      </c>
      <c r="N973" s="75"/>
      <c r="O973" s="75"/>
      <c r="Q973" s="75"/>
      <c r="T973" s="75"/>
    </row>
    <row r="974" spans="1:21" ht="60" customHeight="1">
      <c r="A974" s="634"/>
      <c r="B974" s="634"/>
      <c r="C974" s="105" t="s">
        <v>3</v>
      </c>
      <c r="D974" s="106" t="s">
        <v>58</v>
      </c>
      <c r="E974" s="542" t="s">
        <v>465</v>
      </c>
      <c r="F974" s="105" t="str">
        <f>IFERROR(IF(FIND("开",F972,1),"开","关"),"关")</f>
        <v>关</v>
      </c>
      <c r="G974" s="105" t="str">
        <f>IFERROR(IF(FIND("开",G972,1),"开","关"),"关")</f>
        <v>关</v>
      </c>
      <c r="H974" s="105" t="str">
        <f>IFERROR(IF(FIND("开",H972,1),"开","关"),"关")</f>
        <v>关</v>
      </c>
      <c r="I974" s="106"/>
      <c r="J974" s="101"/>
      <c r="K974" s="105" t="str">
        <f>IFERROR(IF(FIND("开",K972,1),"开","关"),"关")</f>
        <v>关</v>
      </c>
      <c r="L974" s="105" t="str">
        <f>IFERROR(IF(FIND("开",L972,1),"开","关"),"关")</f>
        <v>关</v>
      </c>
      <c r="M974" s="634"/>
      <c r="N974" s="75" t="s">
        <v>24</v>
      </c>
      <c r="O974" s="75" t="str">
        <f>MID(E974,FIND("setting",E974,1)+8,FIND("kg",E974,1)-FIND("setting",E974,1)-8)</f>
        <v xml:space="preserve"> 739.05</v>
      </c>
      <c r="Q974" s="75" t="str">
        <f>SUBSTITUTE(T974&amp;N974," ","")</f>
        <v>3.33.5DMF</v>
      </c>
      <c r="R974" s="74">
        <f>VLOOKUP(Q974,MOR投料表!A:L,9,FALSE)</f>
        <v>739.05</v>
      </c>
      <c r="T974" s="75" t="s">
        <v>527</v>
      </c>
      <c r="U974" s="74" t="b">
        <f>TEXT(O974,"0.00")=TEXT(R974,"0.00")</f>
        <v>1</v>
      </c>
    </row>
    <row r="975" spans="1:21" ht="45" customHeight="1">
      <c r="A975" s="634"/>
      <c r="B975" s="634"/>
      <c r="C975" s="105" t="s">
        <v>3</v>
      </c>
      <c r="D975" s="106" t="s">
        <v>61</v>
      </c>
      <c r="E975" s="101" t="s">
        <v>62</v>
      </c>
      <c r="F975" s="105" t="str">
        <f>IFERROR(IF(FIND("开",F974,1),"开","关"),"关")</f>
        <v>关</v>
      </c>
      <c r="G975" s="105" t="str">
        <f>IFERROR(IF(FIND("开",G974,1),"开","关"),"关")</f>
        <v>关</v>
      </c>
      <c r="H975" s="105" t="str">
        <f>IFERROR(IF(FIND("开",H974,1),"开","关"),"关")</f>
        <v>关</v>
      </c>
      <c r="I975" s="106"/>
      <c r="J975" s="101"/>
      <c r="K975" s="105" t="str">
        <f t="shared" ref="K975:L981" si="237">IFERROR(IF(FIND("开",K974,1),"开","关"),"关")</f>
        <v>关</v>
      </c>
      <c r="L975" s="105" t="str">
        <f t="shared" si="237"/>
        <v>关</v>
      </c>
      <c r="M975" s="634"/>
      <c r="T975" s="75" t="str">
        <f t="shared" ref="T975:T981" si="238">IF(ISBLANK(A975),T974,LEFT(A975,FIND(" ",A975,1)-1))</f>
        <v>3.33.5</v>
      </c>
    </row>
    <row r="976" spans="1:21" ht="45" customHeight="1">
      <c r="A976" s="634"/>
      <c r="B976" s="634"/>
      <c r="C976" s="105" t="s">
        <v>3</v>
      </c>
      <c r="D976" s="106" t="s">
        <v>35</v>
      </c>
      <c r="E976" s="101" t="s">
        <v>63</v>
      </c>
      <c r="F976" s="105" t="s">
        <v>37</v>
      </c>
      <c r="G976" s="105" t="str">
        <f>IFERROR(IF(FIND("开",G975,1),"开","关"),"关")</f>
        <v>关</v>
      </c>
      <c r="H976" s="105" t="str">
        <f>IFERROR(IF(FIND("开",H975,1),"开","关"),"关")</f>
        <v>关</v>
      </c>
      <c r="I976" s="106"/>
      <c r="J976" s="101"/>
      <c r="K976" s="105" t="str">
        <f t="shared" si="237"/>
        <v>关</v>
      </c>
      <c r="L976" s="105" t="str">
        <f t="shared" si="237"/>
        <v>关</v>
      </c>
      <c r="M976" s="634"/>
      <c r="T976" s="75" t="str">
        <f t="shared" si="238"/>
        <v>3.33.5</v>
      </c>
    </row>
    <row r="977" spans="1:38" ht="45" customHeight="1">
      <c r="A977" s="634"/>
      <c r="B977" s="634"/>
      <c r="C977" s="105" t="s">
        <v>3</v>
      </c>
      <c r="D977" s="106" t="s">
        <v>64</v>
      </c>
      <c r="E977" s="101" t="s">
        <v>65</v>
      </c>
      <c r="F977" s="105" t="str">
        <f>IFERROR(IF(FIND("开",F976,1),"开","关"),"关")</f>
        <v>开</v>
      </c>
      <c r="G977" s="105" t="s">
        <v>37</v>
      </c>
      <c r="H977" s="105" t="str">
        <f>IFERROR(IF(FIND("开",H976,1),"开","关"),"关")</f>
        <v>关</v>
      </c>
      <c r="I977" s="106"/>
      <c r="J977" s="101"/>
      <c r="K977" s="105" t="str">
        <f t="shared" si="237"/>
        <v>关</v>
      </c>
      <c r="L977" s="105" t="str">
        <f t="shared" si="237"/>
        <v>关</v>
      </c>
      <c r="M977" s="634"/>
      <c r="T977" s="75" t="str">
        <f t="shared" si="238"/>
        <v>3.33.5</v>
      </c>
    </row>
    <row r="978" spans="1:38" ht="45" customHeight="1">
      <c r="A978" s="634"/>
      <c r="B978" s="634"/>
      <c r="C978" s="105" t="s">
        <v>3</v>
      </c>
      <c r="D978" s="106" t="s">
        <v>52</v>
      </c>
      <c r="E978" s="101" t="s">
        <v>467</v>
      </c>
      <c r="F978" s="105" t="str">
        <f>IFERROR(IF(FIND("开",F977,1),"开","关"),"关")</f>
        <v>开</v>
      </c>
      <c r="G978" s="105" t="str">
        <f>IFERROR(IF(FIND("开",G977,1),"开","关"),"关")</f>
        <v>开</v>
      </c>
      <c r="H978" s="105" t="s">
        <v>37</v>
      </c>
      <c r="I978" s="106"/>
      <c r="J978" s="101"/>
      <c r="K978" s="105" t="str">
        <f t="shared" si="237"/>
        <v>关</v>
      </c>
      <c r="L978" s="105" t="str">
        <f t="shared" si="237"/>
        <v>关</v>
      </c>
      <c r="M978" s="634"/>
      <c r="T978" s="75" t="str">
        <f t="shared" si="238"/>
        <v>3.33.5</v>
      </c>
    </row>
    <row r="979" spans="1:38" ht="45" customHeight="1">
      <c r="A979" s="634"/>
      <c r="B979" s="634"/>
      <c r="C979" s="105" t="s">
        <v>3</v>
      </c>
      <c r="D979" s="106" t="s">
        <v>66</v>
      </c>
      <c r="E979" s="543" t="s">
        <v>468</v>
      </c>
      <c r="F979" s="105" t="str">
        <f>IFERROR(IF(FIND("开",F978,1),"开","关"),"关")</f>
        <v>开</v>
      </c>
      <c r="G979" s="105" t="str">
        <f>IFERROR(IF(FIND("开",G978,1),"开","关"),"关")</f>
        <v>开</v>
      </c>
      <c r="H979" s="105" t="str">
        <f>IFERROR(IF(FIND("开",H978,1),"开","关"),"关")</f>
        <v>开</v>
      </c>
      <c r="I979" s="106"/>
      <c r="J979" s="101"/>
      <c r="K979" s="105" t="str">
        <f t="shared" si="237"/>
        <v>关</v>
      </c>
      <c r="L979" s="105" t="str">
        <f t="shared" si="237"/>
        <v>关</v>
      </c>
      <c r="M979" s="634"/>
      <c r="T979" s="75" t="str">
        <f t="shared" si="238"/>
        <v>3.33.5</v>
      </c>
    </row>
    <row r="980" spans="1:38" ht="45" customHeight="1">
      <c r="A980" s="634"/>
      <c r="B980" s="634"/>
      <c r="C980" s="105" t="s">
        <v>3</v>
      </c>
      <c r="D980" s="106" t="s">
        <v>130</v>
      </c>
      <c r="E980" s="101" t="s">
        <v>469</v>
      </c>
      <c r="F980" s="105" t="str">
        <f>IFERROR(IF(FIND("开",F979,1),"开","关"),"关")</f>
        <v>开</v>
      </c>
      <c r="G980" s="105" t="str">
        <f>IFERROR(IF(FIND("开",G979,1),"开","关"),"关")</f>
        <v>开</v>
      </c>
      <c r="H980" s="105" t="s">
        <v>42</v>
      </c>
      <c r="I980" s="106"/>
      <c r="J980" s="101"/>
      <c r="K980" s="105" t="str">
        <f t="shared" si="237"/>
        <v>关</v>
      </c>
      <c r="L980" s="105" t="str">
        <f t="shared" si="237"/>
        <v>关</v>
      </c>
      <c r="M980" s="634"/>
      <c r="N980" s="76"/>
      <c r="O980" s="76"/>
      <c r="P980" s="76"/>
      <c r="Q980" s="76"/>
      <c r="T980" s="75" t="str">
        <f t="shared" si="238"/>
        <v>3.33.5</v>
      </c>
    </row>
    <row r="981" spans="1:38" ht="45" customHeight="1">
      <c r="A981" s="634"/>
      <c r="B981" s="634"/>
      <c r="C981" s="105" t="s">
        <v>3</v>
      </c>
      <c r="D981" s="106" t="s">
        <v>52</v>
      </c>
      <c r="E981" s="101" t="s">
        <v>470</v>
      </c>
      <c r="F981" s="105" t="str">
        <f>IFERROR(IF(FIND("开",F980,1),"开","关"),"关")</f>
        <v>开</v>
      </c>
      <c r="G981" s="105" t="str">
        <f>IFERROR(IF(FIND("开",G980,1),"开","关"),"关")</f>
        <v>开</v>
      </c>
      <c r="H981" s="105" t="s">
        <v>37</v>
      </c>
      <c r="I981" s="106"/>
      <c r="J981" s="101"/>
      <c r="K981" s="105" t="str">
        <f t="shared" si="237"/>
        <v>关</v>
      </c>
      <c r="L981" s="105" t="str">
        <f t="shared" si="237"/>
        <v>关</v>
      </c>
      <c r="M981" s="634"/>
      <c r="N981" s="76"/>
      <c r="O981" s="76"/>
      <c r="P981" s="76"/>
      <c r="Q981" s="76"/>
      <c r="T981" s="75" t="str">
        <f t="shared" si="238"/>
        <v>3.33.5</v>
      </c>
    </row>
    <row r="982" spans="1:38" ht="45" customHeight="1">
      <c r="A982" s="634"/>
      <c r="B982" s="634"/>
      <c r="C982" s="105" t="s">
        <v>3</v>
      </c>
      <c r="D982" s="106" t="s">
        <v>505</v>
      </c>
      <c r="E982" s="101" t="s">
        <v>44</v>
      </c>
      <c r="I982" s="106"/>
      <c r="J982" s="101"/>
      <c r="M982" s="634"/>
      <c r="N982" s="76"/>
      <c r="O982" s="76"/>
      <c r="P982" s="76"/>
      <c r="Q982" s="76"/>
      <c r="T982" s="75"/>
    </row>
    <row r="983" spans="1:38" ht="45" customHeight="1">
      <c r="A983" s="634"/>
      <c r="B983" s="634"/>
      <c r="C983" s="105" t="s">
        <v>3</v>
      </c>
      <c r="D983" s="106" t="s">
        <v>473</v>
      </c>
      <c r="E983" s="544" t="s">
        <v>474</v>
      </c>
      <c r="F983" s="105" t="str">
        <f>IFERROR(IF(FIND("开",F981,1),"开","关"),"关")</f>
        <v>开</v>
      </c>
      <c r="G983" s="105" t="str">
        <f>IFERROR(IF(FIND("开",G981,1),"开","关"),"关")</f>
        <v>开</v>
      </c>
      <c r="H983" s="105" t="str">
        <f>IFERROR(IF(FIND("开",H981,1),"开","关"),"关")</f>
        <v>开</v>
      </c>
      <c r="I983" s="106"/>
      <c r="J983" s="101"/>
      <c r="K983" s="105" t="str">
        <f>IFERROR(IF(FIND("开",K981,1),"开","关"),"关")</f>
        <v>关</v>
      </c>
      <c r="L983" s="105" t="str">
        <f>IFERROR(IF(FIND("开",L981,1),"开","关"),"关")</f>
        <v>关</v>
      </c>
      <c r="M983" s="634"/>
      <c r="N983" s="76"/>
      <c r="O983" s="76"/>
      <c r="P983" s="76"/>
      <c r="Q983" s="76"/>
      <c r="T983" s="75" t="str">
        <f>IF(ISBLANK(A983),T981,LEFT(A983,FIND(" ",A983,1)-1))</f>
        <v>3.33.5</v>
      </c>
      <c r="U983" s="74" t="b">
        <f>TEXT(O983,"0.00")=TEXT(R983,"0.00")</f>
        <v>1</v>
      </c>
    </row>
    <row r="984" spans="1:38" ht="45" customHeight="1">
      <c r="A984" s="634"/>
      <c r="B984" s="634"/>
      <c r="C984" s="105" t="s">
        <v>3</v>
      </c>
      <c r="D984" s="106" t="s">
        <v>70</v>
      </c>
      <c r="E984" s="101" t="s">
        <v>71</v>
      </c>
      <c r="F984" s="105" t="str">
        <f>IFERROR(IF(FIND("开",F983,1),"开","关"),"关")</f>
        <v>开</v>
      </c>
      <c r="G984" s="105" t="s">
        <v>42</v>
      </c>
      <c r="H984" s="105" t="str">
        <f>IFERROR(IF(FIND("开",H983,1),"开","关"),"关")</f>
        <v>开</v>
      </c>
      <c r="I984" s="106"/>
      <c r="J984" s="101"/>
      <c r="K984" s="105" t="str">
        <f>IFERROR(IF(FIND("开",K983,1),"开","关"),"关")</f>
        <v>关</v>
      </c>
      <c r="L984" s="105" t="str">
        <f>IFERROR(IF(FIND("开",L983,1),"开","关"),"关")</f>
        <v>关</v>
      </c>
      <c r="M984" s="634"/>
      <c r="T984" s="75" t="str">
        <f>IF(ISBLANK(A984),T983,LEFT(A984,FIND(" ",A984,1)-1))</f>
        <v>3.33.5</v>
      </c>
    </row>
    <row r="985" spans="1:38" ht="45" customHeight="1">
      <c r="A985" s="634"/>
      <c r="B985" s="634"/>
      <c r="C985" s="105" t="s">
        <v>3</v>
      </c>
      <c r="D985" s="106" t="s">
        <v>40</v>
      </c>
      <c r="E985" s="101" t="s">
        <v>41</v>
      </c>
      <c r="F985" s="105" t="s">
        <v>42</v>
      </c>
      <c r="G985" s="105" t="str">
        <f>IFERROR(IF(FIND("开",G984,1),"开","关"),"关")</f>
        <v>关</v>
      </c>
      <c r="H985" s="105" t="str">
        <f>IFERROR(IF(FIND("开",H984,1),"开","关"),"关")</f>
        <v>开</v>
      </c>
      <c r="I985" s="106"/>
      <c r="J985" s="101"/>
      <c r="K985" s="105" t="str">
        <f>IFERROR(IF(FIND("开",K984,1),"开","关"),"关")</f>
        <v>关</v>
      </c>
      <c r="L985" s="105" t="str">
        <f>IFERROR(IF(FIND("开",L984,1),"开","关"),"关")</f>
        <v>关</v>
      </c>
      <c r="M985" s="634"/>
      <c r="T985" s="75" t="str">
        <f>IF(ISBLANK(A985),T984,LEFT(A985,FIND(" ",A985,1)-1))</f>
        <v>3.33.5</v>
      </c>
    </row>
    <row r="986" spans="1:38" ht="45" customHeight="1">
      <c r="A986" s="634"/>
      <c r="B986" s="634"/>
      <c r="C986" s="105" t="s">
        <v>3</v>
      </c>
      <c r="D986" s="106" t="s">
        <v>475</v>
      </c>
      <c r="E986" s="545" t="s">
        <v>476</v>
      </c>
      <c r="F986" s="105" t="str">
        <f>IFERROR(IF(FIND("开",#REF!,1),"开","关"),"关")</f>
        <v>关</v>
      </c>
      <c r="G986" s="105" t="str">
        <f>IFERROR(IF(FIND("开",#REF!,1),"开","关"),"关")</f>
        <v>关</v>
      </c>
      <c r="H986" s="105" t="str">
        <f>IFERROR(IF(FIND("开",#REF!,1),"开","关"),"关")</f>
        <v>关</v>
      </c>
      <c r="I986" s="106"/>
      <c r="J986" s="101"/>
      <c r="K986" s="105" t="str">
        <f>IFERROR(IF(FIND("开",#REF!,1),"开","关"),"关")</f>
        <v>关</v>
      </c>
      <c r="L986" s="105" t="str">
        <f>IFERROR(IF(FIND("开",#REF!,1),"开","关"),"关")</f>
        <v>关</v>
      </c>
      <c r="M986" s="635"/>
      <c r="T986" s="75" t="e">
        <f>IF(ISBLANK(A986),#REF!,LEFT(A986,FIND(" ",A986,1)-1))</f>
        <v>#REF!</v>
      </c>
    </row>
    <row r="987" spans="1:38" ht="45" customHeight="1">
      <c r="A987" s="603" t="s">
        <v>477</v>
      </c>
      <c r="B987" s="705" t="s">
        <v>478</v>
      </c>
      <c r="C987" s="105" t="s">
        <v>3</v>
      </c>
      <c r="D987" s="106" t="s">
        <v>130</v>
      </c>
      <c r="E987" s="101" t="s">
        <v>479</v>
      </c>
      <c r="F987" s="105" t="str">
        <f t="shared" ref="F987:G989" si="239">IFERROR(IF(FIND("开",F986,1),"开","关"),"关")</f>
        <v>关</v>
      </c>
      <c r="G987" s="105" t="str">
        <f t="shared" si="239"/>
        <v>关</v>
      </c>
      <c r="H987" s="105" t="s">
        <v>42</v>
      </c>
      <c r="I987" s="106"/>
      <c r="J987" s="101"/>
      <c r="K987" s="105" t="str">
        <f t="shared" ref="K987:L989" si="240">IFERROR(IF(FIND("开",K986,1),"开","关"),"关")</f>
        <v>关</v>
      </c>
      <c r="L987" s="105" t="str">
        <f t="shared" si="240"/>
        <v>关</v>
      </c>
      <c r="M987" s="601">
        <v>1</v>
      </c>
      <c r="T987" s="75" t="str">
        <f>IF(ISBLANK(A987),T986,LEFT(A987,FIND(" ",A987,1)-1))</f>
        <v>Adjust</v>
      </c>
    </row>
    <row r="988" spans="1:38" ht="67.150000000000006" customHeight="1">
      <c r="A988" s="603"/>
      <c r="B988" s="602"/>
      <c r="C988" s="105" t="s">
        <v>3</v>
      </c>
      <c r="D988" s="106" t="s">
        <v>52</v>
      </c>
      <c r="E988" s="546" t="s">
        <v>480</v>
      </c>
      <c r="F988" s="105" t="str">
        <f t="shared" si="239"/>
        <v>关</v>
      </c>
      <c r="G988" s="105" t="str">
        <f t="shared" si="239"/>
        <v>关</v>
      </c>
      <c r="H988" s="105" t="s">
        <v>37</v>
      </c>
      <c r="I988" s="106"/>
      <c r="J988" s="101"/>
      <c r="K988" s="105" t="str">
        <f t="shared" si="240"/>
        <v>关</v>
      </c>
      <c r="L988" s="105" t="str">
        <f t="shared" si="240"/>
        <v>关</v>
      </c>
      <c r="M988" s="601"/>
      <c r="T988" s="75" t="str">
        <f>IF(ISBLANK(A988),T987,LEFT(A988,FIND(" ",A988,1)-1))</f>
        <v>Adjust</v>
      </c>
    </row>
    <row r="989" spans="1:38" ht="45" customHeight="1">
      <c r="A989" s="603" t="s">
        <v>528</v>
      </c>
      <c r="B989" s="619" t="s">
        <v>755</v>
      </c>
      <c r="C989" s="105" t="s">
        <v>178</v>
      </c>
      <c r="D989" s="106"/>
      <c r="E989" s="101"/>
      <c r="F989" s="105" t="str">
        <f t="shared" si="239"/>
        <v>关</v>
      </c>
      <c r="G989" s="105" t="str">
        <f t="shared" si="239"/>
        <v>关</v>
      </c>
      <c r="H989" s="105" t="str">
        <f>IFERROR(IF(FIND("开",H988,1),"开","关"),"关")</f>
        <v>开</v>
      </c>
      <c r="I989" s="2" t="s">
        <v>74</v>
      </c>
      <c r="J989" s="547" t="s">
        <v>508</v>
      </c>
      <c r="K989" s="105" t="str">
        <f t="shared" si="240"/>
        <v>关</v>
      </c>
      <c r="L989" s="105" t="str">
        <f t="shared" si="240"/>
        <v>关</v>
      </c>
      <c r="M989" s="601">
        <v>1</v>
      </c>
      <c r="N989" s="75"/>
      <c r="O989" s="75"/>
      <c r="Q989" s="75"/>
      <c r="T989" s="75"/>
    </row>
    <row r="990" spans="1:38" s="121" customFormat="1" ht="45" customHeight="1">
      <c r="A990" s="603"/>
      <c r="B990" s="602"/>
      <c r="C990" s="105" t="s">
        <v>178</v>
      </c>
      <c r="D990" s="106"/>
      <c r="E990" s="101"/>
      <c r="F990" s="105"/>
      <c r="G990" s="105"/>
      <c r="H990" s="105"/>
      <c r="I990" s="84" t="s">
        <v>483</v>
      </c>
      <c r="J990" s="548" t="s">
        <v>484</v>
      </c>
      <c r="K990" s="105"/>
      <c r="L990" s="105"/>
      <c r="M990" s="601"/>
      <c r="N990" s="75" t="s">
        <v>24</v>
      </c>
      <c r="O990" s="75" t="str">
        <f>MID(J990,FIND("setting",J990,1)+8,FIND("kg",J990,1)-FIND("setting",J990,1)-8)</f>
        <v xml:space="preserve"> 616.20</v>
      </c>
      <c r="P990" s="74"/>
      <c r="Q990" s="75" t="str">
        <f>SUBSTITUTE(T990&amp;N990," ","")</f>
        <v>3.33.9DMF</v>
      </c>
      <c r="R990" s="74">
        <f>VLOOKUP(Q990,MOR投料表!A:L,9,FALSE)</f>
        <v>616.20000000000005</v>
      </c>
      <c r="S990" s="74"/>
      <c r="T990" s="75" t="s">
        <v>529</v>
      </c>
      <c r="U990" s="74" t="b">
        <f>TEXT(O990,"0.00")=TEXT(R990,"0.00")</f>
        <v>1</v>
      </c>
      <c r="V990" s="74"/>
      <c r="W990" s="76"/>
      <c r="X990" s="76"/>
      <c r="Y990" s="76"/>
      <c r="Z990" s="76"/>
      <c r="AA990" s="76"/>
      <c r="AB990" s="76"/>
      <c r="AC990" s="76"/>
      <c r="AD990" s="76"/>
      <c r="AE990" s="76"/>
      <c r="AF990" s="76"/>
      <c r="AG990" s="76"/>
      <c r="AH990" s="76"/>
      <c r="AI990" s="76"/>
      <c r="AJ990" s="76"/>
      <c r="AK990" s="76"/>
      <c r="AL990" s="76"/>
    </row>
    <row r="991" spans="1:38" s="121" customFormat="1" ht="45" customHeight="1">
      <c r="A991" s="603"/>
      <c r="B991" s="602"/>
      <c r="C991" s="105" t="s">
        <v>178</v>
      </c>
      <c r="D991" s="106"/>
      <c r="E991" s="101"/>
      <c r="F991" s="105" t="str">
        <f>IFERROR(IF(FIND("开",F989,1),"开","关"),"关")</f>
        <v>关</v>
      </c>
      <c r="G991" s="105" t="str">
        <f>IFERROR(IF(FIND("开",G989,1),"开","关"),"关")</f>
        <v>关</v>
      </c>
      <c r="H991" s="105" t="str">
        <f>IFERROR(IF(FIND("开",H989,1),"开","关"),"关")</f>
        <v>开</v>
      </c>
      <c r="I991" s="84" t="s">
        <v>61</v>
      </c>
      <c r="J991" s="549" t="s">
        <v>486</v>
      </c>
      <c r="K991" s="105" t="str">
        <f>IFERROR(IF(FIND("开",K989,1),"开","关"),"关")</f>
        <v>关</v>
      </c>
      <c r="L991" s="105" t="str">
        <f>IFERROR(IF(FIND("开",L989,1),"开","关"),"关")</f>
        <v>关</v>
      </c>
      <c r="M991" s="601"/>
      <c r="N991" s="74"/>
      <c r="O991" s="74"/>
      <c r="P991" s="74"/>
      <c r="Q991" s="74"/>
      <c r="R991" s="74"/>
      <c r="S991" s="74"/>
      <c r="T991" s="75">
        <f>IF(ISBLANK(A991),T989,LEFT(A991,FIND(" ",A991,1)-1))</f>
        <v>0</v>
      </c>
      <c r="U991" s="74"/>
      <c r="V991" s="74"/>
      <c r="W991" s="76"/>
      <c r="X991" s="76"/>
      <c r="Y991" s="76"/>
      <c r="Z991" s="76"/>
      <c r="AA991" s="76"/>
      <c r="AB991" s="76"/>
      <c r="AC991" s="76"/>
      <c r="AD991" s="76"/>
      <c r="AE991" s="76"/>
      <c r="AF991" s="76"/>
      <c r="AG991" s="76"/>
      <c r="AH991" s="76"/>
      <c r="AI991" s="76"/>
      <c r="AJ991" s="76"/>
      <c r="AK991" s="76"/>
      <c r="AL991" s="76"/>
    </row>
    <row r="992" spans="1:38" s="121" customFormat="1" ht="45" customHeight="1">
      <c r="A992" s="603"/>
      <c r="B992" s="602"/>
      <c r="C992" s="105" t="s">
        <v>178</v>
      </c>
      <c r="D992" s="106"/>
      <c r="E992" s="101"/>
      <c r="F992" s="105"/>
      <c r="G992" s="105"/>
      <c r="H992" s="105"/>
      <c r="I992" s="84" t="s">
        <v>112</v>
      </c>
      <c r="J992" s="550" t="s">
        <v>487</v>
      </c>
      <c r="K992" s="105"/>
      <c r="L992" s="105"/>
      <c r="M992" s="601"/>
      <c r="N992" s="74"/>
      <c r="O992" s="74"/>
      <c r="P992" s="74"/>
      <c r="Q992" s="74"/>
      <c r="R992" s="74"/>
      <c r="S992" s="74"/>
      <c r="T992" s="75"/>
      <c r="U992" s="74"/>
      <c r="V992" s="74"/>
      <c r="W992" s="76"/>
      <c r="X992" s="76"/>
      <c r="Y992" s="76"/>
      <c r="Z992" s="76"/>
      <c r="AA992" s="76"/>
      <c r="AB992" s="76"/>
      <c r="AC992" s="76"/>
      <c r="AD992" s="76"/>
      <c r="AE992" s="76"/>
      <c r="AF992" s="76"/>
      <c r="AG992" s="76"/>
      <c r="AH992" s="76"/>
      <c r="AI992" s="76"/>
      <c r="AJ992" s="76"/>
      <c r="AK992" s="76"/>
      <c r="AL992" s="76"/>
    </row>
    <row r="993" spans="1:38" s="121" customFormat="1" ht="45" customHeight="1">
      <c r="A993" s="603"/>
      <c r="B993" s="602"/>
      <c r="C993" s="105" t="s">
        <v>178</v>
      </c>
      <c r="D993" s="106"/>
      <c r="E993" s="101"/>
      <c r="F993" s="105"/>
      <c r="G993" s="105"/>
      <c r="H993" s="105"/>
      <c r="I993" s="84" t="s">
        <v>488</v>
      </c>
      <c r="J993" s="551" t="s">
        <v>489</v>
      </c>
      <c r="K993" s="105"/>
      <c r="L993" s="105"/>
      <c r="M993" s="601"/>
      <c r="N993" s="74"/>
      <c r="O993" s="74"/>
      <c r="P993" s="74"/>
      <c r="Q993" s="74"/>
      <c r="R993" s="74"/>
      <c r="S993" s="74"/>
      <c r="T993" s="75"/>
      <c r="U993" s="74"/>
      <c r="V993" s="74"/>
      <c r="W993" s="76"/>
      <c r="X993" s="76"/>
      <c r="Y993" s="76"/>
      <c r="Z993" s="76"/>
      <c r="AA993" s="76"/>
      <c r="AB993" s="76"/>
      <c r="AC993" s="76"/>
      <c r="AD993" s="76"/>
      <c r="AE993" s="76"/>
      <c r="AF993" s="76"/>
      <c r="AG993" s="76"/>
      <c r="AH993" s="76"/>
      <c r="AI993" s="76"/>
      <c r="AJ993" s="76"/>
      <c r="AK993" s="76"/>
      <c r="AL993" s="76"/>
    </row>
    <row r="994" spans="1:38" s="121" customFormat="1" ht="45" customHeight="1">
      <c r="A994" s="603"/>
      <c r="B994" s="602"/>
      <c r="C994" s="105" t="s">
        <v>178</v>
      </c>
      <c r="D994" s="106"/>
      <c r="E994" s="101"/>
      <c r="F994" s="105"/>
      <c r="G994" s="105"/>
      <c r="H994" s="105"/>
      <c r="I994" s="84" t="s">
        <v>87</v>
      </c>
      <c r="J994" s="552" t="s">
        <v>490</v>
      </c>
      <c r="K994" s="105"/>
      <c r="L994" s="105"/>
      <c r="M994" s="601"/>
      <c r="N994" s="74"/>
      <c r="O994" s="74"/>
      <c r="P994" s="74"/>
      <c r="Q994" s="74"/>
      <c r="R994" s="74"/>
      <c r="S994" s="74"/>
      <c r="T994" s="75"/>
      <c r="U994" s="74"/>
      <c r="V994" s="74"/>
      <c r="W994" s="76"/>
      <c r="X994" s="76"/>
      <c r="Y994" s="76"/>
      <c r="Z994" s="76"/>
      <c r="AA994" s="76"/>
      <c r="AB994" s="76"/>
      <c r="AC994" s="76"/>
      <c r="AD994" s="76"/>
      <c r="AE994" s="76"/>
      <c r="AF994" s="76"/>
      <c r="AG994" s="76"/>
      <c r="AH994" s="76"/>
      <c r="AI994" s="76"/>
      <c r="AJ994" s="76"/>
      <c r="AK994" s="76"/>
      <c r="AL994" s="76"/>
    </row>
    <row r="995" spans="1:38" s="121" customFormat="1" ht="45" customHeight="1">
      <c r="A995" s="603"/>
      <c r="B995" s="602"/>
      <c r="C995" s="105" t="s">
        <v>178</v>
      </c>
      <c r="D995" s="106"/>
      <c r="E995" s="101"/>
      <c r="F995" s="105"/>
      <c r="G995" s="105"/>
      <c r="H995" s="105"/>
      <c r="I995" s="2" t="s">
        <v>74</v>
      </c>
      <c r="J995" s="553" t="s">
        <v>491</v>
      </c>
      <c r="K995" s="105"/>
      <c r="L995" s="105"/>
      <c r="M995" s="601"/>
      <c r="N995" s="74"/>
      <c r="O995" s="74"/>
      <c r="P995" s="74"/>
      <c r="Q995" s="74"/>
      <c r="R995" s="74"/>
      <c r="S995" s="74"/>
      <c r="T995" s="75"/>
      <c r="U995" s="74"/>
      <c r="V995" s="74"/>
      <c r="W995" s="76"/>
      <c r="X995" s="76"/>
      <c r="Y995" s="76"/>
      <c r="Z995" s="76"/>
      <c r="AA995" s="76"/>
      <c r="AB995" s="76"/>
      <c r="AC995" s="76"/>
      <c r="AD995" s="76"/>
      <c r="AE995" s="76"/>
      <c r="AF995" s="76"/>
      <c r="AG995" s="76"/>
      <c r="AH995" s="76"/>
      <c r="AI995" s="76"/>
      <c r="AJ995" s="76"/>
      <c r="AK995" s="76"/>
      <c r="AL995" s="76"/>
    </row>
    <row r="996" spans="1:38" s="121" customFormat="1" ht="45" customHeight="1">
      <c r="A996" s="603"/>
      <c r="B996" s="602"/>
      <c r="C996" s="105" t="s">
        <v>178</v>
      </c>
      <c r="D996" s="106"/>
      <c r="E996" s="101"/>
      <c r="F996" s="105"/>
      <c r="G996" s="105"/>
      <c r="H996" s="105"/>
      <c r="I996" s="84" t="s">
        <v>179</v>
      </c>
      <c r="J996" s="554" t="s">
        <v>492</v>
      </c>
      <c r="K996" s="105"/>
      <c r="L996" s="105"/>
      <c r="M996" s="601"/>
      <c r="N996" s="74"/>
      <c r="O996" s="74"/>
      <c r="P996" s="74"/>
      <c r="Q996" s="74"/>
      <c r="R996" s="74"/>
      <c r="S996" s="74"/>
      <c r="T996" s="75"/>
      <c r="U996" s="74"/>
      <c r="V996" s="74"/>
      <c r="W996" s="76"/>
      <c r="X996" s="76"/>
      <c r="Y996" s="76"/>
      <c r="Z996" s="76"/>
      <c r="AA996" s="76"/>
      <c r="AB996" s="76"/>
      <c r="AC996" s="76"/>
      <c r="AD996" s="76"/>
      <c r="AE996" s="76"/>
      <c r="AF996" s="76"/>
      <c r="AG996" s="76"/>
      <c r="AH996" s="76"/>
      <c r="AI996" s="76"/>
      <c r="AJ996" s="76"/>
      <c r="AK996" s="76"/>
      <c r="AL996" s="76"/>
    </row>
    <row r="997" spans="1:38" s="121" customFormat="1" ht="45" customHeight="1">
      <c r="A997" s="603"/>
      <c r="B997" s="602"/>
      <c r="C997" s="105" t="s">
        <v>178</v>
      </c>
      <c r="D997" s="106"/>
      <c r="E997" s="101"/>
      <c r="F997" s="105"/>
      <c r="G997" s="105"/>
      <c r="H997" s="105"/>
      <c r="I997" s="84" t="s">
        <v>116</v>
      </c>
      <c r="J997" s="555" t="s">
        <v>493</v>
      </c>
      <c r="K997" s="105"/>
      <c r="L997" s="105"/>
      <c r="M997" s="601"/>
      <c r="N997" s="74"/>
      <c r="O997" s="74"/>
      <c r="P997" s="74"/>
      <c r="Q997" s="74"/>
      <c r="R997" s="74"/>
      <c r="S997" s="74"/>
      <c r="T997" s="75"/>
      <c r="U997" s="74"/>
      <c r="V997" s="74"/>
      <c r="W997" s="76"/>
      <c r="X997" s="76"/>
      <c r="Y997" s="76"/>
      <c r="Z997" s="76"/>
      <c r="AA997" s="76"/>
      <c r="AB997" s="76"/>
      <c r="AC997" s="76"/>
      <c r="AD997" s="76"/>
      <c r="AE997" s="76"/>
      <c r="AF997" s="76"/>
      <c r="AG997" s="76"/>
      <c r="AH997" s="76"/>
      <c r="AI997" s="76"/>
      <c r="AJ997" s="76"/>
      <c r="AK997" s="76"/>
      <c r="AL997" s="76"/>
    </row>
    <row r="998" spans="1:38" s="121" customFormat="1" ht="45" customHeight="1">
      <c r="A998" s="603"/>
      <c r="B998" s="602"/>
      <c r="C998" s="105" t="s">
        <v>494</v>
      </c>
      <c r="D998" s="106" t="s">
        <v>495</v>
      </c>
      <c r="E998" s="556" t="s">
        <v>32</v>
      </c>
      <c r="F998" s="105"/>
      <c r="G998" s="105"/>
      <c r="H998" s="105"/>
      <c r="I998" s="84"/>
      <c r="J998" s="77"/>
      <c r="K998" s="105"/>
      <c r="L998" s="105"/>
      <c r="M998" s="601"/>
      <c r="N998" s="74"/>
      <c r="O998" s="74"/>
      <c r="P998" s="74"/>
      <c r="Q998" s="74"/>
      <c r="R998" s="74"/>
      <c r="S998" s="74"/>
      <c r="T998" s="75"/>
      <c r="U998" s="74"/>
      <c r="V998" s="74"/>
      <c r="W998" s="76"/>
      <c r="X998" s="76"/>
      <c r="Y998" s="76"/>
      <c r="Z998" s="76"/>
      <c r="AA998" s="76"/>
      <c r="AB998" s="76"/>
      <c r="AC998" s="76"/>
      <c r="AD998" s="76"/>
      <c r="AE998" s="76"/>
      <c r="AF998" s="76"/>
      <c r="AG998" s="76"/>
      <c r="AH998" s="76"/>
      <c r="AI998" s="76"/>
      <c r="AJ998" s="76"/>
      <c r="AK998" s="76"/>
      <c r="AL998" s="76"/>
    </row>
    <row r="999" spans="1:38" s="121" customFormat="1" ht="45" customHeight="1">
      <c r="A999" s="603"/>
      <c r="B999" s="602"/>
      <c r="C999" s="105" t="s">
        <v>494</v>
      </c>
      <c r="D999" s="106" t="s">
        <v>496</v>
      </c>
      <c r="E999" s="557" t="s">
        <v>497</v>
      </c>
      <c r="F999" s="105"/>
      <c r="G999" s="105"/>
      <c r="H999" s="105"/>
      <c r="I999" s="84"/>
      <c r="J999" s="77"/>
      <c r="K999" s="105"/>
      <c r="L999" s="105"/>
      <c r="M999" s="601"/>
      <c r="N999" s="74"/>
      <c r="O999" s="74"/>
      <c r="P999" s="74"/>
      <c r="Q999" s="74"/>
      <c r="R999" s="74"/>
      <c r="S999" s="74"/>
      <c r="T999" s="75"/>
      <c r="U999" s="74"/>
      <c r="V999" s="74"/>
      <c r="W999" s="76"/>
      <c r="X999" s="76"/>
      <c r="Y999" s="76"/>
      <c r="Z999" s="76"/>
      <c r="AA999" s="76"/>
      <c r="AB999" s="76"/>
      <c r="AC999" s="76"/>
      <c r="AD999" s="76"/>
      <c r="AE999" s="76"/>
      <c r="AF999" s="76"/>
      <c r="AG999" s="76"/>
      <c r="AH999" s="76"/>
      <c r="AI999" s="76"/>
      <c r="AJ999" s="76"/>
      <c r="AK999" s="76"/>
      <c r="AL999" s="76"/>
    </row>
    <row r="1000" spans="1:38" s="121" customFormat="1" ht="45" customHeight="1">
      <c r="A1000" s="603"/>
      <c r="B1000" s="602"/>
      <c r="C1000" s="105" t="s">
        <v>178</v>
      </c>
      <c r="D1000" s="106"/>
      <c r="E1000" s="101"/>
      <c r="F1000" s="105"/>
      <c r="G1000" s="105"/>
      <c r="H1000" s="105"/>
      <c r="I1000" s="84" t="s">
        <v>87</v>
      </c>
      <c r="J1000" s="558" t="s">
        <v>498</v>
      </c>
      <c r="K1000" s="105"/>
      <c r="L1000" s="105"/>
      <c r="M1000" s="601"/>
      <c r="N1000" s="74"/>
      <c r="O1000" s="74"/>
      <c r="P1000" s="74"/>
      <c r="Q1000" s="74"/>
      <c r="R1000" s="74"/>
      <c r="S1000" s="74"/>
      <c r="T1000" s="75"/>
      <c r="U1000" s="74"/>
      <c r="V1000" s="74"/>
      <c r="W1000" s="76"/>
      <c r="X1000" s="76"/>
      <c r="Y1000" s="76"/>
      <c r="Z1000" s="76"/>
      <c r="AA1000" s="76"/>
      <c r="AB1000" s="76"/>
      <c r="AC1000" s="76"/>
      <c r="AD1000" s="76"/>
      <c r="AE1000" s="76"/>
      <c r="AF1000" s="76"/>
      <c r="AG1000" s="76"/>
      <c r="AH1000" s="76"/>
      <c r="AI1000" s="76"/>
      <c r="AJ1000" s="76"/>
      <c r="AK1000" s="76"/>
      <c r="AL1000" s="76"/>
    </row>
    <row r="1001" spans="1:38" s="121" customFormat="1" ht="45" customHeight="1">
      <c r="A1001" s="603"/>
      <c r="B1001" s="602"/>
      <c r="C1001" s="105" t="s">
        <v>3</v>
      </c>
      <c r="D1001" s="106" t="s">
        <v>35</v>
      </c>
      <c r="E1001" s="101" t="s">
        <v>63</v>
      </c>
      <c r="F1001" s="105" t="s">
        <v>37</v>
      </c>
      <c r="G1001" s="105" t="str">
        <f>IFERROR(IF(FIND("开",G991,1),"开","关"),"关")</f>
        <v>关</v>
      </c>
      <c r="H1001" s="105" t="str">
        <f>IFERROR(IF(FIND("开",H991,1),"开","关"),"关")</f>
        <v>开</v>
      </c>
      <c r="I1001" s="84"/>
      <c r="J1001" s="77"/>
      <c r="K1001" s="105" t="str">
        <f>IFERROR(IF(FIND("开",K991,1),"开","关"),"关")</f>
        <v>关</v>
      </c>
      <c r="L1001" s="105" t="str">
        <f>IFERROR(IF(FIND("开",L991,1),"开","关"),"关")</f>
        <v>关</v>
      </c>
      <c r="M1001" s="601"/>
      <c r="N1001" s="74"/>
      <c r="O1001" s="74"/>
      <c r="P1001" s="74"/>
      <c r="Q1001" s="74"/>
      <c r="R1001" s="74"/>
      <c r="S1001" s="74"/>
      <c r="T1001" s="75">
        <f>IF(ISBLANK(A1001),T991,LEFT(A1001,FIND(" ",A1001,1)-1))</f>
        <v>0</v>
      </c>
      <c r="U1001" s="74"/>
      <c r="V1001" s="74"/>
      <c r="W1001" s="76"/>
      <c r="X1001" s="76"/>
      <c r="Y1001" s="76"/>
      <c r="Z1001" s="76"/>
      <c r="AA1001" s="76"/>
      <c r="AB1001" s="76"/>
      <c r="AC1001" s="76"/>
      <c r="AD1001" s="76"/>
      <c r="AE1001" s="76"/>
      <c r="AF1001" s="76"/>
      <c r="AG1001" s="76"/>
      <c r="AH1001" s="76"/>
      <c r="AI1001" s="76"/>
      <c r="AJ1001" s="76"/>
      <c r="AK1001" s="76"/>
      <c r="AL1001" s="76"/>
    </row>
    <row r="1002" spans="1:38" s="121" customFormat="1" ht="45" customHeight="1">
      <c r="A1002" s="603"/>
      <c r="B1002" s="602"/>
      <c r="C1002" s="105" t="s">
        <v>3</v>
      </c>
      <c r="D1002" s="106" t="s">
        <v>499</v>
      </c>
      <c r="E1002" s="559" t="s">
        <v>122</v>
      </c>
      <c r="F1002" s="105"/>
      <c r="G1002" s="105"/>
      <c r="H1002" s="105"/>
      <c r="I1002" s="84"/>
      <c r="J1002" s="77"/>
      <c r="K1002" s="105"/>
      <c r="L1002" s="105"/>
      <c r="M1002" s="601"/>
      <c r="N1002" s="75"/>
      <c r="O1002" s="75"/>
      <c r="P1002" s="74"/>
      <c r="Q1002" s="74"/>
      <c r="R1002" s="74"/>
      <c r="S1002" s="74"/>
      <c r="T1002" s="75"/>
      <c r="U1002" s="74"/>
      <c r="V1002" s="74"/>
      <c r="W1002" s="76"/>
      <c r="X1002" s="76"/>
      <c r="Y1002" s="76"/>
      <c r="Z1002" s="76"/>
      <c r="AA1002" s="76"/>
      <c r="AB1002" s="76"/>
      <c r="AC1002" s="76"/>
      <c r="AD1002" s="76"/>
      <c r="AE1002" s="76"/>
      <c r="AF1002" s="76"/>
      <c r="AG1002" s="76"/>
      <c r="AH1002" s="76"/>
      <c r="AI1002" s="76"/>
      <c r="AJ1002" s="76"/>
      <c r="AK1002" s="76"/>
      <c r="AL1002" s="76"/>
    </row>
    <row r="1003" spans="1:38" s="121" customFormat="1" ht="45" customHeight="1">
      <c r="A1003" s="603"/>
      <c r="B1003" s="602"/>
      <c r="C1003" s="105" t="s">
        <v>3</v>
      </c>
      <c r="D1003" s="106" t="s">
        <v>500</v>
      </c>
      <c r="E1003" s="560" t="s">
        <v>501</v>
      </c>
      <c r="F1003" s="105"/>
      <c r="G1003" s="105"/>
      <c r="H1003" s="105"/>
      <c r="I1003" s="84"/>
      <c r="J1003" s="77"/>
      <c r="K1003" s="105"/>
      <c r="L1003" s="105"/>
      <c r="M1003" s="601"/>
      <c r="N1003" s="75"/>
      <c r="O1003" s="75"/>
      <c r="P1003" s="74"/>
      <c r="Q1003" s="74"/>
      <c r="R1003" s="74"/>
      <c r="S1003" s="74"/>
      <c r="T1003" s="75"/>
      <c r="U1003" s="74"/>
      <c r="V1003" s="74"/>
      <c r="W1003" s="76"/>
      <c r="X1003" s="76"/>
      <c r="Y1003" s="76"/>
      <c r="Z1003" s="76"/>
      <c r="AA1003" s="76"/>
      <c r="AB1003" s="76"/>
      <c r="AC1003" s="76"/>
      <c r="AD1003" s="76"/>
      <c r="AE1003" s="76"/>
      <c r="AF1003" s="76"/>
      <c r="AG1003" s="76"/>
      <c r="AH1003" s="76"/>
      <c r="AI1003" s="76"/>
      <c r="AJ1003" s="76"/>
      <c r="AK1003" s="76"/>
      <c r="AL1003" s="76"/>
    </row>
    <row r="1004" spans="1:38" s="121" customFormat="1" ht="45" customHeight="1">
      <c r="A1004" s="603"/>
      <c r="B1004" s="602"/>
      <c r="C1004" s="105" t="s">
        <v>3</v>
      </c>
      <c r="D1004" s="106" t="s">
        <v>450</v>
      </c>
      <c r="E1004" s="561" t="s">
        <v>502</v>
      </c>
      <c r="F1004" s="105"/>
      <c r="G1004" s="105"/>
      <c r="H1004" s="105"/>
      <c r="I1004" s="84"/>
      <c r="J1004" s="77"/>
      <c r="K1004" s="105"/>
      <c r="L1004" s="105"/>
      <c r="M1004" s="601"/>
      <c r="N1004" s="75"/>
      <c r="O1004" s="75"/>
      <c r="P1004" s="74"/>
      <c r="Q1004" s="74"/>
      <c r="R1004" s="74"/>
      <c r="S1004" s="74"/>
      <c r="T1004" s="75"/>
      <c r="U1004" s="74"/>
      <c r="V1004" s="74"/>
      <c r="W1004" s="76"/>
      <c r="X1004" s="76"/>
      <c r="Y1004" s="76"/>
      <c r="Z1004" s="76"/>
      <c r="AA1004" s="76"/>
      <c r="AB1004" s="76"/>
      <c r="AC1004" s="76"/>
      <c r="AD1004" s="76"/>
      <c r="AE1004" s="76"/>
      <c r="AF1004" s="76"/>
      <c r="AG1004" s="76"/>
      <c r="AH1004" s="76"/>
      <c r="AI1004" s="76"/>
      <c r="AJ1004" s="76"/>
      <c r="AK1004" s="76"/>
      <c r="AL1004" s="76"/>
    </row>
    <row r="1005" spans="1:38" s="121" customFormat="1" ht="45" customHeight="1">
      <c r="A1005" s="603"/>
      <c r="B1005" s="602"/>
      <c r="C1005" s="105" t="s">
        <v>3</v>
      </c>
      <c r="D1005" s="106" t="s">
        <v>503</v>
      </c>
      <c r="E1005" s="562" t="s">
        <v>504</v>
      </c>
      <c r="F1005" s="105" t="str">
        <f>IFERROR(IF(FIND("开",F1001,1),"开","关"),"关")</f>
        <v>开</v>
      </c>
      <c r="G1005" s="105" t="s">
        <v>29</v>
      </c>
      <c r="H1005" s="105" t="str">
        <f>IFERROR(IF(FIND("开",H1001,1),"开","关"),"关")</f>
        <v>开</v>
      </c>
      <c r="I1005" s="84"/>
      <c r="J1005" s="77"/>
      <c r="K1005" s="105" t="str">
        <f>IFERROR(IF(FIND("开",K1001,1),"开","关"),"关")</f>
        <v>关</v>
      </c>
      <c r="L1005" s="105" t="str">
        <f>IFERROR(IF(FIND("开",L1001,1),"开","关"),"关")</f>
        <v>关</v>
      </c>
      <c r="M1005" s="601"/>
      <c r="N1005" s="75"/>
      <c r="O1005" s="75"/>
      <c r="P1005" s="74"/>
      <c r="Q1005" s="74"/>
      <c r="R1005" s="74"/>
      <c r="S1005" s="74"/>
      <c r="T1005" s="75">
        <f>IF(ISBLANK(A1005),T1001,LEFT(A1005,FIND(" ",A1005,1)-1))</f>
        <v>0</v>
      </c>
      <c r="U1005" s="74"/>
      <c r="V1005" s="74"/>
      <c r="W1005" s="76"/>
      <c r="X1005" s="76"/>
      <c r="Y1005" s="76"/>
      <c r="Z1005" s="76"/>
      <c r="AA1005" s="76"/>
      <c r="AB1005" s="76"/>
      <c r="AC1005" s="76"/>
      <c r="AD1005" s="76"/>
      <c r="AE1005" s="76"/>
      <c r="AF1005" s="76"/>
      <c r="AG1005" s="76"/>
      <c r="AH1005" s="76"/>
      <c r="AI1005" s="76"/>
      <c r="AJ1005" s="76"/>
      <c r="AK1005" s="76"/>
      <c r="AL1005" s="76"/>
    </row>
    <row r="1006" spans="1:38" s="121" customFormat="1" ht="45" customHeight="1">
      <c r="A1006" s="603"/>
      <c r="B1006" s="602"/>
      <c r="C1006" s="105" t="s">
        <v>3</v>
      </c>
      <c r="D1006" s="106" t="s">
        <v>40</v>
      </c>
      <c r="E1006" s="101" t="s">
        <v>41</v>
      </c>
      <c r="F1006" s="105" t="s">
        <v>42</v>
      </c>
      <c r="G1006" s="105" t="str">
        <f t="shared" ref="G1006:H1009" si="241">IFERROR(IF(FIND("开",G1005,1),"开","关"),"关")</f>
        <v>关</v>
      </c>
      <c r="H1006" s="105" t="str">
        <f t="shared" si="241"/>
        <v>开</v>
      </c>
      <c r="I1006" s="84"/>
      <c r="J1006" s="77"/>
      <c r="K1006" s="105" t="str">
        <f t="shared" ref="K1006:L1009" si="242">IFERROR(IF(FIND("开",K1005,1),"开","关"),"关")</f>
        <v>关</v>
      </c>
      <c r="L1006" s="105" t="str">
        <f t="shared" si="242"/>
        <v>关</v>
      </c>
      <c r="M1006" s="601"/>
      <c r="N1006" s="75"/>
      <c r="O1006" s="75"/>
      <c r="P1006" s="74"/>
      <c r="Q1006" s="74"/>
      <c r="R1006" s="74"/>
      <c r="S1006" s="74"/>
      <c r="T1006" s="75">
        <f>IF(ISBLANK(A1006),T1005,LEFT(A1006,FIND(" ",A1006,1)-1))</f>
        <v>0</v>
      </c>
      <c r="U1006" s="74" t="b">
        <f>TEXT(O1006,"0.00")=TEXT(R1006,"0.00")</f>
        <v>1</v>
      </c>
      <c r="V1006" s="74"/>
      <c r="W1006" s="76"/>
      <c r="X1006" s="76"/>
      <c r="Y1006" s="76"/>
      <c r="Z1006" s="76"/>
      <c r="AA1006" s="76"/>
      <c r="AB1006" s="76"/>
      <c r="AC1006" s="76"/>
      <c r="AD1006" s="76"/>
      <c r="AE1006" s="76"/>
      <c r="AF1006" s="76"/>
      <c r="AG1006" s="76"/>
      <c r="AH1006" s="76"/>
      <c r="AI1006" s="76"/>
      <c r="AJ1006" s="76"/>
      <c r="AK1006" s="76"/>
      <c r="AL1006" s="76"/>
    </row>
    <row r="1007" spans="1:38" s="121" customFormat="1" ht="45" customHeight="1">
      <c r="A1007" s="603"/>
      <c r="B1007" s="602"/>
      <c r="C1007" s="105" t="s">
        <v>3</v>
      </c>
      <c r="D1007" s="106" t="s">
        <v>505</v>
      </c>
      <c r="E1007" s="101" t="s">
        <v>44</v>
      </c>
      <c r="F1007" s="105" t="str">
        <f>IFERROR(IF(FIND("开",F1006,1),"开","关"),"关")</f>
        <v>关</v>
      </c>
      <c r="G1007" s="105" t="str">
        <f t="shared" si="241"/>
        <v>关</v>
      </c>
      <c r="H1007" s="105" t="str">
        <f t="shared" si="241"/>
        <v>开</v>
      </c>
      <c r="I1007" s="84"/>
      <c r="J1007" s="77"/>
      <c r="K1007" s="105" t="str">
        <f t="shared" si="242"/>
        <v>关</v>
      </c>
      <c r="L1007" s="105" t="str">
        <f t="shared" si="242"/>
        <v>关</v>
      </c>
      <c r="M1007" s="601"/>
      <c r="N1007" s="75"/>
      <c r="O1007" s="75"/>
      <c r="P1007" s="74"/>
      <c r="Q1007" s="74"/>
      <c r="R1007" s="74"/>
      <c r="S1007" s="74"/>
      <c r="T1007" s="75"/>
      <c r="U1007" s="74"/>
      <c r="V1007" s="74"/>
      <c r="W1007" s="76"/>
      <c r="X1007" s="76"/>
      <c r="Y1007" s="76"/>
      <c r="Z1007" s="76"/>
      <c r="AA1007" s="76"/>
      <c r="AB1007" s="76"/>
      <c r="AC1007" s="76"/>
      <c r="AD1007" s="76"/>
      <c r="AE1007" s="76"/>
      <c r="AF1007" s="76"/>
      <c r="AG1007" s="76"/>
      <c r="AH1007" s="76"/>
      <c r="AI1007" s="76"/>
      <c r="AJ1007" s="76"/>
      <c r="AK1007" s="76"/>
      <c r="AL1007" s="76"/>
    </row>
    <row r="1008" spans="1:38" s="121" customFormat="1" ht="45" customHeight="1">
      <c r="A1008" s="603"/>
      <c r="B1008" s="602"/>
      <c r="C1008" s="105" t="s">
        <v>3</v>
      </c>
      <c r="D1008" s="106" t="s">
        <v>475</v>
      </c>
      <c r="E1008" s="563" t="s">
        <v>476</v>
      </c>
      <c r="F1008" s="105" t="str">
        <f>IFERROR(IF(FIND("开",F1007,1),"开","关"),"关")</f>
        <v>关</v>
      </c>
      <c r="G1008" s="105" t="str">
        <f t="shared" si="241"/>
        <v>关</v>
      </c>
      <c r="H1008" s="105" t="str">
        <f t="shared" si="241"/>
        <v>开</v>
      </c>
      <c r="I1008" s="84"/>
      <c r="J1008" s="77"/>
      <c r="K1008" s="105" t="str">
        <f t="shared" si="242"/>
        <v>关</v>
      </c>
      <c r="L1008" s="105" t="str">
        <f t="shared" si="242"/>
        <v>关</v>
      </c>
      <c r="M1008" s="601"/>
      <c r="N1008" s="74"/>
      <c r="O1008" s="74"/>
      <c r="P1008" s="74"/>
      <c r="Q1008" s="74"/>
      <c r="R1008" s="74"/>
      <c r="S1008" s="74"/>
      <c r="T1008" s="75">
        <f>IF(ISBLANK(A1008),T1006,LEFT(A1008,FIND(" ",A1008,1)-1))</f>
        <v>0</v>
      </c>
      <c r="U1008" s="74"/>
      <c r="V1008" s="74"/>
      <c r="W1008" s="76"/>
      <c r="X1008" s="76"/>
      <c r="Y1008" s="76"/>
      <c r="Z1008" s="76"/>
      <c r="AA1008" s="76"/>
      <c r="AB1008" s="76"/>
      <c r="AC1008" s="76"/>
      <c r="AD1008" s="76"/>
      <c r="AE1008" s="76"/>
      <c r="AF1008" s="76"/>
      <c r="AG1008" s="76"/>
      <c r="AH1008" s="76"/>
      <c r="AI1008" s="76"/>
      <c r="AJ1008" s="76"/>
      <c r="AK1008" s="76"/>
      <c r="AL1008" s="76"/>
    </row>
    <row r="1009" spans="1:38" ht="45" customHeight="1">
      <c r="A1009" s="603" t="s">
        <v>530</v>
      </c>
      <c r="B1009" s="619" t="s">
        <v>756</v>
      </c>
      <c r="C1009" s="105" t="s">
        <v>178</v>
      </c>
      <c r="D1009" s="106"/>
      <c r="E1009" s="101"/>
      <c r="F1009" s="105" t="str">
        <f>IFERROR(IF(FIND("开",F1008,1),"开","关"),"关")</f>
        <v>关</v>
      </c>
      <c r="G1009" s="105" t="str">
        <f t="shared" si="241"/>
        <v>关</v>
      </c>
      <c r="H1009" s="105" t="str">
        <f t="shared" si="241"/>
        <v>开</v>
      </c>
      <c r="I1009" s="2" t="s">
        <v>74</v>
      </c>
      <c r="J1009" s="564" t="s">
        <v>531</v>
      </c>
      <c r="K1009" s="105" t="str">
        <f t="shared" si="242"/>
        <v>关</v>
      </c>
      <c r="L1009" s="105" t="str">
        <f t="shared" si="242"/>
        <v>关</v>
      </c>
      <c r="M1009" s="601">
        <v>1</v>
      </c>
      <c r="N1009" s="75"/>
      <c r="O1009" s="75"/>
      <c r="Q1009" s="75"/>
      <c r="T1009" s="75"/>
    </row>
    <row r="1010" spans="1:38" s="121" customFormat="1" ht="45" customHeight="1">
      <c r="A1010" s="603"/>
      <c r="B1010" s="602"/>
      <c r="C1010" s="105" t="s">
        <v>178</v>
      </c>
      <c r="D1010" s="106"/>
      <c r="E1010" s="101"/>
      <c r="F1010" s="105"/>
      <c r="G1010" s="105"/>
      <c r="H1010" s="105"/>
      <c r="I1010" s="84" t="s">
        <v>483</v>
      </c>
      <c r="J1010" s="565" t="s">
        <v>484</v>
      </c>
      <c r="K1010" s="105"/>
      <c r="L1010" s="105"/>
      <c r="M1010" s="601"/>
      <c r="N1010" s="75" t="s">
        <v>24</v>
      </c>
      <c r="O1010" s="75" t="str">
        <f>MID(J1010,FIND("setting",J1010,1)+8,FIND("kg",J1010,1)-FIND("setting",J1010,1)-8)</f>
        <v xml:space="preserve"> 616.20</v>
      </c>
      <c r="P1010" s="74"/>
      <c r="Q1010" s="75" t="str">
        <f>SUBSTITUTE(T1010&amp;N1010," ","")</f>
        <v>3.33.9DMF</v>
      </c>
      <c r="R1010" s="74">
        <f>VLOOKUP(Q1010,MOR投料表!A:L,9,FALSE)</f>
        <v>616.20000000000005</v>
      </c>
      <c r="S1010" s="74"/>
      <c r="T1010" s="75" t="s">
        <v>529</v>
      </c>
      <c r="U1010" s="74" t="b">
        <f>TEXT(O1010,"0.00")=TEXT(R1010,"0.00")</f>
        <v>1</v>
      </c>
      <c r="V1010" s="74"/>
      <c r="W1010" s="76"/>
      <c r="X1010" s="76"/>
      <c r="Y1010" s="76"/>
      <c r="Z1010" s="76"/>
      <c r="AA1010" s="76"/>
      <c r="AB1010" s="76"/>
      <c r="AC1010" s="76"/>
      <c r="AD1010" s="76"/>
      <c r="AE1010" s="76"/>
      <c r="AF1010" s="76"/>
      <c r="AG1010" s="76"/>
      <c r="AH1010" s="76"/>
      <c r="AI1010" s="76"/>
      <c r="AJ1010" s="76"/>
      <c r="AK1010" s="76"/>
      <c r="AL1010" s="76"/>
    </row>
    <row r="1011" spans="1:38" s="121" customFormat="1" ht="45" customHeight="1">
      <c r="A1011" s="603"/>
      <c r="B1011" s="602"/>
      <c r="C1011" s="105" t="s">
        <v>178</v>
      </c>
      <c r="D1011" s="106"/>
      <c r="E1011" s="101"/>
      <c r="F1011" s="105" t="str">
        <f>IFERROR(IF(FIND("开",F1009,1),"开","关"),"关")</f>
        <v>关</v>
      </c>
      <c r="G1011" s="105" t="str">
        <f>IFERROR(IF(FIND("开",G1009,1),"开","关"),"关")</f>
        <v>关</v>
      </c>
      <c r="H1011" s="105" t="str">
        <f>IFERROR(IF(FIND("开",H1009,1),"开","关"),"关")</f>
        <v>开</v>
      </c>
      <c r="I1011" s="84" t="s">
        <v>61</v>
      </c>
      <c r="J1011" s="566" t="s">
        <v>486</v>
      </c>
      <c r="K1011" s="105" t="str">
        <f>IFERROR(IF(FIND("开",K1009,1),"开","关"),"关")</f>
        <v>关</v>
      </c>
      <c r="L1011" s="105" t="str">
        <f>IFERROR(IF(FIND("开",L1009,1),"开","关"),"关")</f>
        <v>关</v>
      </c>
      <c r="M1011" s="601"/>
      <c r="N1011" s="74"/>
      <c r="O1011" s="74"/>
      <c r="P1011" s="74"/>
      <c r="Q1011" s="74"/>
      <c r="R1011" s="74"/>
      <c r="S1011" s="74"/>
      <c r="T1011" s="75">
        <f>IF(ISBLANK(A1011),T1009,LEFT(A1011,FIND(" ",A1011,1)-1))</f>
        <v>0</v>
      </c>
      <c r="U1011" s="74"/>
      <c r="V1011" s="74"/>
      <c r="W1011" s="76"/>
      <c r="X1011" s="76"/>
      <c r="Y1011" s="76"/>
      <c r="Z1011" s="76"/>
      <c r="AA1011" s="76"/>
      <c r="AB1011" s="76"/>
      <c r="AC1011" s="76"/>
      <c r="AD1011" s="76"/>
      <c r="AE1011" s="76"/>
      <c r="AF1011" s="76"/>
      <c r="AG1011" s="76"/>
      <c r="AH1011" s="76"/>
      <c r="AI1011" s="76"/>
      <c r="AJ1011" s="76"/>
      <c r="AK1011" s="76"/>
      <c r="AL1011" s="76"/>
    </row>
    <row r="1012" spans="1:38" s="121" customFormat="1" ht="45" customHeight="1">
      <c r="A1012" s="603"/>
      <c r="B1012" s="602"/>
      <c r="C1012" s="105" t="s">
        <v>178</v>
      </c>
      <c r="D1012" s="106"/>
      <c r="E1012" s="101"/>
      <c r="F1012" s="105"/>
      <c r="G1012" s="105"/>
      <c r="H1012" s="105"/>
      <c r="I1012" s="84" t="s">
        <v>112</v>
      </c>
      <c r="J1012" s="567" t="s">
        <v>487</v>
      </c>
      <c r="K1012" s="105"/>
      <c r="L1012" s="105"/>
      <c r="M1012" s="601"/>
      <c r="N1012" s="74"/>
      <c r="O1012" s="74"/>
      <c r="P1012" s="74"/>
      <c r="Q1012" s="74"/>
      <c r="R1012" s="74"/>
      <c r="S1012" s="74"/>
      <c r="T1012" s="75"/>
      <c r="U1012" s="74"/>
      <c r="V1012" s="74"/>
      <c r="W1012" s="76"/>
      <c r="X1012" s="76"/>
      <c r="Y1012" s="76"/>
      <c r="Z1012" s="76"/>
      <c r="AA1012" s="76"/>
      <c r="AB1012" s="76"/>
      <c r="AC1012" s="76"/>
      <c r="AD1012" s="76"/>
      <c r="AE1012" s="76"/>
      <c r="AF1012" s="76"/>
      <c r="AG1012" s="76"/>
      <c r="AH1012" s="76"/>
      <c r="AI1012" s="76"/>
      <c r="AJ1012" s="76"/>
      <c r="AK1012" s="76"/>
      <c r="AL1012" s="76"/>
    </row>
    <row r="1013" spans="1:38" s="121" customFormat="1" ht="45" customHeight="1">
      <c r="A1013" s="603"/>
      <c r="B1013" s="602"/>
      <c r="C1013" s="105" t="s">
        <v>178</v>
      </c>
      <c r="D1013" s="106"/>
      <c r="E1013" s="101"/>
      <c r="F1013" s="105"/>
      <c r="G1013" s="105"/>
      <c r="H1013" s="105"/>
      <c r="I1013" s="84" t="s">
        <v>488</v>
      </c>
      <c r="J1013" s="568" t="s">
        <v>509</v>
      </c>
      <c r="K1013" s="105"/>
      <c r="L1013" s="105"/>
      <c r="M1013" s="601"/>
      <c r="N1013" s="74"/>
      <c r="O1013" s="74"/>
      <c r="P1013" s="74"/>
      <c r="Q1013" s="74"/>
      <c r="R1013" s="74"/>
      <c r="S1013" s="74"/>
      <c r="T1013" s="75"/>
      <c r="U1013" s="74"/>
      <c r="V1013" s="74"/>
      <c r="W1013" s="76"/>
      <c r="X1013" s="76"/>
      <c r="Y1013" s="76"/>
      <c r="Z1013" s="76"/>
      <c r="AA1013" s="76"/>
      <c r="AB1013" s="76"/>
      <c r="AC1013" s="76"/>
      <c r="AD1013" s="76"/>
      <c r="AE1013" s="76"/>
      <c r="AF1013" s="76"/>
      <c r="AG1013" s="76"/>
      <c r="AH1013" s="76"/>
      <c r="AI1013" s="76"/>
      <c r="AJ1013" s="76"/>
      <c r="AK1013" s="76"/>
      <c r="AL1013" s="76"/>
    </row>
    <row r="1014" spans="1:38" s="121" customFormat="1" ht="45" customHeight="1">
      <c r="A1014" s="603"/>
      <c r="B1014" s="602"/>
      <c r="C1014" s="105" t="s">
        <v>178</v>
      </c>
      <c r="D1014" s="106"/>
      <c r="E1014" s="101"/>
      <c r="F1014" s="105"/>
      <c r="G1014" s="105"/>
      <c r="H1014" s="105"/>
      <c r="I1014" s="84" t="s">
        <v>179</v>
      </c>
      <c r="J1014" s="569" t="s">
        <v>492</v>
      </c>
      <c r="K1014" s="105"/>
      <c r="L1014" s="105"/>
      <c r="M1014" s="601"/>
      <c r="N1014" s="74"/>
      <c r="O1014" s="74"/>
      <c r="P1014" s="74"/>
      <c r="Q1014" s="74"/>
      <c r="R1014" s="74"/>
      <c r="S1014" s="74"/>
      <c r="T1014" s="75"/>
      <c r="U1014" s="74"/>
      <c r="V1014" s="74"/>
      <c r="W1014" s="76"/>
      <c r="X1014" s="76"/>
      <c r="Y1014" s="76"/>
      <c r="Z1014" s="76"/>
      <c r="AA1014" s="76"/>
      <c r="AB1014" s="76"/>
      <c r="AC1014" s="76"/>
      <c r="AD1014" s="76"/>
      <c r="AE1014" s="76"/>
      <c r="AF1014" s="76"/>
      <c r="AG1014" s="76"/>
      <c r="AH1014" s="76"/>
      <c r="AI1014" s="76"/>
      <c r="AJ1014" s="76"/>
      <c r="AK1014" s="76"/>
      <c r="AL1014" s="76"/>
    </row>
    <row r="1015" spans="1:38" s="121" customFormat="1" ht="45" customHeight="1">
      <c r="A1015" s="603"/>
      <c r="B1015" s="602"/>
      <c r="C1015" s="105" t="s">
        <v>178</v>
      </c>
      <c r="D1015" s="106"/>
      <c r="E1015" s="101"/>
      <c r="F1015" s="105"/>
      <c r="G1015" s="105"/>
      <c r="H1015" s="105"/>
      <c r="I1015" s="84" t="s">
        <v>116</v>
      </c>
      <c r="J1015" s="570" t="s">
        <v>493</v>
      </c>
      <c r="K1015" s="105"/>
      <c r="L1015" s="105"/>
      <c r="M1015" s="601"/>
      <c r="N1015" s="74"/>
      <c r="O1015" s="74"/>
      <c r="P1015" s="74"/>
      <c r="Q1015" s="74"/>
      <c r="R1015" s="74"/>
      <c r="S1015" s="74"/>
      <c r="T1015" s="75"/>
      <c r="U1015" s="74"/>
      <c r="V1015" s="74"/>
      <c r="W1015" s="76"/>
      <c r="X1015" s="76"/>
      <c r="Y1015" s="76"/>
      <c r="Z1015" s="76"/>
      <c r="AA1015" s="76"/>
      <c r="AB1015" s="76"/>
      <c r="AC1015" s="76"/>
      <c r="AD1015" s="76"/>
      <c r="AE1015" s="76"/>
      <c r="AF1015" s="76"/>
      <c r="AG1015" s="76"/>
      <c r="AH1015" s="76"/>
      <c r="AI1015" s="76"/>
      <c r="AJ1015" s="76"/>
      <c r="AK1015" s="76"/>
      <c r="AL1015" s="76"/>
    </row>
    <row r="1016" spans="1:38" s="121" customFormat="1" ht="45" customHeight="1">
      <c r="A1016" s="603"/>
      <c r="B1016" s="602"/>
      <c r="C1016" s="105" t="s">
        <v>494</v>
      </c>
      <c r="D1016" s="106" t="s">
        <v>495</v>
      </c>
      <c r="E1016" s="571" t="s">
        <v>32</v>
      </c>
      <c r="F1016" s="105"/>
      <c r="G1016" s="105"/>
      <c r="H1016" s="105"/>
      <c r="I1016" s="84"/>
      <c r="J1016" s="77"/>
      <c r="K1016" s="105"/>
      <c r="L1016" s="105"/>
      <c r="M1016" s="601"/>
      <c r="N1016" s="74"/>
      <c r="O1016" s="74"/>
      <c r="P1016" s="74"/>
      <c r="Q1016" s="74"/>
      <c r="R1016" s="74"/>
      <c r="S1016" s="74"/>
      <c r="T1016" s="75"/>
      <c r="U1016" s="74"/>
      <c r="V1016" s="74"/>
      <c r="W1016" s="76"/>
      <c r="X1016" s="76"/>
      <c r="Y1016" s="76"/>
      <c r="Z1016" s="76"/>
      <c r="AA1016" s="76"/>
      <c r="AB1016" s="76"/>
      <c r="AC1016" s="76"/>
      <c r="AD1016" s="76"/>
      <c r="AE1016" s="76"/>
      <c r="AF1016" s="76"/>
      <c r="AG1016" s="76"/>
      <c r="AH1016" s="76"/>
      <c r="AI1016" s="76"/>
      <c r="AJ1016" s="76"/>
      <c r="AK1016" s="76"/>
      <c r="AL1016" s="76"/>
    </row>
    <row r="1017" spans="1:38" s="121" customFormat="1" ht="45" customHeight="1">
      <c r="A1017" s="603"/>
      <c r="B1017" s="602"/>
      <c r="C1017" s="105" t="s">
        <v>494</v>
      </c>
      <c r="D1017" s="106" t="s">
        <v>496</v>
      </c>
      <c r="E1017" s="572" t="s">
        <v>497</v>
      </c>
      <c r="F1017" s="105"/>
      <c r="G1017" s="105"/>
      <c r="H1017" s="105"/>
      <c r="I1017" s="84"/>
      <c r="J1017" s="77"/>
      <c r="K1017" s="105"/>
      <c r="L1017" s="105"/>
      <c r="M1017" s="601"/>
      <c r="N1017" s="74"/>
      <c r="O1017" s="74"/>
      <c r="P1017" s="74"/>
      <c r="Q1017" s="74"/>
      <c r="R1017" s="74"/>
      <c r="S1017" s="74"/>
      <c r="T1017" s="75"/>
      <c r="U1017" s="74"/>
      <c r="V1017" s="74"/>
      <c r="W1017" s="76"/>
      <c r="X1017" s="76"/>
      <c r="Y1017" s="76"/>
      <c r="Z1017" s="76"/>
      <c r="AA1017" s="76"/>
      <c r="AB1017" s="76"/>
      <c r="AC1017" s="76"/>
      <c r="AD1017" s="76"/>
      <c r="AE1017" s="76"/>
      <c r="AF1017" s="76"/>
      <c r="AG1017" s="76"/>
      <c r="AH1017" s="76"/>
      <c r="AI1017" s="76"/>
      <c r="AJ1017" s="76"/>
      <c r="AK1017" s="76"/>
      <c r="AL1017" s="76"/>
    </row>
    <row r="1018" spans="1:38" s="121" customFormat="1" ht="45" customHeight="1">
      <c r="A1018" s="603"/>
      <c r="B1018" s="602"/>
      <c r="C1018" s="105" t="s">
        <v>178</v>
      </c>
      <c r="D1018" s="106"/>
      <c r="E1018" s="101"/>
      <c r="F1018" s="105"/>
      <c r="G1018" s="105"/>
      <c r="H1018" s="105"/>
      <c r="I1018" s="84" t="s">
        <v>87</v>
      </c>
      <c r="J1018" s="573" t="s">
        <v>532</v>
      </c>
      <c r="K1018" s="105"/>
      <c r="L1018" s="105"/>
      <c r="M1018" s="601"/>
      <c r="N1018" s="74"/>
      <c r="O1018" s="74"/>
      <c r="P1018" s="74"/>
      <c r="Q1018" s="74"/>
      <c r="R1018" s="74"/>
      <c r="S1018" s="74"/>
      <c r="T1018" s="75"/>
      <c r="U1018" s="74"/>
      <c r="V1018" s="74"/>
      <c r="W1018" s="76"/>
      <c r="X1018" s="76"/>
      <c r="Y1018" s="76"/>
      <c r="Z1018" s="76"/>
      <c r="AA1018" s="76"/>
      <c r="AB1018" s="76"/>
      <c r="AC1018" s="76"/>
      <c r="AD1018" s="76"/>
      <c r="AE1018" s="76"/>
      <c r="AF1018" s="76"/>
      <c r="AG1018" s="76"/>
      <c r="AH1018" s="76"/>
      <c r="AI1018" s="76"/>
      <c r="AJ1018" s="76"/>
      <c r="AK1018" s="76"/>
      <c r="AL1018" s="76"/>
    </row>
    <row r="1019" spans="1:38" s="121" customFormat="1" ht="45" customHeight="1">
      <c r="A1019" s="603"/>
      <c r="B1019" s="602"/>
      <c r="C1019" s="105" t="s">
        <v>3</v>
      </c>
      <c r="D1019" s="106" t="s">
        <v>35</v>
      </c>
      <c r="E1019" s="101" t="s">
        <v>63</v>
      </c>
      <c r="F1019" s="105" t="s">
        <v>37</v>
      </c>
      <c r="G1019" s="105" t="str">
        <f>IFERROR(IF(FIND("开",G1011,1),"开","关"),"关")</f>
        <v>关</v>
      </c>
      <c r="H1019" s="105" t="str">
        <f>IFERROR(IF(FIND("开",H1011,1),"开","关"),"关")</f>
        <v>开</v>
      </c>
      <c r="I1019" s="84"/>
      <c r="J1019" s="77"/>
      <c r="K1019" s="105" t="str">
        <f>IFERROR(IF(FIND("开",K1011,1),"开","关"),"关")</f>
        <v>关</v>
      </c>
      <c r="L1019" s="105" t="str">
        <f>IFERROR(IF(FIND("开",L1011,1),"开","关"),"关")</f>
        <v>关</v>
      </c>
      <c r="M1019" s="601"/>
      <c r="N1019" s="74"/>
      <c r="O1019" s="74"/>
      <c r="P1019" s="74"/>
      <c r="Q1019" s="74"/>
      <c r="R1019" s="74"/>
      <c r="S1019" s="74"/>
      <c r="T1019" s="75">
        <f>IF(ISBLANK(A1019),T1011,LEFT(A1019,FIND(" ",A1019,1)-1))</f>
        <v>0</v>
      </c>
      <c r="U1019" s="74"/>
      <c r="V1019" s="74"/>
      <c r="W1019" s="76"/>
      <c r="X1019" s="76"/>
      <c r="Y1019" s="76"/>
      <c r="Z1019" s="76"/>
      <c r="AA1019" s="76"/>
      <c r="AB1019" s="76"/>
      <c r="AC1019" s="76"/>
      <c r="AD1019" s="76"/>
      <c r="AE1019" s="76"/>
      <c r="AF1019" s="76"/>
      <c r="AG1019" s="76"/>
      <c r="AH1019" s="76"/>
      <c r="AI1019" s="76"/>
      <c r="AJ1019" s="76"/>
      <c r="AK1019" s="76"/>
      <c r="AL1019" s="76"/>
    </row>
    <row r="1020" spans="1:38" s="121" customFormat="1" ht="45" customHeight="1">
      <c r="A1020" s="603"/>
      <c r="B1020" s="602"/>
      <c r="C1020" s="105" t="s">
        <v>3</v>
      </c>
      <c r="D1020" s="106" t="s">
        <v>499</v>
      </c>
      <c r="E1020" s="574" t="s">
        <v>122</v>
      </c>
      <c r="F1020" s="105" t="str">
        <f>IFERROR(IF(FIND("开",F1019,1),"开","关"),"关")</f>
        <v>开</v>
      </c>
      <c r="G1020" s="105" t="s">
        <v>29</v>
      </c>
      <c r="H1020" s="105" t="str">
        <f>IFERROR(IF(FIND("开",H1019,1),"开","关"),"关")</f>
        <v>开</v>
      </c>
      <c r="I1020" s="84"/>
      <c r="J1020" s="77"/>
      <c r="K1020" s="105" t="str">
        <f>IFERROR(IF(FIND("开",K1019,1),"开","关"),"关")</f>
        <v>关</v>
      </c>
      <c r="L1020" s="105" t="str">
        <f>IFERROR(IF(FIND("开",L1019,1),"开","关"),"关")</f>
        <v>关</v>
      </c>
      <c r="M1020" s="601"/>
      <c r="N1020" s="75"/>
      <c r="O1020" s="75"/>
      <c r="P1020" s="74"/>
      <c r="Q1020" s="74"/>
      <c r="R1020" s="74"/>
      <c r="S1020" s="74"/>
      <c r="T1020" s="75">
        <f>IF(ISBLANK(A1020),T1019,LEFT(A1020,FIND(" ",A1020,1)-1))</f>
        <v>0</v>
      </c>
      <c r="U1020" s="74"/>
      <c r="V1020" s="74"/>
      <c r="W1020" s="76"/>
      <c r="X1020" s="76"/>
      <c r="Y1020" s="76"/>
      <c r="Z1020" s="76"/>
      <c r="AA1020" s="76"/>
      <c r="AB1020" s="76"/>
      <c r="AC1020" s="76"/>
      <c r="AD1020" s="76"/>
      <c r="AE1020" s="76"/>
      <c r="AF1020" s="76"/>
      <c r="AG1020" s="76"/>
      <c r="AH1020" s="76"/>
      <c r="AI1020" s="76"/>
      <c r="AJ1020" s="76"/>
      <c r="AK1020" s="76"/>
      <c r="AL1020" s="76"/>
    </row>
    <row r="1021" spans="1:38" s="121" customFormat="1" ht="45" customHeight="1">
      <c r="A1021" s="603"/>
      <c r="B1021" s="602"/>
      <c r="C1021" s="105" t="s">
        <v>3</v>
      </c>
      <c r="D1021" s="106" t="s">
        <v>500</v>
      </c>
      <c r="E1021" s="575" t="s">
        <v>501</v>
      </c>
      <c r="F1021" s="105"/>
      <c r="G1021" s="105"/>
      <c r="H1021" s="105"/>
      <c r="I1021" s="84"/>
      <c r="J1021" s="77"/>
      <c r="K1021" s="105"/>
      <c r="L1021" s="105"/>
      <c r="M1021" s="601"/>
      <c r="N1021" s="75"/>
      <c r="O1021" s="75"/>
      <c r="P1021" s="74"/>
      <c r="Q1021" s="74"/>
      <c r="R1021" s="74"/>
      <c r="S1021" s="74"/>
      <c r="T1021" s="75"/>
      <c r="U1021" s="74"/>
      <c r="V1021" s="74"/>
      <c r="W1021" s="76"/>
      <c r="X1021" s="76"/>
      <c r="Y1021" s="76"/>
      <c r="Z1021" s="76"/>
      <c r="AA1021" s="76"/>
      <c r="AB1021" s="76"/>
      <c r="AC1021" s="76"/>
      <c r="AD1021" s="76"/>
      <c r="AE1021" s="76"/>
      <c r="AF1021" s="76"/>
      <c r="AG1021" s="76"/>
      <c r="AH1021" s="76"/>
      <c r="AI1021" s="76"/>
      <c r="AJ1021" s="76"/>
      <c r="AK1021" s="76"/>
      <c r="AL1021" s="76"/>
    </row>
    <row r="1022" spans="1:38" s="121" customFormat="1" ht="45" customHeight="1">
      <c r="A1022" s="603"/>
      <c r="B1022" s="602"/>
      <c r="C1022" s="105" t="s">
        <v>3</v>
      </c>
      <c r="D1022" s="106" t="s">
        <v>450</v>
      </c>
      <c r="E1022" s="576" t="s">
        <v>502</v>
      </c>
      <c r="F1022" s="105"/>
      <c r="G1022" s="105"/>
      <c r="H1022" s="105"/>
      <c r="I1022" s="84"/>
      <c r="J1022" s="77"/>
      <c r="K1022" s="105"/>
      <c r="L1022" s="105"/>
      <c r="M1022" s="601"/>
      <c r="N1022" s="75"/>
      <c r="O1022" s="75"/>
      <c r="P1022" s="74"/>
      <c r="Q1022" s="74"/>
      <c r="R1022" s="74"/>
      <c r="S1022" s="74"/>
      <c r="T1022" s="75"/>
      <c r="U1022" s="74"/>
      <c r="V1022" s="74"/>
      <c r="W1022" s="76"/>
      <c r="X1022" s="76"/>
      <c r="Y1022" s="76"/>
      <c r="Z1022" s="76"/>
      <c r="AA1022" s="76"/>
      <c r="AB1022" s="76"/>
      <c r="AC1022" s="76"/>
      <c r="AD1022" s="76"/>
      <c r="AE1022" s="76"/>
      <c r="AF1022" s="76"/>
      <c r="AG1022" s="76"/>
      <c r="AH1022" s="76"/>
      <c r="AI1022" s="76"/>
      <c r="AJ1022" s="76"/>
      <c r="AK1022" s="76"/>
      <c r="AL1022" s="76"/>
    </row>
    <row r="1023" spans="1:38" s="121" customFormat="1" ht="45" customHeight="1">
      <c r="A1023" s="603"/>
      <c r="B1023" s="602"/>
      <c r="C1023" s="105" t="s">
        <v>3</v>
      </c>
      <c r="D1023" s="106" t="s">
        <v>503</v>
      </c>
      <c r="E1023" s="577" t="s">
        <v>504</v>
      </c>
      <c r="F1023" s="105"/>
      <c r="G1023" s="105"/>
      <c r="H1023" s="105"/>
      <c r="I1023" s="84"/>
      <c r="J1023" s="77"/>
      <c r="K1023" s="105"/>
      <c r="L1023" s="105"/>
      <c r="M1023" s="601"/>
      <c r="N1023" s="75"/>
      <c r="O1023" s="75"/>
      <c r="P1023" s="74"/>
      <c r="Q1023" s="74"/>
      <c r="R1023" s="74"/>
      <c r="S1023" s="74"/>
      <c r="T1023" s="75"/>
      <c r="U1023" s="74"/>
      <c r="V1023" s="74"/>
      <c r="W1023" s="76"/>
      <c r="X1023" s="76"/>
      <c r="Y1023" s="76"/>
      <c r="Z1023" s="76"/>
      <c r="AA1023" s="76"/>
      <c r="AB1023" s="76"/>
      <c r="AC1023" s="76"/>
      <c r="AD1023" s="76"/>
      <c r="AE1023" s="76"/>
      <c r="AF1023" s="76"/>
      <c r="AG1023" s="76"/>
      <c r="AH1023" s="76"/>
      <c r="AI1023" s="76"/>
      <c r="AJ1023" s="76"/>
      <c r="AK1023" s="76"/>
      <c r="AL1023" s="76"/>
    </row>
    <row r="1024" spans="1:38" s="121" customFormat="1" ht="45" customHeight="1">
      <c r="A1024" s="603"/>
      <c r="B1024" s="602"/>
      <c r="C1024" s="105" t="s">
        <v>3</v>
      </c>
      <c r="D1024" s="106" t="s">
        <v>40</v>
      </c>
      <c r="E1024" s="101" t="s">
        <v>41</v>
      </c>
      <c r="F1024" s="105" t="s">
        <v>42</v>
      </c>
      <c r="G1024" s="105" t="str">
        <f>IFERROR(IF(FIND("开",G1020,1),"开","关"),"关")</f>
        <v>关</v>
      </c>
      <c r="H1024" s="105" t="str">
        <f>IFERROR(IF(FIND("开",H1020,1),"开","关"),"关")</f>
        <v>开</v>
      </c>
      <c r="I1024" s="84"/>
      <c r="J1024" s="77"/>
      <c r="K1024" s="105" t="str">
        <f>IFERROR(IF(FIND("开",K1020,1),"开","关"),"关")</f>
        <v>关</v>
      </c>
      <c r="L1024" s="105" t="str">
        <f>IFERROR(IF(FIND("开",L1020,1),"开","关"),"关")</f>
        <v>关</v>
      </c>
      <c r="M1024" s="601"/>
      <c r="N1024" s="75"/>
      <c r="O1024" s="75"/>
      <c r="P1024" s="74"/>
      <c r="Q1024" s="74"/>
      <c r="R1024" s="74"/>
      <c r="S1024" s="74"/>
      <c r="T1024" s="75">
        <f>IF(ISBLANK(A1024),T1020,LEFT(A1024,FIND(" ",A1024,1)-1))</f>
        <v>0</v>
      </c>
      <c r="U1024" s="74" t="b">
        <f>TEXT(O1024,"0.00")=TEXT(R1024,"0.00")</f>
        <v>1</v>
      </c>
      <c r="V1024" s="74"/>
      <c r="W1024" s="76"/>
      <c r="X1024" s="76"/>
      <c r="Y1024" s="76"/>
      <c r="Z1024" s="76"/>
      <c r="AA1024" s="76"/>
      <c r="AB1024" s="76"/>
      <c r="AC1024" s="76"/>
      <c r="AD1024" s="76"/>
      <c r="AE1024" s="76"/>
      <c r="AF1024" s="76"/>
      <c r="AG1024" s="76"/>
      <c r="AH1024" s="76"/>
      <c r="AI1024" s="76"/>
      <c r="AJ1024" s="76"/>
      <c r="AK1024" s="76"/>
      <c r="AL1024" s="76"/>
    </row>
    <row r="1025" spans="1:38" s="121" customFormat="1" ht="45" customHeight="1">
      <c r="A1025" s="603"/>
      <c r="B1025" s="602"/>
      <c r="C1025" s="105" t="s">
        <v>3</v>
      </c>
      <c r="D1025" s="106" t="s">
        <v>511</v>
      </c>
      <c r="E1025" s="578" t="s">
        <v>46</v>
      </c>
      <c r="F1025" s="105" t="str">
        <f>IFERROR(IF(FIND("开",#REF!,1),"开","关"),"关")</f>
        <v>关</v>
      </c>
      <c r="G1025" s="105" t="str">
        <f>IFERROR(IF(FIND("开",#REF!,1),"开","关"),"关")</f>
        <v>关</v>
      </c>
      <c r="H1025" s="105" t="str">
        <f>IFERROR(IF(FIND("开",#REF!,1),"开","关"),"关")</f>
        <v>关</v>
      </c>
      <c r="I1025" s="84"/>
      <c r="J1025" s="77"/>
      <c r="K1025" s="105" t="str">
        <f>IFERROR(IF(FIND("开",#REF!,1),"开","关"),"关")</f>
        <v>关</v>
      </c>
      <c r="L1025" s="105" t="str">
        <f>IFERROR(IF(FIND("开",#REF!,1),"开","关"),"关")</f>
        <v>关</v>
      </c>
      <c r="M1025" s="601"/>
      <c r="N1025" s="74"/>
      <c r="O1025" s="74"/>
      <c r="P1025" s="74"/>
      <c r="Q1025" s="74"/>
      <c r="R1025" s="74"/>
      <c r="S1025" s="74"/>
      <c r="T1025" s="75">
        <f>IF(ISBLANK(A1025),T1024,LEFT(A1025,FIND(" ",A1025,1)-1))</f>
        <v>0</v>
      </c>
      <c r="U1025" s="74"/>
      <c r="V1025" s="74"/>
      <c r="W1025" s="76"/>
      <c r="X1025" s="76"/>
      <c r="Y1025" s="76"/>
      <c r="Z1025" s="76"/>
      <c r="AA1025" s="76"/>
      <c r="AB1025" s="76"/>
      <c r="AC1025" s="76"/>
      <c r="AD1025" s="76"/>
      <c r="AE1025" s="76"/>
      <c r="AF1025" s="76"/>
      <c r="AG1025" s="76"/>
      <c r="AH1025" s="76"/>
      <c r="AI1025" s="76"/>
      <c r="AJ1025" s="76"/>
      <c r="AK1025" s="76"/>
      <c r="AL1025" s="76"/>
    </row>
    <row r="1026" spans="1:38" ht="45" customHeight="1">
      <c r="A1026" s="603" t="s">
        <v>477</v>
      </c>
      <c r="B1026" s="602" t="s">
        <v>512</v>
      </c>
      <c r="C1026" s="105" t="s">
        <v>3</v>
      </c>
      <c r="D1026" s="106" t="s">
        <v>130</v>
      </c>
      <c r="E1026" s="579" t="s">
        <v>513</v>
      </c>
      <c r="F1026" s="105" t="str">
        <f t="shared" ref="F1026:G1029" si="243">IFERROR(IF(FIND("开",F1025,1),"开","关"),"关")</f>
        <v>关</v>
      </c>
      <c r="G1026" s="105" t="str">
        <f t="shared" si="243"/>
        <v>关</v>
      </c>
      <c r="H1026" s="105" t="s">
        <v>42</v>
      </c>
      <c r="J1026" s="77"/>
      <c r="K1026" s="105" t="str">
        <f t="shared" ref="K1026:L1033" si="244">IFERROR(IF(FIND("开",K1025,1),"开","关"),"关")</f>
        <v>关</v>
      </c>
      <c r="L1026" s="105" t="str">
        <f t="shared" si="244"/>
        <v>关</v>
      </c>
      <c r="M1026" s="601">
        <v>1</v>
      </c>
      <c r="T1026" s="75" t="str">
        <f>IF(ISBLANK(A1026),T1008,LEFT(A1026,FIND(" ",A1026,1)-1))</f>
        <v>Adjust</v>
      </c>
    </row>
    <row r="1027" spans="1:38" ht="45" customHeight="1">
      <c r="A1027" s="603"/>
      <c r="B1027" s="602"/>
      <c r="C1027" s="105" t="s">
        <v>3</v>
      </c>
      <c r="D1027" s="106" t="s">
        <v>52</v>
      </c>
      <c r="E1027" s="101" t="s">
        <v>514</v>
      </c>
      <c r="F1027" s="105" t="str">
        <f t="shared" si="243"/>
        <v>关</v>
      </c>
      <c r="G1027" s="105" t="str">
        <f t="shared" si="243"/>
        <v>关</v>
      </c>
      <c r="H1027" s="105" t="s">
        <v>37</v>
      </c>
      <c r="J1027" s="77"/>
      <c r="K1027" s="105" t="str">
        <f t="shared" si="244"/>
        <v>关</v>
      </c>
      <c r="L1027" s="105" t="str">
        <f t="shared" si="244"/>
        <v>关</v>
      </c>
      <c r="M1027" s="601"/>
      <c r="T1027" s="75" t="str">
        <f t="shared" ref="T1027:T1033" si="245">IF(ISBLANK(A1027),T1026,LEFT(A1027,FIND(" ",A1027,1)-1))</f>
        <v>Adjust</v>
      </c>
    </row>
    <row r="1028" spans="1:38" ht="45" customHeight="1">
      <c r="A1028" s="603" t="s">
        <v>533</v>
      </c>
      <c r="B1028" s="703" t="s">
        <v>516</v>
      </c>
      <c r="C1028" s="105" t="s">
        <v>3</v>
      </c>
      <c r="D1028" s="106" t="s">
        <v>58</v>
      </c>
      <c r="E1028" s="101" t="s">
        <v>367</v>
      </c>
      <c r="F1028" s="105" t="str">
        <f t="shared" si="243"/>
        <v>关</v>
      </c>
      <c r="G1028" s="105" t="str">
        <f t="shared" si="243"/>
        <v>关</v>
      </c>
      <c r="H1028" s="105" t="str">
        <f t="shared" ref="H1028:H1033" si="246">IFERROR(IF(FIND("开",H1027,1),"开","关"),"关")</f>
        <v>开</v>
      </c>
      <c r="J1028" s="77"/>
      <c r="K1028" s="105" t="str">
        <f t="shared" si="244"/>
        <v>关</v>
      </c>
      <c r="L1028" s="105" t="str">
        <f t="shared" si="244"/>
        <v>关</v>
      </c>
      <c r="M1028" s="601">
        <v>4</v>
      </c>
      <c r="N1028" s="75" t="s">
        <v>24</v>
      </c>
      <c r="O1028" s="75" t="str">
        <f>MID(E1028,FIND("setting",E1028,1)+8,FIND("kg",E1028,1)-FIND("setting",E1028,1)-8)</f>
        <v xml:space="preserve"> 616.20</v>
      </c>
      <c r="Q1028" s="75" t="str">
        <f>SUBSTITUTE(T1028&amp;N1028," ","")</f>
        <v>3.33.13DMF</v>
      </c>
      <c r="R1028" s="74" t="e">
        <f>VLOOKUP(Q1028,MOR投料表!A:L,9,FALSE)</f>
        <v>#N/A</v>
      </c>
      <c r="T1028" s="75" t="str">
        <f t="shared" si="245"/>
        <v>3.33.13</v>
      </c>
      <c r="U1028" s="74" t="e">
        <f>TEXT(O1028,"0.00")=TEXT(R1028,"0.00")</f>
        <v>#N/A</v>
      </c>
    </row>
    <row r="1029" spans="1:38" ht="45" customHeight="1">
      <c r="A1029" s="603"/>
      <c r="B1029" s="602"/>
      <c r="C1029" s="105" t="s">
        <v>3</v>
      </c>
      <c r="D1029" s="106" t="s">
        <v>61</v>
      </c>
      <c r="E1029" s="101" t="s">
        <v>62</v>
      </c>
      <c r="F1029" s="105" t="str">
        <f t="shared" si="243"/>
        <v>关</v>
      </c>
      <c r="G1029" s="105" t="str">
        <f t="shared" si="243"/>
        <v>关</v>
      </c>
      <c r="H1029" s="105" t="str">
        <f t="shared" si="246"/>
        <v>开</v>
      </c>
      <c r="J1029" s="77"/>
      <c r="K1029" s="105" t="str">
        <f t="shared" si="244"/>
        <v>关</v>
      </c>
      <c r="L1029" s="105" t="str">
        <f t="shared" si="244"/>
        <v>关</v>
      </c>
      <c r="M1029" s="601"/>
      <c r="N1029" s="75"/>
      <c r="O1029" s="75"/>
      <c r="T1029" s="75" t="str">
        <f t="shared" si="245"/>
        <v>3.33.13</v>
      </c>
      <c r="U1029" s="74" t="b">
        <f>TEXT(O1029,"0.00")=TEXT(R1029,"0.00")</f>
        <v>1</v>
      </c>
    </row>
    <row r="1030" spans="1:38" ht="45" customHeight="1">
      <c r="A1030" s="603"/>
      <c r="B1030" s="602"/>
      <c r="C1030" s="105" t="s">
        <v>3</v>
      </c>
      <c r="D1030" s="106" t="s">
        <v>35</v>
      </c>
      <c r="E1030" s="101" t="s">
        <v>63</v>
      </c>
      <c r="F1030" s="105" t="s">
        <v>37</v>
      </c>
      <c r="G1030" s="105" t="str">
        <f>IFERROR(IF(FIND("开",G1029,1),"开","关"),"关")</f>
        <v>关</v>
      </c>
      <c r="H1030" s="105" t="str">
        <f t="shared" si="246"/>
        <v>开</v>
      </c>
      <c r="J1030" s="77"/>
      <c r="K1030" s="105" t="str">
        <f t="shared" si="244"/>
        <v>关</v>
      </c>
      <c r="L1030" s="105" t="str">
        <f t="shared" si="244"/>
        <v>关</v>
      </c>
      <c r="M1030" s="601"/>
      <c r="T1030" s="75" t="str">
        <f t="shared" si="245"/>
        <v>3.33.13</v>
      </c>
    </row>
    <row r="1031" spans="1:38" ht="45" customHeight="1">
      <c r="A1031" s="603"/>
      <c r="B1031" s="602"/>
      <c r="C1031" s="105" t="s">
        <v>3</v>
      </c>
      <c r="D1031" s="106" t="s">
        <v>38</v>
      </c>
      <c r="E1031" s="101" t="s">
        <v>167</v>
      </c>
      <c r="F1031" s="105" t="str">
        <f>IFERROR(IF(FIND("开",F1030,1),"开","关"),"关")</f>
        <v>开</v>
      </c>
      <c r="G1031" s="105" t="s">
        <v>29</v>
      </c>
      <c r="H1031" s="105" t="str">
        <f t="shared" si="246"/>
        <v>开</v>
      </c>
      <c r="J1031" s="77"/>
      <c r="K1031" s="105" t="str">
        <f t="shared" si="244"/>
        <v>关</v>
      </c>
      <c r="L1031" s="105" t="str">
        <f t="shared" si="244"/>
        <v>关</v>
      </c>
      <c r="M1031" s="601"/>
      <c r="T1031" s="75" t="str">
        <f t="shared" si="245"/>
        <v>3.33.13</v>
      </c>
    </row>
    <row r="1032" spans="1:38" ht="45" customHeight="1">
      <c r="A1032" s="603"/>
      <c r="B1032" s="602"/>
      <c r="C1032" s="105" t="s">
        <v>3</v>
      </c>
      <c r="D1032" s="106" t="s">
        <v>40</v>
      </c>
      <c r="E1032" s="101" t="s">
        <v>41</v>
      </c>
      <c r="F1032" s="105" t="s">
        <v>42</v>
      </c>
      <c r="G1032" s="105" t="str">
        <f>IFERROR(IF(FIND("开",G1031,1),"开","关"),"关")</f>
        <v>关</v>
      </c>
      <c r="H1032" s="105" t="str">
        <f t="shared" si="246"/>
        <v>开</v>
      </c>
      <c r="J1032" s="77"/>
      <c r="K1032" s="105" t="str">
        <f t="shared" si="244"/>
        <v>关</v>
      </c>
      <c r="L1032" s="105" t="str">
        <f t="shared" si="244"/>
        <v>关</v>
      </c>
      <c r="M1032" s="601"/>
      <c r="T1032" s="75" t="str">
        <f t="shared" si="245"/>
        <v>3.33.13</v>
      </c>
    </row>
    <row r="1033" spans="1:38" ht="45" customHeight="1">
      <c r="A1033" s="603"/>
      <c r="B1033" s="602"/>
      <c r="C1033" s="105" t="s">
        <v>3</v>
      </c>
      <c r="D1033" s="106" t="s">
        <v>45</v>
      </c>
      <c r="E1033" s="580" t="s">
        <v>46</v>
      </c>
      <c r="F1033" s="105" t="str">
        <f>IFERROR(IF(FIND("开",F1032,1),"开","关"),"关")</f>
        <v>关</v>
      </c>
      <c r="G1033" s="105" t="str">
        <f>IFERROR(IF(FIND("开",G1032,1),"开","关"),"关")</f>
        <v>关</v>
      </c>
      <c r="H1033" s="105" t="str">
        <f t="shared" si="246"/>
        <v>开</v>
      </c>
      <c r="J1033" s="77"/>
      <c r="K1033" s="105" t="str">
        <f t="shared" si="244"/>
        <v>关</v>
      </c>
      <c r="L1033" s="105" t="str">
        <f t="shared" si="244"/>
        <v>关</v>
      </c>
      <c r="M1033" s="601"/>
      <c r="T1033" s="75" t="str">
        <f t="shared" si="245"/>
        <v>3.33.13</v>
      </c>
    </row>
    <row r="1034" spans="1:38" ht="90.95" customHeight="1">
      <c r="A1034" s="90" t="s">
        <v>518</v>
      </c>
      <c r="B1034" s="581" t="s">
        <v>535</v>
      </c>
      <c r="C1034" s="105" t="s">
        <v>3</v>
      </c>
      <c r="D1034" s="106" t="s">
        <v>43</v>
      </c>
      <c r="E1034" s="101" t="s">
        <v>44</v>
      </c>
      <c r="F1034" s="105" t="str">
        <f>IFERROR(IF(FIND("开",#REF!,1),"开","关"),"关")</f>
        <v>关</v>
      </c>
      <c r="G1034" s="105" t="str">
        <f>IFERROR(IF(FIND("开",#REF!,1),"开","关"),"关")</f>
        <v>关</v>
      </c>
      <c r="H1034" s="105" t="str">
        <f>IFERROR(IF(FIND("开",#REF!,1),"开","关"),"关")</f>
        <v>关</v>
      </c>
      <c r="I1034" s="106"/>
      <c r="J1034" s="101"/>
      <c r="K1034" s="105" t="str">
        <f>IFERROR(IF(FIND("开",#REF!,1),"开","关"),"关")</f>
        <v>关</v>
      </c>
      <c r="L1034" s="105" t="str">
        <f>IFERROR(IF(FIND("开",#REF!,1),"开","关"),"关")</f>
        <v>关</v>
      </c>
      <c r="M1034" s="105">
        <v>1</v>
      </c>
      <c r="T1034" s="75" t="e">
        <f>IF(ISBLANK(A1034),#REF!,LEFT(A1034,FIND(" ",A1034,1)-1))</f>
        <v>#VALUE!</v>
      </c>
    </row>
    <row r="1035" spans="1:38" ht="45" customHeight="1">
      <c r="A1035" s="595" t="s">
        <v>168</v>
      </c>
      <c r="B1035" s="616" t="s">
        <v>169</v>
      </c>
      <c r="C1035" s="105" t="s">
        <v>3</v>
      </c>
      <c r="D1035" s="106" t="s">
        <v>130</v>
      </c>
      <c r="E1035" s="101" t="s">
        <v>520</v>
      </c>
      <c r="F1035" s="105" t="str">
        <f>IFERROR(IF(FIND("开",F1034,1),"开","关"),"关")</f>
        <v>关</v>
      </c>
      <c r="G1035" s="105" t="str">
        <f>IFERROR(IF(FIND("开",G1034,1),"开","关"),"关")</f>
        <v>关</v>
      </c>
      <c r="H1035" s="105" t="s">
        <v>42</v>
      </c>
      <c r="I1035" s="106"/>
      <c r="J1035" s="101"/>
      <c r="K1035" s="105" t="str">
        <f>IFERROR(IF(FIND("开",K1034,1),"开","关"),"关")</f>
        <v>关</v>
      </c>
      <c r="L1035" s="105" t="str">
        <f>IFERROR(IF(FIND("开",L1034,1),"开","关"),"关")</f>
        <v>关</v>
      </c>
      <c r="M1035" s="601">
        <v>1</v>
      </c>
      <c r="T1035" s="75" t="e">
        <f>IF(ISBLANK(A1035),T1034,LEFT(A1035,FIND(" ",A1035,1)-1))</f>
        <v>#VALUE!</v>
      </c>
    </row>
    <row r="1036" spans="1:38" ht="45" customHeight="1">
      <c r="A1036" s="634"/>
      <c r="B1036" s="634"/>
      <c r="C1036" s="105" t="s">
        <v>3</v>
      </c>
      <c r="D1036" s="106" t="s">
        <v>171</v>
      </c>
      <c r="E1036" s="101" t="s">
        <v>44</v>
      </c>
      <c r="F1036" s="105" t="str">
        <f>IFERROR(IF(FIND("开",F1035,1),"开","关"),"关")</f>
        <v>关</v>
      </c>
      <c r="G1036" s="105" t="str">
        <f>IFERROR(IF(FIND("开",G1035,1),"开","关"),"关")</f>
        <v>关</v>
      </c>
      <c r="H1036" s="105" t="str">
        <f>IFERROR(IF(FIND("开",H1035,1),"开","关"),"关")</f>
        <v>关</v>
      </c>
      <c r="J1036" s="101"/>
      <c r="K1036" s="105" t="str">
        <f>IFERROR(IF(FIND("开",K1035,1),"开","关"),"关")</f>
        <v>关</v>
      </c>
      <c r="L1036" s="105" t="str">
        <f>IFERROR(IF(FIND("开",L1035,1),"开","关"),"关")</f>
        <v>关</v>
      </c>
      <c r="M1036" s="601"/>
      <c r="T1036" s="75" t="e">
        <f>IF(ISBLANK(A1036),T1035,LEFT(A1036,FIND(" ",A1036,1)-1))</f>
        <v>#VALUE!</v>
      </c>
    </row>
    <row r="1037" spans="1:38" ht="45" customHeight="1">
      <c r="A1037" s="635"/>
      <c r="B1037" s="635"/>
      <c r="C1037" s="105" t="s">
        <v>178</v>
      </c>
      <c r="D1037" s="106"/>
      <c r="E1037" s="101"/>
      <c r="I1037" s="84" t="s">
        <v>521</v>
      </c>
      <c r="J1037" s="582" t="s">
        <v>522</v>
      </c>
      <c r="T1037" s="75"/>
    </row>
    <row r="1038" spans="1:38" ht="45" customHeight="1">
      <c r="A1038" s="89" t="s">
        <v>536</v>
      </c>
      <c r="B1038" s="111"/>
      <c r="C1038" s="105"/>
      <c r="D1038" s="106"/>
      <c r="E1038" s="78"/>
      <c r="F1038" s="105" t="str">
        <f>IFERROR(IF(FIND("开",F1036,1),"开","关"),"关")</f>
        <v>关</v>
      </c>
      <c r="G1038" s="105" t="str">
        <f>IFERROR(IF(FIND("开",G1036,1),"开","关"),"关")</f>
        <v>关</v>
      </c>
      <c r="H1038" s="105" t="str">
        <f>IFERROR(IF(FIND("开",H1036,1),"开","关"),"关")</f>
        <v>关</v>
      </c>
      <c r="J1038" s="77"/>
      <c r="K1038" s="105" t="str">
        <f>IFERROR(IF(FIND("开",K1036,1),"开","关"),"关")</f>
        <v>关</v>
      </c>
      <c r="L1038" s="105" t="str">
        <f>IFERROR(IF(FIND("开",L1036,1),"开","关"),"关")</f>
        <v>关</v>
      </c>
      <c r="N1038" s="75"/>
      <c r="O1038" s="75"/>
      <c r="T1038" s="75" t="str">
        <f>IF(ISBLANK(A1038),T1036,LEFT(A1038,FIND(" ",A1038,1)-1))</f>
        <v>3.34</v>
      </c>
    </row>
    <row r="1039" spans="1:38" ht="45" customHeight="1">
      <c r="A1039" s="603" t="s">
        <v>537</v>
      </c>
      <c r="B1039" s="630" t="s">
        <v>538</v>
      </c>
      <c r="C1039" s="105" t="s">
        <v>3</v>
      </c>
      <c r="D1039" s="106" t="s">
        <v>188</v>
      </c>
      <c r="E1039" s="583" t="s">
        <v>539</v>
      </c>
      <c r="F1039" s="105" t="str">
        <f t="shared" ref="F1039:H1040" si="247">IFERROR(IF(FIND("开",F1038,1),"开","关"),"关")</f>
        <v>关</v>
      </c>
      <c r="G1039" s="105" t="str">
        <f t="shared" si="247"/>
        <v>关</v>
      </c>
      <c r="H1039" s="105" t="str">
        <f t="shared" si="247"/>
        <v>关</v>
      </c>
      <c r="J1039" s="77"/>
      <c r="K1039" s="105" t="str">
        <f t="shared" ref="K1039:K1064" si="248">IFERROR(IF(FIND("开",K1038,1),"开","关"),"关")</f>
        <v>关</v>
      </c>
      <c r="L1039" s="105" t="str">
        <f t="shared" ref="L1039:L1064" si="249">IFERROR(IF(FIND("开",L1038,1),"开","关"),"关")</f>
        <v>关</v>
      </c>
      <c r="M1039" s="601">
        <v>3</v>
      </c>
      <c r="N1039" s="75" t="str">
        <f>MID(E1039,FIND("线路-》",E1039,1)+4,FIND("-&gt;",E1039,1)-13)</f>
        <v>IPAC</v>
      </c>
      <c r="O1039" s="75" t="str">
        <f>MID(E1039,FIND("setting",E1039,1)+8,FIND("kg",E1039,1)-FIND("setting",E1039,1)-8)</f>
        <v xml:space="preserve"> 567.45</v>
      </c>
      <c r="Q1039" s="75" t="str">
        <f>SUBSTITUTE(T1039&amp;N1039," ","")</f>
        <v>3.34.1IPAC</v>
      </c>
      <c r="R1039" s="74">
        <f>VLOOKUP(Q1039,MOR投料表!A:L,9,FALSE)</f>
        <v>567.45000000000005</v>
      </c>
      <c r="T1039" s="75" t="str">
        <f t="shared" ref="T1039:T1050" si="250">IF(ISBLANK(A1039),T1038,LEFT(A1039,FIND(" ",A1039,1)-1))</f>
        <v>3.34.1</v>
      </c>
      <c r="U1039" s="74" t="b">
        <f>TEXT(O1039,"0.00")=TEXT(R1039,"0.00")</f>
        <v>1</v>
      </c>
    </row>
    <row r="1040" spans="1:38" ht="45" customHeight="1">
      <c r="A1040" s="603"/>
      <c r="B1040" s="602"/>
      <c r="C1040" s="105" t="s">
        <v>3</v>
      </c>
      <c r="D1040" s="106" t="s">
        <v>191</v>
      </c>
      <c r="E1040" s="584" t="s">
        <v>541</v>
      </c>
      <c r="F1040" s="105" t="str">
        <f t="shared" si="247"/>
        <v>关</v>
      </c>
      <c r="G1040" s="105" t="str">
        <f t="shared" si="247"/>
        <v>关</v>
      </c>
      <c r="H1040" s="105" t="str">
        <f t="shared" si="247"/>
        <v>关</v>
      </c>
      <c r="J1040" s="77"/>
      <c r="K1040" s="105" t="str">
        <f t="shared" si="248"/>
        <v>关</v>
      </c>
      <c r="L1040" s="105" t="str">
        <f t="shared" si="249"/>
        <v>关</v>
      </c>
      <c r="M1040" s="601"/>
      <c r="T1040" s="75" t="str">
        <f t="shared" si="250"/>
        <v>3.34.1</v>
      </c>
    </row>
    <row r="1041" spans="1:21" ht="45" customHeight="1">
      <c r="A1041" s="603"/>
      <c r="B1041" s="602"/>
      <c r="C1041" s="105" t="s">
        <v>3</v>
      </c>
      <c r="D1041" s="106" t="s">
        <v>35</v>
      </c>
      <c r="E1041" s="101" t="s">
        <v>63</v>
      </c>
      <c r="F1041" s="105" t="s">
        <v>37</v>
      </c>
      <c r="G1041" s="105" t="str">
        <f>IFERROR(IF(FIND("开",G1040,1),"开","关"),"关")</f>
        <v>关</v>
      </c>
      <c r="H1041" s="105" t="str">
        <f>IFERROR(IF(FIND("开",H1040,1),"开","关"),"关")</f>
        <v>关</v>
      </c>
      <c r="J1041" s="77"/>
      <c r="K1041" s="105" t="str">
        <f t="shared" si="248"/>
        <v>关</v>
      </c>
      <c r="L1041" s="105" t="str">
        <f t="shared" si="249"/>
        <v>关</v>
      </c>
      <c r="M1041" s="601"/>
      <c r="T1041" s="75" t="str">
        <f t="shared" si="250"/>
        <v>3.34.1</v>
      </c>
    </row>
    <row r="1042" spans="1:21" ht="45" customHeight="1">
      <c r="A1042" s="603"/>
      <c r="B1042" s="602"/>
      <c r="C1042" s="105" t="s">
        <v>3</v>
      </c>
      <c r="D1042" s="106" t="s">
        <v>38</v>
      </c>
      <c r="E1042" s="101" t="s">
        <v>167</v>
      </c>
      <c r="F1042" s="105" t="str">
        <f>IFERROR(IF(FIND("开",F1041,1),"开","关"),"关")</f>
        <v>开</v>
      </c>
      <c r="G1042" s="105" t="s">
        <v>29</v>
      </c>
      <c r="H1042" s="105" t="str">
        <f t="shared" ref="H1042:H1051" si="251">IFERROR(IF(FIND("开",H1041,1),"开","关"),"关")</f>
        <v>关</v>
      </c>
      <c r="J1042" s="77"/>
      <c r="K1042" s="105" t="str">
        <f t="shared" si="248"/>
        <v>关</v>
      </c>
      <c r="L1042" s="105" t="str">
        <f t="shared" si="249"/>
        <v>关</v>
      </c>
      <c r="M1042" s="601"/>
      <c r="T1042" s="75" t="str">
        <f t="shared" si="250"/>
        <v>3.34.1</v>
      </c>
    </row>
    <row r="1043" spans="1:21" ht="45" customHeight="1">
      <c r="A1043" s="603"/>
      <c r="B1043" s="602"/>
      <c r="C1043" s="105" t="s">
        <v>3</v>
      </c>
      <c r="D1043" s="106" t="s">
        <v>40</v>
      </c>
      <c r="E1043" s="101" t="s">
        <v>41</v>
      </c>
      <c r="F1043" s="105" t="s">
        <v>42</v>
      </c>
      <c r="G1043" s="105" t="str">
        <f>IFERROR(IF(FIND("开",G1042,1),"开","关"),"关")</f>
        <v>关</v>
      </c>
      <c r="H1043" s="105" t="str">
        <f t="shared" si="251"/>
        <v>关</v>
      </c>
      <c r="J1043" s="77"/>
      <c r="K1043" s="105" t="str">
        <f t="shared" si="248"/>
        <v>关</v>
      </c>
      <c r="L1043" s="105" t="str">
        <f t="shared" si="249"/>
        <v>关</v>
      </c>
      <c r="M1043" s="601"/>
      <c r="T1043" s="75" t="str">
        <f t="shared" si="250"/>
        <v>3.34.1</v>
      </c>
    </row>
    <row r="1044" spans="1:21" ht="45" customHeight="1">
      <c r="A1044" s="603"/>
      <c r="B1044" s="602"/>
      <c r="C1044" s="105" t="s">
        <v>3</v>
      </c>
      <c r="D1044" s="106" t="s">
        <v>193</v>
      </c>
      <c r="E1044" s="585" t="s">
        <v>194</v>
      </c>
      <c r="F1044" s="105" t="str">
        <f>IFERROR(IF(FIND("开",F1043,1),"开","关"),"关")</f>
        <v>关</v>
      </c>
      <c r="G1044" s="105" t="str">
        <f>IFERROR(IF(FIND("开",G1043,1),"开","关"),"关")</f>
        <v>关</v>
      </c>
      <c r="H1044" s="105" t="str">
        <f t="shared" si="251"/>
        <v>关</v>
      </c>
      <c r="J1044" s="77"/>
      <c r="K1044" s="105" t="str">
        <f t="shared" si="248"/>
        <v>关</v>
      </c>
      <c r="L1044" s="105" t="str">
        <f t="shared" si="249"/>
        <v>关</v>
      </c>
      <c r="M1044" s="601"/>
      <c r="T1044" s="75" t="str">
        <f t="shared" si="250"/>
        <v>3.34.1</v>
      </c>
    </row>
    <row r="1045" spans="1:21" ht="45" customHeight="1">
      <c r="A1045" s="603" t="s">
        <v>542</v>
      </c>
      <c r="B1045" s="611" t="s">
        <v>543</v>
      </c>
      <c r="C1045" s="105" t="s">
        <v>3</v>
      </c>
      <c r="D1045" s="106" t="s">
        <v>544</v>
      </c>
      <c r="E1045" s="586" t="s">
        <v>545</v>
      </c>
      <c r="F1045" s="105" t="str">
        <f>IFERROR(IF(FIND("开",F1044,1),"开","关"),"关")</f>
        <v>关</v>
      </c>
      <c r="G1045" s="105" t="str">
        <f>IFERROR(IF(FIND("开",G1044,1),"开","关"),"关")</f>
        <v>关</v>
      </c>
      <c r="H1045" s="105" t="str">
        <f t="shared" si="251"/>
        <v>关</v>
      </c>
      <c r="J1045" s="77"/>
      <c r="K1045" s="105" t="str">
        <f t="shared" si="248"/>
        <v>关</v>
      </c>
      <c r="L1045" s="105" t="str">
        <f t="shared" si="249"/>
        <v>关</v>
      </c>
      <c r="M1045" s="601">
        <v>5</v>
      </c>
      <c r="N1045" s="75" t="str">
        <f>MID(E1045,FIND("线路-》",E1045,1)+4,FIND("-&gt;",E1045,1)-13)</f>
        <v>MTBE</v>
      </c>
      <c r="O1045" s="75" t="str">
        <f>MID(E1045,FIND("setting",E1045,1)+8,FIND("kg",E1045,1)-FIND("setting",E1045,1)-8)</f>
        <v xml:space="preserve"> 481.65</v>
      </c>
      <c r="Q1045" s="75" t="str">
        <f>SUBSTITUTE(T1045&amp;N1045," ","")</f>
        <v>3.34.2MTBE</v>
      </c>
      <c r="R1045" s="74">
        <f>VLOOKUP(Q1045,MOR投料表!A:L,9,FALSE)</f>
        <v>481.65</v>
      </c>
      <c r="T1045" s="75" t="str">
        <f t="shared" si="250"/>
        <v>3.34.2</v>
      </c>
      <c r="U1045" s="74" t="b">
        <f>TEXT(O1045,"0.00")=TEXT(R1045,"0.00")</f>
        <v>1</v>
      </c>
    </row>
    <row r="1046" spans="1:21" ht="45" customHeight="1">
      <c r="A1046" s="603"/>
      <c r="B1046" s="602"/>
      <c r="C1046" s="105" t="s">
        <v>3</v>
      </c>
      <c r="D1046" s="106" t="s">
        <v>547</v>
      </c>
      <c r="E1046" s="101" t="s">
        <v>548</v>
      </c>
      <c r="F1046" s="105" t="str">
        <f>IFERROR(IF(FIND("开",F1045,1),"开","关"),"关")</f>
        <v>关</v>
      </c>
      <c r="G1046" s="105" t="str">
        <f>IFERROR(IF(FIND("开",G1045,1),"开","关"),"关")</f>
        <v>关</v>
      </c>
      <c r="H1046" s="105" t="str">
        <f t="shared" si="251"/>
        <v>关</v>
      </c>
      <c r="J1046" s="77"/>
      <c r="K1046" s="105" t="str">
        <f t="shared" si="248"/>
        <v>关</v>
      </c>
      <c r="L1046" s="105" t="str">
        <f t="shared" si="249"/>
        <v>关</v>
      </c>
      <c r="M1046" s="601"/>
      <c r="T1046" s="75" t="str">
        <f t="shared" si="250"/>
        <v>3.34.2</v>
      </c>
    </row>
    <row r="1047" spans="1:21" ht="45" customHeight="1">
      <c r="A1047" s="603"/>
      <c r="B1047" s="602"/>
      <c r="C1047" s="105" t="s">
        <v>3</v>
      </c>
      <c r="D1047" s="106" t="s">
        <v>35</v>
      </c>
      <c r="E1047" s="101" t="s">
        <v>63</v>
      </c>
      <c r="F1047" s="105" t="s">
        <v>37</v>
      </c>
      <c r="G1047" s="105" t="str">
        <f>IFERROR(IF(FIND("开",G1046,1),"开","关"),"关")</f>
        <v>关</v>
      </c>
      <c r="H1047" s="105" t="str">
        <f t="shared" si="251"/>
        <v>关</v>
      </c>
      <c r="J1047" s="77"/>
      <c r="K1047" s="105" t="str">
        <f t="shared" si="248"/>
        <v>关</v>
      </c>
      <c r="L1047" s="105" t="str">
        <f t="shared" si="249"/>
        <v>关</v>
      </c>
      <c r="M1047" s="601"/>
      <c r="T1047" s="75" t="str">
        <f t="shared" si="250"/>
        <v>3.34.2</v>
      </c>
    </row>
    <row r="1048" spans="1:21" ht="45" customHeight="1">
      <c r="A1048" s="603"/>
      <c r="B1048" s="602"/>
      <c r="C1048" s="105" t="s">
        <v>3</v>
      </c>
      <c r="D1048" s="106" t="s">
        <v>38</v>
      </c>
      <c r="E1048" s="101" t="s">
        <v>167</v>
      </c>
      <c r="F1048" s="105" t="str">
        <f>IFERROR(IF(FIND("开",F1047,1),"开","关"),"关")</f>
        <v>开</v>
      </c>
      <c r="G1048" s="105" t="s">
        <v>29</v>
      </c>
      <c r="H1048" s="105" t="str">
        <f t="shared" si="251"/>
        <v>关</v>
      </c>
      <c r="J1048" s="77"/>
      <c r="K1048" s="105" t="str">
        <f t="shared" si="248"/>
        <v>关</v>
      </c>
      <c r="L1048" s="105" t="str">
        <f t="shared" si="249"/>
        <v>关</v>
      </c>
      <c r="M1048" s="601"/>
      <c r="T1048" s="75" t="str">
        <f t="shared" si="250"/>
        <v>3.34.2</v>
      </c>
    </row>
    <row r="1049" spans="1:21" ht="45" customHeight="1">
      <c r="A1049" s="603"/>
      <c r="B1049" s="602"/>
      <c r="C1049" s="105" t="s">
        <v>3</v>
      </c>
      <c r="D1049" s="106" t="s">
        <v>40</v>
      </c>
      <c r="E1049" s="101" t="s">
        <v>41</v>
      </c>
      <c r="F1049" s="105" t="s">
        <v>42</v>
      </c>
      <c r="G1049" s="105" t="str">
        <f t="shared" ref="G1049:G1054" si="252">IFERROR(IF(FIND("开",G1048,1),"开","关"),"关")</f>
        <v>关</v>
      </c>
      <c r="H1049" s="105" t="str">
        <f t="shared" si="251"/>
        <v>关</v>
      </c>
      <c r="J1049" s="77"/>
      <c r="K1049" s="105" t="str">
        <f t="shared" si="248"/>
        <v>关</v>
      </c>
      <c r="L1049" s="105" t="str">
        <f t="shared" si="249"/>
        <v>关</v>
      </c>
      <c r="M1049" s="601"/>
      <c r="N1049" s="75"/>
      <c r="O1049" s="75"/>
      <c r="T1049" s="75" t="str">
        <f t="shared" si="250"/>
        <v>3.34.2</v>
      </c>
    </row>
    <row r="1050" spans="1:21" ht="45" customHeight="1">
      <c r="A1050" s="603"/>
      <c r="B1050" s="602"/>
      <c r="C1050" s="105" t="s">
        <v>3</v>
      </c>
      <c r="D1050" s="106" t="s">
        <v>505</v>
      </c>
      <c r="E1050" s="101" t="s">
        <v>44</v>
      </c>
      <c r="F1050" s="105" t="str">
        <f>IFERROR(IF(FIND("开",F1049,1),"开","关"),"关")</f>
        <v>关</v>
      </c>
      <c r="G1050" s="105" t="str">
        <f t="shared" si="252"/>
        <v>关</v>
      </c>
      <c r="H1050" s="105" t="str">
        <f t="shared" si="251"/>
        <v>关</v>
      </c>
      <c r="J1050" s="77"/>
      <c r="K1050" s="105" t="str">
        <f t="shared" si="248"/>
        <v>关</v>
      </c>
      <c r="L1050" s="105" t="str">
        <f t="shared" si="249"/>
        <v>关</v>
      </c>
      <c r="M1050" s="601"/>
      <c r="T1050" s="75" t="str">
        <f t="shared" si="250"/>
        <v>3.34.2</v>
      </c>
    </row>
    <row r="1051" spans="1:21" ht="45" customHeight="1">
      <c r="A1051" s="603"/>
      <c r="B1051" s="602"/>
      <c r="C1051" s="105" t="s">
        <v>3</v>
      </c>
      <c r="D1051" s="106" t="s">
        <v>549</v>
      </c>
      <c r="E1051" s="587" t="s">
        <v>550</v>
      </c>
      <c r="F1051" s="105" t="str">
        <f>IFERROR(IF(FIND("开",F1050,1),"开","关"),"关")</f>
        <v>关</v>
      </c>
      <c r="G1051" s="105" t="str">
        <f t="shared" si="252"/>
        <v>关</v>
      </c>
      <c r="H1051" s="105" t="str">
        <f t="shared" si="251"/>
        <v>关</v>
      </c>
      <c r="J1051" s="77"/>
      <c r="K1051" s="105" t="str">
        <f t="shared" si="248"/>
        <v>关</v>
      </c>
      <c r="L1051" s="105" t="str">
        <f t="shared" si="249"/>
        <v>关</v>
      </c>
      <c r="M1051" s="601"/>
      <c r="T1051" s="75" t="str">
        <f>IF(ISBLANK(A1050),T1050,LEFT(A1050,FIND(" ",A1050,1)-1))</f>
        <v>3.34.2</v>
      </c>
    </row>
    <row r="1052" spans="1:21" ht="60" customHeight="1">
      <c r="A1052" s="603" t="s">
        <v>551</v>
      </c>
      <c r="B1052" s="629" t="s">
        <v>552</v>
      </c>
      <c r="C1052" s="105" t="s">
        <v>3</v>
      </c>
      <c r="D1052" s="106" t="s">
        <v>52</v>
      </c>
      <c r="E1052" s="588" t="s">
        <v>553</v>
      </c>
      <c r="F1052" s="105" t="str">
        <f>IFERROR(IF(FIND("开",F1051,1),"开","关"),"关")</f>
        <v>关</v>
      </c>
      <c r="G1052" s="105" t="str">
        <f t="shared" si="252"/>
        <v>关</v>
      </c>
      <c r="H1052" s="105" t="s">
        <v>37</v>
      </c>
      <c r="J1052" s="77"/>
      <c r="K1052" s="105" t="str">
        <f t="shared" si="248"/>
        <v>关</v>
      </c>
      <c r="L1052" s="105" t="str">
        <f t="shared" si="249"/>
        <v>关</v>
      </c>
      <c r="M1052" s="601">
        <v>1</v>
      </c>
      <c r="T1052" s="75" t="str">
        <f t="shared" ref="T1052:T1064" si="253">IF(ISBLANK(A1052),T1051,LEFT(A1052,FIND(" ",A1052,1)-1))</f>
        <v>3.35.1</v>
      </c>
    </row>
    <row r="1053" spans="1:21" ht="45" customHeight="1">
      <c r="A1053" s="603"/>
      <c r="B1053" s="599"/>
      <c r="C1053" s="105" t="s">
        <v>3</v>
      </c>
      <c r="D1053" s="106" t="s">
        <v>554</v>
      </c>
      <c r="E1053" s="101" t="s">
        <v>555</v>
      </c>
      <c r="F1053" s="105" t="s">
        <v>37</v>
      </c>
      <c r="G1053" s="105" t="str">
        <f t="shared" si="252"/>
        <v>关</v>
      </c>
      <c r="H1053" s="105" t="str">
        <f t="shared" ref="H1053:H1063" si="254">IFERROR(IF(FIND("开",H1052,1),"开","关"),"关")</f>
        <v>开</v>
      </c>
      <c r="J1053" s="77"/>
      <c r="K1053" s="105" t="str">
        <f t="shared" si="248"/>
        <v>关</v>
      </c>
      <c r="L1053" s="105" t="str">
        <f t="shared" si="249"/>
        <v>关</v>
      </c>
      <c r="M1053" s="601"/>
      <c r="T1053" s="75" t="str">
        <f t="shared" si="253"/>
        <v>3.35.1</v>
      </c>
    </row>
    <row r="1054" spans="1:21" ht="45" customHeight="1">
      <c r="A1054" s="603"/>
      <c r="B1054" s="599"/>
      <c r="C1054" s="105" t="s">
        <v>3</v>
      </c>
      <c r="D1054" s="106" t="s">
        <v>68</v>
      </c>
      <c r="E1054" s="589" t="s">
        <v>556</v>
      </c>
      <c r="F1054" s="105" t="str">
        <f t="shared" ref="F1054:F1062" si="255">IFERROR(IF(FIND("开",F1053,1),"开","关"),"关")</f>
        <v>开</v>
      </c>
      <c r="G1054" s="105" t="str">
        <f t="shared" si="252"/>
        <v>关</v>
      </c>
      <c r="H1054" s="105" t="str">
        <f t="shared" si="254"/>
        <v>开</v>
      </c>
      <c r="J1054" s="77"/>
      <c r="K1054" s="105" t="str">
        <f t="shared" si="248"/>
        <v>关</v>
      </c>
      <c r="L1054" s="105" t="str">
        <f t="shared" si="249"/>
        <v>关</v>
      </c>
      <c r="M1054" s="601"/>
      <c r="T1054" s="75" t="str">
        <f t="shared" si="253"/>
        <v>3.35.1</v>
      </c>
    </row>
    <row r="1055" spans="1:21" ht="45" customHeight="1">
      <c r="A1055" s="603"/>
      <c r="B1055" s="599"/>
      <c r="C1055" s="105" t="s">
        <v>3</v>
      </c>
      <c r="D1055" s="106" t="s">
        <v>38</v>
      </c>
      <c r="E1055" s="101" t="s">
        <v>557</v>
      </c>
      <c r="F1055" s="105" t="str">
        <f t="shared" si="255"/>
        <v>开</v>
      </c>
      <c r="G1055" s="105" t="s">
        <v>29</v>
      </c>
      <c r="H1055" s="105" t="str">
        <f t="shared" si="254"/>
        <v>开</v>
      </c>
      <c r="J1055" s="77"/>
      <c r="K1055" s="105" t="str">
        <f t="shared" si="248"/>
        <v>关</v>
      </c>
      <c r="L1055" s="105" t="str">
        <f t="shared" si="249"/>
        <v>关</v>
      </c>
      <c r="M1055" s="601"/>
      <c r="T1055" s="75" t="str">
        <f t="shared" si="253"/>
        <v>3.35.1</v>
      </c>
    </row>
    <row r="1056" spans="1:21" ht="45" customHeight="1">
      <c r="A1056" s="603"/>
      <c r="B1056" s="599"/>
      <c r="C1056" s="105" t="s">
        <v>3</v>
      </c>
      <c r="D1056" s="106" t="s">
        <v>68</v>
      </c>
      <c r="E1056" s="590" t="s">
        <v>558</v>
      </c>
      <c r="F1056" s="105" t="str">
        <f t="shared" si="255"/>
        <v>开</v>
      </c>
      <c r="G1056" s="105" t="str">
        <f>IFERROR(IF(FIND("开",G1055,1),"开","关"),"关")</f>
        <v>关</v>
      </c>
      <c r="H1056" s="105" t="str">
        <f t="shared" si="254"/>
        <v>开</v>
      </c>
      <c r="J1056" s="77"/>
      <c r="K1056" s="105" t="str">
        <f t="shared" si="248"/>
        <v>关</v>
      </c>
      <c r="L1056" s="105" t="str">
        <f t="shared" si="249"/>
        <v>关</v>
      </c>
      <c r="M1056" s="601"/>
      <c r="T1056" s="75" t="str">
        <f t="shared" si="253"/>
        <v>3.35.1</v>
      </c>
    </row>
    <row r="1057" spans="1:20" ht="45" customHeight="1">
      <c r="A1057" s="603"/>
      <c r="B1057" s="599"/>
      <c r="C1057" s="105" t="s">
        <v>3</v>
      </c>
      <c r="D1057" s="106" t="s">
        <v>38</v>
      </c>
      <c r="E1057" s="101" t="s">
        <v>557</v>
      </c>
      <c r="F1057" s="105" t="str">
        <f t="shared" si="255"/>
        <v>开</v>
      </c>
      <c r="G1057" s="105" t="s">
        <v>29</v>
      </c>
      <c r="H1057" s="105" t="str">
        <f t="shared" si="254"/>
        <v>开</v>
      </c>
      <c r="J1057" s="77"/>
      <c r="K1057" s="105" t="str">
        <f t="shared" si="248"/>
        <v>关</v>
      </c>
      <c r="L1057" s="105" t="str">
        <f t="shared" si="249"/>
        <v>关</v>
      </c>
      <c r="M1057" s="601"/>
      <c r="N1057" s="75"/>
      <c r="O1057" s="75"/>
      <c r="T1057" s="75" t="str">
        <f t="shared" si="253"/>
        <v>3.35.1</v>
      </c>
    </row>
    <row r="1058" spans="1:20" ht="45" customHeight="1">
      <c r="A1058" s="603"/>
      <c r="B1058" s="599"/>
      <c r="C1058" s="105" t="s">
        <v>3</v>
      </c>
      <c r="D1058" s="106" t="s">
        <v>68</v>
      </c>
      <c r="E1058" s="591" t="s">
        <v>558</v>
      </c>
      <c r="F1058" s="105" t="str">
        <f t="shared" si="255"/>
        <v>开</v>
      </c>
      <c r="G1058" s="105" t="str">
        <f>IFERROR(IF(FIND("开",G1057,1),"开","关"),"关")</f>
        <v>关</v>
      </c>
      <c r="H1058" s="105" t="str">
        <f t="shared" si="254"/>
        <v>开</v>
      </c>
      <c r="J1058" s="77"/>
      <c r="K1058" s="105" t="str">
        <f t="shared" si="248"/>
        <v>关</v>
      </c>
      <c r="L1058" s="105" t="str">
        <f t="shared" si="249"/>
        <v>关</v>
      </c>
      <c r="M1058" s="601"/>
      <c r="N1058" s="75"/>
      <c r="O1058" s="75"/>
      <c r="T1058" s="75" t="str">
        <f t="shared" si="253"/>
        <v>3.35.1</v>
      </c>
    </row>
    <row r="1059" spans="1:20" ht="30" customHeight="1">
      <c r="A1059" s="603"/>
      <c r="B1059" s="599"/>
      <c r="C1059" s="105" t="s">
        <v>3</v>
      </c>
      <c r="D1059" s="106" t="s">
        <v>38</v>
      </c>
      <c r="E1059" s="101" t="s">
        <v>557</v>
      </c>
      <c r="F1059" s="105" t="str">
        <f t="shared" si="255"/>
        <v>开</v>
      </c>
      <c r="G1059" s="105" t="s">
        <v>29</v>
      </c>
      <c r="H1059" s="105" t="str">
        <f t="shared" si="254"/>
        <v>开</v>
      </c>
      <c r="J1059" s="77"/>
      <c r="K1059" s="105" t="str">
        <f t="shared" si="248"/>
        <v>关</v>
      </c>
      <c r="L1059" s="105" t="str">
        <f t="shared" si="249"/>
        <v>关</v>
      </c>
      <c r="M1059" s="601"/>
      <c r="N1059" s="75"/>
      <c r="O1059" s="75"/>
      <c r="T1059" s="75" t="str">
        <f t="shared" si="253"/>
        <v>3.35.1</v>
      </c>
    </row>
    <row r="1060" spans="1:20" ht="41.25" customHeight="1">
      <c r="A1060" s="603"/>
      <c r="B1060" s="599"/>
      <c r="C1060" s="105" t="s">
        <v>3</v>
      </c>
      <c r="D1060" s="106" t="s">
        <v>68</v>
      </c>
      <c r="E1060" s="592" t="s">
        <v>558</v>
      </c>
      <c r="F1060" s="105" t="str">
        <f t="shared" si="255"/>
        <v>开</v>
      </c>
      <c r="G1060" s="105" t="str">
        <f>IFERROR(IF(FIND("开",G1059,1),"开","关"),"关")</f>
        <v>关</v>
      </c>
      <c r="H1060" s="105" t="str">
        <f t="shared" si="254"/>
        <v>开</v>
      </c>
      <c r="J1060" s="77"/>
      <c r="K1060" s="105" t="str">
        <f t="shared" si="248"/>
        <v>关</v>
      </c>
      <c r="L1060" s="105" t="str">
        <f t="shared" si="249"/>
        <v>关</v>
      </c>
      <c r="M1060" s="601"/>
      <c r="N1060" s="75"/>
      <c r="O1060" s="75"/>
      <c r="T1060" s="75" t="str">
        <f t="shared" si="253"/>
        <v>3.35.1</v>
      </c>
    </row>
    <row r="1061" spans="1:20" ht="30" customHeight="1">
      <c r="A1061" s="603"/>
      <c r="B1061" s="599"/>
      <c r="C1061" s="105" t="s">
        <v>3</v>
      </c>
      <c r="D1061" s="106" t="s">
        <v>38</v>
      </c>
      <c r="E1061" s="101" t="s">
        <v>557</v>
      </c>
      <c r="F1061" s="105" t="str">
        <f t="shared" si="255"/>
        <v>开</v>
      </c>
      <c r="G1061" s="105" t="s">
        <v>29</v>
      </c>
      <c r="H1061" s="105" t="str">
        <f t="shared" si="254"/>
        <v>开</v>
      </c>
      <c r="J1061" s="77"/>
      <c r="K1061" s="105" t="str">
        <f t="shared" si="248"/>
        <v>关</v>
      </c>
      <c r="L1061" s="105" t="str">
        <f t="shared" si="249"/>
        <v>关</v>
      </c>
      <c r="M1061" s="601"/>
      <c r="N1061" s="75"/>
      <c r="O1061" s="75"/>
      <c r="T1061" s="75" t="str">
        <f t="shared" si="253"/>
        <v>3.35.1</v>
      </c>
    </row>
    <row r="1062" spans="1:20" ht="41.25" customHeight="1">
      <c r="A1062" s="603"/>
      <c r="B1062" s="599"/>
      <c r="C1062" s="105" t="s">
        <v>3</v>
      </c>
      <c r="D1062" s="106" t="s">
        <v>402</v>
      </c>
      <c r="E1062" s="593" t="s">
        <v>156</v>
      </c>
      <c r="F1062" s="105" t="str">
        <f t="shared" si="255"/>
        <v>开</v>
      </c>
      <c r="G1062" s="105" t="str">
        <f>IFERROR(IF(FIND("开",G1061,1),"开","关"),"关")</f>
        <v>关</v>
      </c>
      <c r="H1062" s="105" t="str">
        <f t="shared" si="254"/>
        <v>开</v>
      </c>
      <c r="J1062" s="77"/>
      <c r="K1062" s="105" t="str">
        <f t="shared" si="248"/>
        <v>关</v>
      </c>
      <c r="L1062" s="105" t="str">
        <f t="shared" si="249"/>
        <v>关</v>
      </c>
      <c r="M1062" s="601"/>
      <c r="N1062" s="75"/>
      <c r="O1062" s="75"/>
      <c r="T1062" s="75" t="str">
        <f t="shared" si="253"/>
        <v>3.35.1</v>
      </c>
    </row>
    <row r="1063" spans="1:20" ht="30" customHeight="1">
      <c r="A1063" s="603"/>
      <c r="B1063" s="599"/>
      <c r="C1063" s="105" t="s">
        <v>3</v>
      </c>
      <c r="D1063" s="84" t="s">
        <v>559</v>
      </c>
      <c r="E1063" s="101" t="s">
        <v>560</v>
      </c>
      <c r="F1063" s="105" t="s">
        <v>42</v>
      </c>
      <c r="G1063" s="105" t="str">
        <f>IFERROR(IF(FIND("开",G1062,1),"开","关"),"关")</f>
        <v>关</v>
      </c>
      <c r="H1063" s="105" t="str">
        <f t="shared" si="254"/>
        <v>开</v>
      </c>
      <c r="J1063" s="77"/>
      <c r="K1063" s="105" t="str">
        <f t="shared" si="248"/>
        <v>关</v>
      </c>
      <c r="L1063" s="105" t="str">
        <f t="shared" si="249"/>
        <v>关</v>
      </c>
      <c r="M1063" s="601"/>
      <c r="N1063" s="75"/>
      <c r="O1063" s="75"/>
      <c r="T1063" s="75" t="str">
        <f t="shared" si="253"/>
        <v>3.35.1</v>
      </c>
    </row>
    <row r="1064" spans="1:20" ht="60" customHeight="1">
      <c r="A1064" s="603"/>
      <c r="B1064" s="600"/>
      <c r="C1064" s="105" t="s">
        <v>3</v>
      </c>
      <c r="D1064" s="106" t="s">
        <v>130</v>
      </c>
      <c r="E1064" s="594" t="s">
        <v>561</v>
      </c>
      <c r="F1064" s="105" t="str">
        <f>IFERROR(IF(FIND("开",F1063,1),"开","关"),"关")</f>
        <v>关</v>
      </c>
      <c r="G1064" s="105" t="str">
        <f>IFERROR(IF(FIND("开",G1063,1),"开","关"),"关")</f>
        <v>关</v>
      </c>
      <c r="H1064" s="105" t="s">
        <v>42</v>
      </c>
      <c r="J1064" s="77"/>
      <c r="K1064" s="105" t="str">
        <f t="shared" si="248"/>
        <v>关</v>
      </c>
      <c r="L1064" s="105" t="str">
        <f t="shared" si="249"/>
        <v>关</v>
      </c>
      <c r="M1064" s="601"/>
      <c r="T1064" s="75" t="str">
        <f t="shared" si="253"/>
        <v>3.35.1</v>
      </c>
    </row>
  </sheetData>
  <sheetProtection insertHyperlinks="0" autoFilter="0"/>
  <autoFilter ref="A1:XFD1048576"/>
  <mergeCells count="333">
    <mergeCell ref="A1035:A1037"/>
    <mergeCell ref="B617:B631"/>
    <mergeCell ref="B701:B715"/>
    <mergeCell ref="B794:B808"/>
    <mergeCell ref="B886:B900"/>
    <mergeCell ref="M1028:M1033"/>
    <mergeCell ref="A1028:A1033"/>
    <mergeCell ref="B140:B145"/>
    <mergeCell ref="B230:B235"/>
    <mergeCell ref="B188:B202"/>
    <mergeCell ref="B272:B286"/>
    <mergeCell ref="B365:B379"/>
    <mergeCell ref="B449:B463"/>
    <mergeCell ref="B291:B301"/>
    <mergeCell ref="B384:B394"/>
    <mergeCell ref="B468:B478"/>
    <mergeCell ref="B552:B562"/>
    <mergeCell ref="B636:B646"/>
    <mergeCell ref="B720:B730"/>
    <mergeCell ref="B813:B823"/>
    <mergeCell ref="B1028:B1033"/>
    <mergeCell ref="B1035:B1037"/>
    <mergeCell ref="M968:M970"/>
    <mergeCell ref="M497:M515"/>
    <mergeCell ref="A906:A919"/>
    <mergeCell ref="B906:B919"/>
    <mergeCell ref="A942:A958"/>
    <mergeCell ref="M942:M958"/>
    <mergeCell ref="B942:B958"/>
    <mergeCell ref="A989:A1008"/>
    <mergeCell ref="M989:M1008"/>
    <mergeCell ref="M987:M988"/>
    <mergeCell ref="A1026:A1027"/>
    <mergeCell ref="M1026:M1027"/>
    <mergeCell ref="A987:A988"/>
    <mergeCell ref="A973:A986"/>
    <mergeCell ref="A1009:A1025"/>
    <mergeCell ref="M1009:M1025"/>
    <mergeCell ref="A968:A970"/>
    <mergeCell ref="B968:B970"/>
    <mergeCell ref="M906:M919"/>
    <mergeCell ref="M973:M986"/>
    <mergeCell ref="B973:B986"/>
    <mergeCell ref="B987:B988"/>
    <mergeCell ref="B989:B1008"/>
    <mergeCell ref="B1009:B1025"/>
    <mergeCell ref="B1026:B1027"/>
    <mergeCell ref="B869:B872"/>
    <mergeCell ref="A665:A683"/>
    <mergeCell ref="B665:B683"/>
    <mergeCell ref="A842:A868"/>
    <mergeCell ref="B842:B868"/>
    <mergeCell ref="M146:M168"/>
    <mergeCell ref="M236:M254"/>
    <mergeCell ref="M320:M336"/>
    <mergeCell ref="M413:M431"/>
    <mergeCell ref="M581:M599"/>
    <mergeCell ref="M665:M683"/>
    <mergeCell ref="M749:M765"/>
    <mergeCell ref="M842:M868"/>
    <mergeCell ref="A749:A765"/>
    <mergeCell ref="B824:B829"/>
    <mergeCell ref="B830:B835"/>
    <mergeCell ref="B836:B841"/>
    <mergeCell ref="B873:B885"/>
    <mergeCell ref="B207:B217"/>
    <mergeCell ref="B218:B223"/>
    <mergeCell ref="B302:B307"/>
    <mergeCell ref="B395:B400"/>
    <mergeCell ref="B479:B484"/>
    <mergeCell ref="B224:B229"/>
    <mergeCell ref="B308:B313"/>
    <mergeCell ref="B314:B319"/>
    <mergeCell ref="B401:B406"/>
    <mergeCell ref="B407:B412"/>
    <mergeCell ref="B485:B490"/>
    <mergeCell ref="B491:B496"/>
    <mergeCell ref="B255:B258"/>
    <mergeCell ref="B337:B340"/>
    <mergeCell ref="B432:B435"/>
    <mergeCell ref="B516:B519"/>
    <mergeCell ref="B600:B603"/>
    <mergeCell ref="B684:B687"/>
    <mergeCell ref="B766:B769"/>
    <mergeCell ref="A55:A59"/>
    <mergeCell ref="B55:B59"/>
    <mergeCell ref="M55:M59"/>
    <mergeCell ref="M14:M23"/>
    <mergeCell ref="A14:A23"/>
    <mergeCell ref="B14:B23"/>
    <mergeCell ref="A25:A36"/>
    <mergeCell ref="B25:B36"/>
    <mergeCell ref="M25:M36"/>
    <mergeCell ref="A78:A92"/>
    <mergeCell ref="M491:M496"/>
    <mergeCell ref="B1052:B1064"/>
    <mergeCell ref="A49:A54"/>
    <mergeCell ref="B922:B941"/>
    <mergeCell ref="M809:M811"/>
    <mergeCell ref="A516:A519"/>
    <mergeCell ref="M93:M106"/>
    <mergeCell ref="A901:A903"/>
    <mergeCell ref="M731:M736"/>
    <mergeCell ref="A117:A127"/>
    <mergeCell ref="A436:A448"/>
    <mergeCell ref="A107:A112"/>
    <mergeCell ref="B1039:B1044"/>
    <mergeCell ref="M617:M631"/>
    <mergeCell ref="M407:M412"/>
    <mergeCell ref="A407:A412"/>
    <mergeCell ref="M230:M235"/>
    <mergeCell ref="A600:A603"/>
    <mergeCell ref="A1052:A1064"/>
    <mergeCell ref="M647:M652"/>
    <mergeCell ref="B64:B77"/>
    <mergeCell ref="M140:M145"/>
    <mergeCell ref="A647:A652"/>
    <mergeCell ref="B961:B966"/>
    <mergeCell ref="A218:A223"/>
    <mergeCell ref="M308:M313"/>
    <mergeCell ref="M479:M484"/>
    <mergeCell ref="M688:M700"/>
    <mergeCell ref="M485:M490"/>
    <mergeCell ref="M659:M664"/>
    <mergeCell ref="B173:B177"/>
    <mergeCell ref="M720:M730"/>
    <mergeCell ref="M203:M205"/>
    <mergeCell ref="A720:A730"/>
    <mergeCell ref="A287:A289"/>
    <mergeCell ref="A491:A496"/>
    <mergeCell ref="A575:A580"/>
    <mergeCell ref="A659:A664"/>
    <mergeCell ref="A743:A748"/>
    <mergeCell ref="A836:A841"/>
    <mergeCell ref="B236:B254"/>
    <mergeCell ref="A236:A254"/>
    <mergeCell ref="A320:A336"/>
    <mergeCell ref="B320:B336"/>
    <mergeCell ref="B413:B431"/>
    <mergeCell ref="A413:A431"/>
    <mergeCell ref="B497:B515"/>
    <mergeCell ref="M113:M115"/>
    <mergeCell ref="A272:A286"/>
    <mergeCell ref="A259:A271"/>
    <mergeCell ref="A464:A466"/>
    <mergeCell ref="B342:B364"/>
    <mergeCell ref="M836:M841"/>
    <mergeCell ref="A314:A319"/>
    <mergeCell ref="B107:B112"/>
    <mergeCell ref="M291:M301"/>
    <mergeCell ref="B380:B382"/>
    <mergeCell ref="A146:A168"/>
    <mergeCell ref="B146:B168"/>
    <mergeCell ref="A497:A515"/>
    <mergeCell ref="B520:B532"/>
    <mergeCell ref="B533:B547"/>
    <mergeCell ref="B563:B568"/>
    <mergeCell ref="B569:B574"/>
    <mergeCell ref="B575:B580"/>
    <mergeCell ref="B581:B599"/>
    <mergeCell ref="A581:A599"/>
    <mergeCell ref="B604:B616"/>
    <mergeCell ref="B647:B652"/>
    <mergeCell ref="B653:B658"/>
    <mergeCell ref="B659:B664"/>
    <mergeCell ref="M1045:M1051"/>
    <mergeCell ref="A203:A205"/>
    <mergeCell ref="B37:B48"/>
    <mergeCell ref="A766:A769"/>
    <mergeCell ref="A1039:A1044"/>
    <mergeCell ref="M604:M616"/>
    <mergeCell ref="A548:A550"/>
    <mergeCell ref="A337:A340"/>
    <mergeCell ref="M886:M900"/>
    <mergeCell ref="A569:A574"/>
    <mergeCell ref="A520:A532"/>
    <mergeCell ref="M533:M547"/>
    <mergeCell ref="A60:A63"/>
    <mergeCell ref="M107:M112"/>
    <mergeCell ref="A224:A229"/>
    <mergeCell ref="A230:A235"/>
    <mergeCell ref="B259:B271"/>
    <mergeCell ref="M516:M519"/>
    <mergeCell ref="B436:B448"/>
    <mergeCell ref="M1035:M1036"/>
    <mergeCell ref="A959:A960"/>
    <mergeCell ref="M380:M382"/>
    <mergeCell ref="M959:M960"/>
    <mergeCell ref="A140:A145"/>
    <mergeCell ref="A3:A12"/>
    <mergeCell ref="M766:M769"/>
    <mergeCell ref="A563:A568"/>
    <mergeCell ref="M552:M562"/>
    <mergeCell ref="A552:A562"/>
    <mergeCell ref="A188:A202"/>
    <mergeCell ref="B178:B187"/>
    <mergeCell ref="M64:M77"/>
    <mergeCell ref="M743:M748"/>
    <mergeCell ref="A632:A634"/>
    <mergeCell ref="M259:M271"/>
    <mergeCell ref="M188:M202"/>
    <mergeCell ref="M632:M634"/>
    <mergeCell ref="M653:M658"/>
    <mergeCell ref="A37:A48"/>
    <mergeCell ref="M60:M63"/>
    <mergeCell ref="M255:M258"/>
    <mergeCell ref="B3:B12"/>
    <mergeCell ref="M128:M133"/>
    <mergeCell ref="A113:A115"/>
    <mergeCell ref="B464:B466"/>
    <mergeCell ref="B60:B63"/>
    <mergeCell ref="A134:A139"/>
    <mergeCell ref="A128:A133"/>
    <mergeCell ref="B1045:B1051"/>
    <mergeCell ref="A961:A966"/>
    <mergeCell ref="B632:B634"/>
    <mergeCell ref="A794:A808"/>
    <mergeCell ref="A1045:A1051"/>
    <mergeCell ref="A384:A394"/>
    <mergeCell ref="B113:B115"/>
    <mergeCell ref="B78:B92"/>
    <mergeCell ref="M830:M835"/>
    <mergeCell ref="A401:A406"/>
    <mergeCell ref="M824:M829"/>
    <mergeCell ref="M920:M921"/>
    <mergeCell ref="M548:M550"/>
    <mergeCell ref="M272:M286"/>
    <mergeCell ref="M384:M394"/>
    <mergeCell ref="M134:M139"/>
    <mergeCell ref="B771:B793"/>
    <mergeCell ref="A688:A700"/>
    <mergeCell ref="M873:M885"/>
    <mergeCell ref="M701:M715"/>
    <mergeCell ref="M432:M435"/>
    <mergeCell ref="M365:M379"/>
    <mergeCell ref="M794:M808"/>
    <mergeCell ref="A824:A829"/>
    <mergeCell ref="B49:B54"/>
    <mergeCell ref="M961:M966"/>
    <mergeCell ref="B134:B139"/>
    <mergeCell ref="A617:A631"/>
    <mergeCell ref="M922:M941"/>
    <mergeCell ref="A302:A307"/>
    <mergeCell ref="M1039:M1044"/>
    <mergeCell ref="A731:A736"/>
    <mergeCell ref="A93:A106"/>
    <mergeCell ref="A380:A382"/>
    <mergeCell ref="A716:A718"/>
    <mergeCell ref="A479:A484"/>
    <mergeCell ref="M636:M646"/>
    <mergeCell ref="A173:A177"/>
    <mergeCell ref="B959:B960"/>
    <mergeCell ref="M49:M54"/>
    <mergeCell ref="M287:M289"/>
    <mergeCell ref="M737:M742"/>
    <mergeCell ref="M449:M463"/>
    <mergeCell ref="A869:A872"/>
    <mergeCell ref="B920:B921"/>
    <mergeCell ref="A432:A435"/>
    <mergeCell ref="A920:A921"/>
    <mergeCell ref="M813:M823"/>
    <mergeCell ref="A922:A941"/>
    <mergeCell ref="M468:M478"/>
    <mergeCell ref="B716:B718"/>
    <mergeCell ref="M563:M568"/>
    <mergeCell ref="M178:M187"/>
    <mergeCell ref="A701:A715"/>
    <mergeCell ref="A737:A742"/>
    <mergeCell ref="A64:A77"/>
    <mergeCell ref="A771:A793"/>
    <mergeCell ref="A830:A835"/>
    <mergeCell ref="M436:M448"/>
    <mergeCell ref="B287:B289"/>
    <mergeCell ref="M600:M603"/>
    <mergeCell ref="A449:A463"/>
    <mergeCell ref="A178:A187"/>
    <mergeCell ref="A636:A646"/>
    <mergeCell ref="M314:M319"/>
    <mergeCell ref="M337:M340"/>
    <mergeCell ref="B93:B106"/>
    <mergeCell ref="A169:A172"/>
    <mergeCell ref="M78:M92"/>
    <mergeCell ref="B809:B811"/>
    <mergeCell ref="M569:M574"/>
    <mergeCell ref="A255:A258"/>
    <mergeCell ref="A873:A885"/>
    <mergeCell ref="M771:M793"/>
    <mergeCell ref="A395:A400"/>
    <mergeCell ref="M207:M217"/>
    <mergeCell ref="M224:M229"/>
    <mergeCell ref="B203:B205"/>
    <mergeCell ref="B117:B127"/>
    <mergeCell ref="B901:B903"/>
    <mergeCell ref="M869:M872"/>
    <mergeCell ref="A485:A490"/>
    <mergeCell ref="M401:M406"/>
    <mergeCell ref="A342:A364"/>
    <mergeCell ref="A813:A823"/>
    <mergeCell ref="M342:M364"/>
    <mergeCell ref="A604:A616"/>
    <mergeCell ref="A684:A687"/>
    <mergeCell ref="A365:A379"/>
    <mergeCell ref="M302:M307"/>
    <mergeCell ref="M575:M580"/>
    <mergeCell ref="B688:B700"/>
    <mergeCell ref="B731:B736"/>
    <mergeCell ref="B737:B742"/>
    <mergeCell ref="B743:B748"/>
    <mergeCell ref="B749:B765"/>
    <mergeCell ref="A468:A478"/>
    <mergeCell ref="M173:M177"/>
    <mergeCell ref="M218:M223"/>
    <mergeCell ref="M37:M48"/>
    <mergeCell ref="M520:M532"/>
    <mergeCell ref="A207:A217"/>
    <mergeCell ref="M3:M12"/>
    <mergeCell ref="M117:M127"/>
    <mergeCell ref="M1052:M1064"/>
    <mergeCell ref="M716:M718"/>
    <mergeCell ref="B548:B550"/>
    <mergeCell ref="M169:M172"/>
    <mergeCell ref="A886:A900"/>
    <mergeCell ref="B128:B133"/>
    <mergeCell ref="M464:M466"/>
    <mergeCell ref="A291:A301"/>
    <mergeCell ref="A653:A658"/>
    <mergeCell ref="A809:A811"/>
    <mergeCell ref="A308:A313"/>
    <mergeCell ref="M901:M903"/>
    <mergeCell ref="B169:B172"/>
    <mergeCell ref="A533:A547"/>
    <mergeCell ref="M395:M400"/>
    <mergeCell ref="M684:M687"/>
  </mergeCells>
  <phoneticPr fontId="1" type="noConversion"/>
  <conditionalFormatting sqref="D612">
    <cfRule type="containsText" dxfId="104" priority="847" operator="containsText" text="控压">
      <formula>NOT(ISERROR(SEARCH("控压",D612)))</formula>
    </cfRule>
  </conditionalFormatting>
  <conditionalFormatting sqref="D354">
    <cfRule type="containsText" dxfId="103" priority="33" operator="containsText" text="控压">
      <formula>NOT(ISERROR(SEARCH("控压",D354)))</formula>
    </cfRule>
  </conditionalFormatting>
  <conditionalFormatting sqref="D182">
    <cfRule type="containsText" dxfId="102" priority="703" operator="containsText" text="控压">
      <formula>NOT(ISERROR(SEARCH("控压",D182)))</formula>
    </cfRule>
  </conditionalFormatting>
  <conditionalFormatting sqref="D98">
    <cfRule type="containsText" dxfId="101" priority="1552" operator="containsText" text="控压">
      <formula>NOT(ISERROR(SEARCH("控压",D98)))</formula>
    </cfRule>
  </conditionalFormatting>
  <conditionalFormatting sqref="D334">
    <cfRule type="containsText" dxfId="100" priority="624" operator="containsText" text="控压">
      <formula>NOT(ISERROR(SEARCH("控压",D334)))</formula>
    </cfRule>
  </conditionalFormatting>
  <conditionalFormatting sqref="D643">
    <cfRule type="containsText" dxfId="99" priority="834" operator="containsText" text="控压">
      <formula>NOT(ISERROR(SEARCH("控压",D643)))</formula>
    </cfRule>
  </conditionalFormatting>
  <conditionalFormatting sqref="D783">
    <cfRule type="containsText" dxfId="98" priority="32" operator="containsText" text="控压">
      <formula>NOT(ISERROR(SEARCH("控压",D783)))</formula>
    </cfRule>
  </conditionalFormatting>
  <conditionalFormatting sqref="D214">
    <cfRule type="containsText" dxfId="97" priority="635" operator="containsText" text="控压">
      <formula>NOT(ISERROR(SEARCH("控压",D214)))</formula>
    </cfRule>
  </conditionalFormatting>
  <conditionalFormatting sqref="D351">
    <cfRule type="containsText" dxfId="96" priority="4717" operator="containsText" text="控压">
      <formula>NOT(ISERROR(SEARCH("控压",D351)))</formula>
    </cfRule>
  </conditionalFormatting>
  <conditionalFormatting sqref="D912">
    <cfRule type="containsText" dxfId="95" priority="126" operator="containsText" text="控压">
      <formula>NOT(ISERROR(SEARCH("控压",D912)))</formula>
    </cfRule>
  </conditionalFormatting>
  <conditionalFormatting sqref="R49">
    <cfRule type="containsText" dxfId="94" priority="4719" operator="containsText" text="FALSE">
      <formula>NOT(ISERROR(SEARCH("FALSE",R49)))</formula>
    </cfRule>
  </conditionalFormatting>
  <conditionalFormatting sqref="D696">
    <cfRule type="containsText" dxfId="93" priority="819" operator="containsText" text="控压">
      <formula>NOT(ISERROR(SEARCH("控压",D696)))</formula>
    </cfRule>
  </conditionalFormatting>
  <conditionalFormatting sqref="D559">
    <cfRule type="containsText" dxfId="92" priority="575" operator="containsText" text="控压">
      <formula>NOT(ISERROR(SEARCH("控压",D559)))</formula>
    </cfRule>
  </conditionalFormatting>
  <conditionalFormatting sqref="D102">
    <cfRule type="containsText" dxfId="91" priority="1533" operator="containsText" text="控压">
      <formula>NOT(ISERROR(SEARCH("控压",D102)))</formula>
    </cfRule>
  </conditionalFormatting>
  <conditionalFormatting sqref="D611">
    <cfRule type="containsText" dxfId="90" priority="849" operator="containsText" text="控压">
      <formula>NOT(ISERROR(SEARCH("控压",D611)))</formula>
    </cfRule>
  </conditionalFormatting>
  <conditionalFormatting sqref="D780">
    <cfRule type="containsText" dxfId="89" priority="526" operator="containsText" text="控压">
      <formula>NOT(ISERROR(SEARCH("控压",D780)))</formula>
    </cfRule>
  </conditionalFormatting>
  <conditionalFormatting sqref="D613">
    <cfRule type="containsText" dxfId="88" priority="848" operator="containsText" text="控压">
      <formula>NOT(ISERROR(SEARCH("控压",D613)))</formula>
    </cfRule>
  </conditionalFormatting>
  <conditionalFormatting sqref="D529">
    <cfRule type="containsText" dxfId="87" priority="591" operator="containsText" text="控压">
      <formula>NOT(ISERROR(SEARCH("控压",D529)))</formula>
    </cfRule>
  </conditionalFormatting>
  <conditionalFormatting sqref="D391">
    <cfRule type="containsText" dxfId="86" priority="622" operator="containsText" text="控压">
      <formula>NOT(ISERROR(SEARCH("控压",D391)))</formula>
    </cfRule>
  </conditionalFormatting>
  <conditionalFormatting sqref="R78">
    <cfRule type="containsText" dxfId="85" priority="4721" operator="containsText" text="FALSE">
      <formula>NOT(ISERROR(SEARCH("FALSE",R78)))</formula>
    </cfRule>
  </conditionalFormatting>
  <conditionalFormatting sqref="D213">
    <cfRule type="containsText" dxfId="84" priority="636" operator="containsText" text="控压">
      <formula>NOT(ISERROR(SEARCH("控压",D213)))</formula>
    </cfRule>
  </conditionalFormatting>
  <conditionalFormatting sqref="D528">
    <cfRule type="containsText" dxfId="83" priority="590" operator="containsText" text="控压">
      <formula>NOT(ISERROR(SEARCH("控压",D528)))</formula>
    </cfRule>
  </conditionalFormatting>
  <conditionalFormatting sqref="P231:Q235 P230">
    <cfRule type="containsText" dxfId="82" priority="94" operator="containsText" text="FALSE">
      <formula>NOT(ISERROR(SEARCH("FALSE",P231)))</formula>
    </cfRule>
  </conditionalFormatting>
  <conditionalFormatting sqref="I887:I893">
    <cfRule type="containsText" dxfId="81" priority="737" operator="containsText" text="0.005Mpa 启动">
      <formula>NOT(ISERROR(SEARCH("0.005Mpa 启动",I887)))</formula>
    </cfRule>
  </conditionalFormatting>
  <conditionalFormatting sqref="D359">
    <cfRule type="containsText" dxfId="80" priority="936" operator="containsText" text="控压">
      <formula>NOT(ISERROR(SEARCH("控压",D359)))</formula>
    </cfRule>
  </conditionalFormatting>
  <conditionalFormatting sqref="D268">
    <cfRule type="containsText" dxfId="79" priority="966" operator="containsText" text="控压">
      <formula>NOT(ISERROR(SEARCH("控压",D268)))</formula>
    </cfRule>
  </conditionalFormatting>
  <conditionalFormatting sqref="D390">
    <cfRule type="containsText" dxfId="78" priority="623" operator="containsText" text="控压">
      <formula>NOT(ISERROR(SEARCH("控压",D390)))</formula>
    </cfRule>
  </conditionalFormatting>
  <conditionalFormatting sqref="U1046:U1064">
    <cfRule type="containsText" dxfId="77" priority="300" operator="containsText" text="FALSE">
      <formula>NOT(ISERROR(SEARCH("FALSE",U1046)))</formula>
    </cfRule>
  </conditionalFormatting>
  <conditionalFormatting sqref="D297">
    <cfRule type="containsText" dxfId="76" priority="631" operator="containsText" text="控压">
      <formula>NOT(ISERROR(SEARCH("控压",D297)))</formula>
    </cfRule>
  </conditionalFormatting>
  <conditionalFormatting sqref="R134">
    <cfRule type="containsText" dxfId="75" priority="4725" operator="containsText" text="FALSE">
      <formula>NOT(ISERROR(SEARCH("FALSE",R134)))</formula>
    </cfRule>
  </conditionalFormatting>
  <conditionalFormatting sqref="P270 P276">
    <cfRule type="containsText" dxfId="74" priority="444" operator="containsText" text="FALSE">
      <formula>NOT(ISERROR(SEARCH("FALSE",P270)))</formula>
    </cfRule>
  </conditionalFormatting>
  <conditionalFormatting sqref="P180">
    <cfRule type="containsText" dxfId="73" priority="447" operator="containsText" text="FALSE">
      <formula>NOT(ISERROR(SEARCH("FALSE",P180)))</formula>
    </cfRule>
  </conditionalFormatting>
  <conditionalFormatting sqref="D726">
    <cfRule type="containsText" dxfId="72" priority="533" operator="containsText" text="控压">
      <formula>NOT(ISERROR(SEARCH("控压",D726)))</formula>
    </cfRule>
  </conditionalFormatting>
  <conditionalFormatting sqref="P309:P313 P308">
    <cfRule type="containsText" dxfId="71" priority="90" operator="containsText" text="FALSE">
      <formula>NOT(ISERROR(SEARCH("FALSE",P309)))</formula>
    </cfRule>
  </conditionalFormatting>
  <conditionalFormatting sqref="D444">
    <cfRule type="containsText" dxfId="70" priority="903" operator="containsText" text="控压">
      <formula>NOT(ISERROR(SEARCH("控压",D444)))</formula>
    </cfRule>
  </conditionalFormatting>
  <conditionalFormatting sqref="P225:Q229 P224">
    <cfRule type="containsText" dxfId="69" priority="98" operator="containsText" text="FALSE">
      <formula>NOT(ISERROR(SEARCH("FALSE",P225)))</formula>
    </cfRule>
  </conditionalFormatting>
  <conditionalFormatting sqref="R119:R128">
    <cfRule type="containsText" dxfId="68" priority="4726" operator="containsText" text="FALSE">
      <formula>NOT(ISERROR(SEARCH("FALSE",R119)))</formula>
    </cfRule>
  </conditionalFormatting>
  <conditionalFormatting sqref="D183">
    <cfRule type="containsText" dxfId="67" priority="1300" operator="containsText" text="控压">
      <formula>NOT(ISERROR(SEARCH("控压",D183)))</formula>
    </cfRule>
  </conditionalFormatting>
  <conditionalFormatting sqref="D819">
    <cfRule type="containsText" dxfId="66" priority="777" operator="containsText" text="控压">
      <formula>NOT(ISERROR(SEARCH("控压",D819)))</formula>
    </cfRule>
  </conditionalFormatting>
  <conditionalFormatting sqref="D123">
    <cfRule type="containsText" dxfId="65" priority="2477" operator="containsText" text="控压">
      <formula>NOT(ISERROR(SEARCH("控压",D123)))</formula>
    </cfRule>
  </conditionalFormatting>
  <conditionalFormatting sqref="D916">
    <cfRule type="containsText" dxfId="64" priority="2479" operator="containsText" text="控压">
      <formula>NOT(ISERROR(SEARCH("控压",D916)))</formula>
    </cfRule>
  </conditionalFormatting>
  <conditionalFormatting sqref="R107">
    <cfRule type="containsText" dxfId="63" priority="4723" operator="containsText" text="FALSE">
      <formula>NOT(ISERROR(SEARCH("FALSE",R107)))</formula>
    </cfRule>
  </conditionalFormatting>
  <conditionalFormatting sqref="F1:H1">
    <cfRule type="containsText" dxfId="62" priority="295" operator="containsText" text="启动">
      <formula>NOT(ISERROR(SEARCH("启动",F1)))</formula>
    </cfRule>
  </conditionalFormatting>
  <conditionalFormatting sqref="D443">
    <cfRule type="containsText" dxfId="61" priority="905" operator="containsText" text="控压">
      <formula>NOT(ISERROR(SEARCH("控压",D443)))</formula>
    </cfRule>
  </conditionalFormatting>
  <conditionalFormatting sqref="K1:L1">
    <cfRule type="containsText" dxfId="60" priority="480" operator="containsText" text="启动">
      <formula>NOT(ISERROR(SEARCH("启动",K1)))</formula>
    </cfRule>
  </conditionalFormatting>
  <conditionalFormatting sqref="D695">
    <cfRule type="containsText" dxfId="59" priority="821" operator="containsText" text="控压">
      <formula>NOT(ISERROR(SEARCH("控压",D695)))</formula>
    </cfRule>
  </conditionalFormatting>
  <conditionalFormatting sqref="D99">
    <cfRule type="containsText" dxfId="58" priority="34" operator="containsText" text="控压">
      <formula>NOT(ISERROR(SEARCH("控压",D99)))</formula>
    </cfRule>
  </conditionalFormatting>
  <conditionalFormatting sqref="D475">
    <cfRule type="containsText" dxfId="57" priority="588" operator="containsText" text="控压">
      <formula>NOT(ISERROR(SEARCH("控压",D475)))</formula>
    </cfRule>
  </conditionalFormatting>
  <conditionalFormatting sqref="P141:Q145 P140">
    <cfRule type="containsText" dxfId="56" priority="102" operator="containsText" text="FALSE">
      <formula>NOT(ISERROR(SEARCH("FALSE",P141)))</formula>
    </cfRule>
  </conditionalFormatting>
  <conditionalFormatting sqref="D558">
    <cfRule type="containsText" dxfId="55" priority="576" operator="containsText" text="控压">
      <formula>NOT(ISERROR(SEARCH("控压",D558)))</formula>
    </cfRule>
  </conditionalFormatting>
  <conditionalFormatting sqref="I886">
    <cfRule type="containsText" dxfId="54" priority="734" operator="containsText" text="0.005Mpa 启动">
      <formula>NOT(ISERROR(SEARCH("0.005Mpa 启动",I886)))</formula>
    </cfRule>
  </conditionalFormatting>
  <conditionalFormatting sqref="D727">
    <cfRule type="containsText" dxfId="53" priority="532" operator="containsText" text="控压">
      <formula>NOT(ISERROR(SEARCH("控压",D727)))</formula>
    </cfRule>
  </conditionalFormatting>
  <conditionalFormatting sqref="D445">
    <cfRule type="containsText" dxfId="52" priority="904" operator="containsText" text="控压">
      <formula>NOT(ISERROR(SEARCH("控压",D445)))</formula>
    </cfRule>
  </conditionalFormatting>
  <conditionalFormatting sqref="D474">
    <cfRule type="containsText" dxfId="51" priority="589" operator="containsText" text="控压">
      <formula>NOT(ISERROR(SEARCH("控压",D474)))</formula>
    </cfRule>
  </conditionalFormatting>
  <conditionalFormatting sqref="F1065:H1048576">
    <cfRule type="containsText" dxfId="50" priority="296" operator="containsText" text="启动">
      <formula>NOT(ISERROR(SEARCH("启动",F1065)))</formula>
    </cfRule>
  </conditionalFormatting>
  <conditionalFormatting sqref="D642">
    <cfRule type="containsText" dxfId="49" priority="837" operator="containsText" text="控压">
      <formula>NOT(ISERROR(SEARCH("控压",D642)))</formula>
    </cfRule>
  </conditionalFormatting>
  <conditionalFormatting sqref="P315:P319 P314">
    <cfRule type="containsText" dxfId="48" priority="86" operator="containsText" text="FALSE">
      <formula>NOT(ISERROR(SEARCH("FALSE",P315)))</formula>
    </cfRule>
  </conditionalFormatting>
  <conditionalFormatting sqref="D820">
    <cfRule type="containsText" dxfId="47" priority="774" operator="containsText" text="控压">
      <formula>NOT(ISERROR(SEARCH("控压",D820)))</formula>
    </cfRule>
  </conditionalFormatting>
  <conditionalFormatting sqref="R93">
    <cfRule type="containsText" dxfId="46" priority="4722" operator="containsText" text="FALSE">
      <formula>NOT(ISERROR(SEARCH("FALSE",R93)))</formula>
    </cfRule>
  </conditionalFormatting>
  <conditionalFormatting sqref="P109:Q112">
    <cfRule type="containsText" dxfId="45" priority="433" operator="containsText" text="FALSE">
      <formula>NOT(ISERROR(SEARCH("FALSE",P109)))</formula>
    </cfRule>
  </conditionalFormatting>
  <conditionalFormatting sqref="D880:D881">
    <cfRule type="containsText" dxfId="44" priority="739" operator="containsText" text="控压">
      <formula>NOT(ISERROR(SEARCH("控压",D880)))</formula>
    </cfRule>
  </conditionalFormatting>
  <conditionalFormatting sqref="D124">
    <cfRule type="containsText" dxfId="43" priority="1307" operator="containsText" text="控压">
      <formula>NOT(ISERROR(SEARCH("控压",D124)))</formula>
    </cfRule>
  </conditionalFormatting>
  <conditionalFormatting sqref="P294 P303">
    <cfRule type="containsText" dxfId="42" priority="441" operator="containsText" text="FALSE">
      <formula>NOT(ISERROR(SEARCH("FALSE",P294)))</formula>
    </cfRule>
  </conditionalFormatting>
  <conditionalFormatting sqref="P193 P194:Q200 P203 P204:Q206 P202:Q202 P201">
    <cfRule type="containsText" dxfId="41" priority="325" operator="containsText" text="FALSE">
      <formula>NOT(ISERROR(SEARCH("FALSE",P193)))</formula>
    </cfRule>
  </conditionalFormatting>
  <conditionalFormatting sqref="D882">
    <cfRule type="containsText" dxfId="40" priority="740" operator="containsText" text="控压">
      <formula>NOT(ISERROR(SEARCH("控压",D882)))</formula>
    </cfRule>
  </conditionalFormatting>
  <conditionalFormatting sqref="D267">
    <cfRule type="containsText" dxfId="39" priority="965" operator="containsText" text="控压">
      <formula>NOT(ISERROR(SEARCH("控压",D267)))</formula>
    </cfRule>
  </conditionalFormatting>
  <conditionalFormatting sqref="D527">
    <cfRule type="containsText" dxfId="38" priority="592" operator="containsText" text="控压">
      <formula>NOT(ISERROR(SEARCH("控压",D527)))</formula>
    </cfRule>
  </conditionalFormatting>
  <conditionalFormatting sqref="D788">
    <cfRule type="containsText" dxfId="37" priority="543" operator="containsText" text="控压">
      <formula>NOT(ISERROR(SEARCH("控压",D788)))</formula>
    </cfRule>
  </conditionalFormatting>
  <conditionalFormatting sqref="D97">
    <cfRule type="containsText" dxfId="36" priority="103" operator="containsText" text="控压">
      <formula>NOT(ISERROR(SEARCH("控压",D97)))</formula>
    </cfRule>
  </conditionalFormatting>
  <conditionalFormatting sqref="D266">
    <cfRule type="containsText" dxfId="35" priority="967" operator="containsText" text="控压">
      <formula>NOT(ISERROR(SEARCH("控压",D266)))</formula>
    </cfRule>
  </conditionalFormatting>
  <conditionalFormatting sqref="D298">
    <cfRule type="containsText" dxfId="34" priority="630" operator="containsText" text="控压">
      <formula>NOT(ISERROR(SEARCH("控压",D298)))</formula>
    </cfRule>
  </conditionalFormatting>
  <conditionalFormatting sqref="D71">
    <cfRule type="containsText" dxfId="33" priority="4705" operator="containsText" text="控压">
      <formula>NOT(ISERROR(SEARCH("控压",D71)))</formula>
    </cfRule>
  </conditionalFormatting>
  <conditionalFormatting sqref="D697">
    <cfRule type="containsText" dxfId="32" priority="818" operator="containsText" text="控压">
      <formula>NOT(ISERROR(SEARCH("控压",D697)))</formula>
    </cfRule>
  </conditionalFormatting>
  <conditionalFormatting sqref="D763">
    <cfRule type="containsText" dxfId="31" priority="2478" operator="containsText" text="控压">
      <formula>NOT(ISERROR(SEARCH("控压",D763)))</formula>
    </cfRule>
  </conditionalFormatting>
  <conditionalFormatting sqref="D184">
    <cfRule type="containsText" dxfId="30" priority="1445" operator="containsText" text="控压">
      <formula>NOT(ISERROR(SEARCH("控压",D184)))</formula>
    </cfRule>
  </conditionalFormatting>
  <conditionalFormatting sqref="R42">
    <cfRule type="containsText" dxfId="29" priority="4718" operator="containsText" text="FALSE">
      <formula>NOT(ISERROR(SEARCH("FALSE",R42)))</formula>
    </cfRule>
  </conditionalFormatting>
  <conditionalFormatting sqref="R63">
    <cfRule type="containsText" dxfId="28" priority="4720" operator="containsText" text="FALSE">
      <formula>NOT(ISERROR(SEARCH("FALSE",R63)))</formula>
    </cfRule>
  </conditionalFormatting>
  <conditionalFormatting sqref="D103">
    <cfRule type="containsText" dxfId="27" priority="1551" operator="containsText" text="控压">
      <formula>NOT(ISERROR(SEARCH("控压",D103)))</formula>
    </cfRule>
  </conditionalFormatting>
  <conditionalFormatting sqref="R147">
    <cfRule type="containsText" dxfId="26" priority="4724" operator="containsText" text="FALSE">
      <formula>NOT(ISERROR(SEARCH("FALSE",R147)))</formula>
    </cfRule>
  </conditionalFormatting>
  <conditionalFormatting sqref="P146:Q146 P147:P149 Q148:Q149">
    <cfRule type="containsText" dxfId="25" priority="4729" operator="containsText" text="FALSE">
      <formula>NOT(ISERROR(SEARCH("FALSE",P146)))</formula>
    </cfRule>
  </conditionalFormatting>
  <conditionalFormatting sqref="P236:Q236 P237:P239 Q238:Q239">
    <cfRule type="containsText" dxfId="24" priority="4730" operator="containsText" text="FALSE">
      <formula>NOT(ISERROR(SEARCH("FALSE",P236)))</formula>
    </cfRule>
  </conditionalFormatting>
  <conditionalFormatting sqref="P321">
    <cfRule type="containsText" dxfId="23" priority="4731" operator="containsText" text="FALSE">
      <formula>NOT(ISERROR(SEARCH("FALSE",P321)))</formula>
    </cfRule>
  </conditionalFormatting>
  <conditionalFormatting sqref="P320 P322:P323">
    <cfRule type="containsText" dxfId="22" priority="4732" operator="containsText" text="FALSE">
      <formula>NOT(ISERROR(SEARCH("FALSE",P320)))</formula>
    </cfRule>
  </conditionalFormatting>
  <conditionalFormatting sqref="D357 D358">
    <cfRule type="containsText" dxfId="21" priority="935" operator="containsText" text="控压">
      <formula>NOT(ISERROR(SEARCH("控压",D357)))</formula>
    </cfRule>
  </conditionalFormatting>
  <conditionalFormatting sqref="D786 D787">
    <cfRule type="containsText" dxfId="20" priority="542" operator="containsText" text="控压">
      <formula>NOT(ISERROR(SEARCH("控压",D786)))</formula>
    </cfRule>
  </conditionalFormatting>
  <conditionalFormatting sqref="D792">
    <cfRule type="containsText" dxfId="19" priority="4733" operator="containsText" text="控压">
      <formula>NOT(ISERROR(SEARCH("控压",D792)))</formula>
    </cfRule>
  </conditionalFormatting>
  <conditionalFormatting sqref="D979">
    <cfRule type="containsText" dxfId="18" priority="4734" operator="containsText" text="控压">
      <formula>NOT(ISERROR(SEARCH("控压",D979)))</formula>
    </cfRule>
  </conditionalFormatting>
  <conditionalFormatting sqref="D983">
    <cfRule type="containsText" dxfId="17" priority="4735" operator="containsText" text="控压">
      <formula>NOT(ISERROR(SEARCH("控压",D983)))</formula>
    </cfRule>
  </conditionalFormatting>
  <conditionalFormatting sqref="P1034:Q1036">
    <cfRule type="containsText" dxfId="16" priority="121" operator="containsText" text="FALSE">
      <formula>NOT(ISERROR(SEARCH("FALSE",P1034)))</formula>
    </cfRule>
  </conditionalFormatting>
  <conditionalFormatting sqref="P1030:Q1033">
    <cfRule type="containsText" dxfId="15" priority="4728" operator="containsText" text="FALSE">
      <formula>NOT(ISERROR(SEARCH("FALSE",P1030)))</formula>
    </cfRule>
  </conditionalFormatting>
  <conditionalFormatting sqref="P1028:P1029">
    <cfRule type="containsText" dxfId="14" priority="4736" operator="containsText" text="FALSE">
      <formula>NOT(ISERROR(SEARCH("FALSE",P1028)))</formula>
    </cfRule>
  </conditionalFormatting>
  <conditionalFormatting sqref="I924">
    <cfRule type="containsText" dxfId="13" priority="4737" operator="containsText" text="0.005Mpa 启动">
      <formula>NOT(ISERROR(SEARCH("0.005Mpa 启动",I924)))</formula>
    </cfRule>
  </conditionalFormatting>
  <conditionalFormatting sqref="I944">
    <cfRule type="containsText" dxfId="12" priority="4738" operator="containsText" text="0.005Mpa 启动">
      <formula>NOT(ISERROR(SEARCH("0.005Mpa 启动",I944)))</formula>
    </cfRule>
  </conditionalFormatting>
  <conditionalFormatting sqref="I991">
    <cfRule type="containsText" dxfId="11" priority="4739" operator="containsText" text="0.005Mpa 启动">
      <formula>NOT(ISERROR(SEARCH("0.005Mpa 启动",I991)))</formula>
    </cfRule>
  </conditionalFormatting>
  <conditionalFormatting sqref="I1011">
    <cfRule type="containsText" dxfId="10" priority="4740" operator="containsText" text="0.005Mpa 启动">
      <formula>NOT(ISERROR(SEARCH("0.005Mpa 启动",I1011)))</formula>
    </cfRule>
  </conditionalFormatting>
  <conditionalFormatting sqref="N1065:S1048576 U1065:U1048576 P100:Q100 U1:U38">
    <cfRule type="containsText" dxfId="9" priority="312" operator="containsText" text="FALSE">
      <formula>NOT(ISERROR(SEARCH("FALSE",N1065)))</formula>
    </cfRule>
  </conditionalFormatting>
  <conditionalFormatting sqref="R160">
    <cfRule type="containsText" dxfId="8" priority="4741" operator="containsText" text="FALSE">
      <formula>NOT(ISERROR(SEARCH("FALSE",R160)))</formula>
    </cfRule>
  </conditionalFormatting>
  <conditionalFormatting sqref="P95:Q98 P93 P266:P269">
    <cfRule type="containsText" dxfId="7" priority="4742" operator="containsText" text="FALSE">
      <formula>NOT(ISERROR(SEARCH("FALSE",P95)))</formula>
    </cfRule>
  </conditionalFormatting>
  <conditionalFormatting sqref="Q1011:Q1027 P1011:P1027">
    <cfRule type="containsText" dxfId="6" priority="4743" operator="containsText" text="FALSE">
      <formula>NOT(ISERROR(SEARCH("FALSE",Q1011)))</formula>
    </cfRule>
  </conditionalFormatting>
  <conditionalFormatting sqref="N2:S2 N13:S13 N1040:N1044 N1046:S1048 N1051:S1056 N1064:S1064 P3 P5:P12 P14:Q40 P42:P48 P50:P57 P62:P92 P94 P101:P116 P119:P126 P129:P139 P152:Q155 P157:Q157 P159:P179 P181:P192 P209:P214 P217:P223 P247:P258 P262:P265 P271:P275 P277:P290 P293 P295:P302 P304:P307 P326:P329 P335:P355 P1038:P1045 P1049 P1063 Q6:S10 Q12:S12 Q43:Q48 Q50:Q51 Q53:Q54 Q56:Q57 Q67:Q68 Q70:Q77 Q79 Q81:Q83 Q85:Q91 Q102:Q106 Q108 Q113 Q115:Q116 Q120 Q122:Q126 Q130:Q133 Q135:Q139 Q159 Q161 Q165:Q167 Q171:Q175 Q177:Q179 Q181:Q187 Q190:Q192 Q210:Q214 Q219:Q222 Q248:Q249 Q1040:Q1044 R3:S3 R14:S38 S5 S11 S1049 S1063">
    <cfRule type="containsText" dxfId="5" priority="4744" operator="containsText" text="FALSE">
      <formula>NOT(ISERROR(SEARCH("FALSE",N2)))</formula>
    </cfRule>
  </conditionalFormatting>
  <conditionalFormatting sqref="U1:U1064">
    <cfRule type="containsText" dxfId="4" priority="16" operator="containsText" text="FALSE">
      <formula>NOT(ISERROR(SEARCH("FALSE",U1)))</formula>
    </cfRule>
  </conditionalFormatting>
  <conditionalFormatting sqref="R140:R145 R150:R159 R161:R1045">
    <cfRule type="containsText" dxfId="3" priority="4745" operator="containsText" text="FALSE">
      <formula>NOT(ISERROR(SEARCH("FALSE",R140)))</formula>
    </cfRule>
  </conditionalFormatting>
  <conditionalFormatting sqref="F2:H1064 K2:L1064">
    <cfRule type="containsText" dxfId="2" priority="462" operator="containsText" text="开">
      <formula>NOT(ISERROR(SEARCH("开",F2)))</formula>
    </cfRule>
  </conditionalFormatting>
  <conditionalFormatting sqref="F2:H1064 K2:L1064">
    <cfRule type="containsText" dxfId="1" priority="463" operator="containsText" text="关">
      <formula>NOT(ISERROR(SEARCH("关",F2)))</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7"/>
  <sheetViews>
    <sheetView workbookViewId="0"/>
  </sheetViews>
  <sheetFormatPr defaultColWidth="8.875" defaultRowHeight="14.1" customHeight="1"/>
  <cols>
    <col min="1" max="1" width="11.625" style="23" customWidth="1"/>
    <col min="2" max="2" width="18.625" style="23" customWidth="1"/>
    <col min="3" max="3" width="15.5" style="23" customWidth="1"/>
    <col min="4" max="4" width="14.625" style="23" customWidth="1"/>
    <col min="5" max="5" width="14.125" style="23" customWidth="1"/>
    <col min="6" max="6" width="19.5" style="23" customWidth="1"/>
    <col min="7" max="7" width="19.125" style="23" customWidth="1"/>
  </cols>
  <sheetData>
    <row r="1" spans="1:13" ht="26.1" customHeight="1">
      <c r="A1" s="79">
        <v>103.35</v>
      </c>
      <c r="B1" s="79" t="s">
        <v>562</v>
      </c>
      <c r="C1" s="86" t="s">
        <v>563</v>
      </c>
      <c r="D1" s="79" t="s">
        <v>564</v>
      </c>
      <c r="E1" s="86" t="s">
        <v>565</v>
      </c>
      <c r="F1" s="103" t="s">
        <v>566</v>
      </c>
      <c r="G1" s="79" t="s">
        <v>567</v>
      </c>
      <c r="I1" s="3"/>
      <c r="J1" s="4" t="s">
        <v>568</v>
      </c>
      <c r="K1" s="4"/>
      <c r="L1" s="4"/>
      <c r="M1" s="4"/>
    </row>
    <row r="2" spans="1:13" ht="22.35" customHeight="1">
      <c r="A2" s="5" t="s">
        <v>569</v>
      </c>
      <c r="B2" s="5" t="s">
        <v>570</v>
      </c>
      <c r="C2" s="6" t="s">
        <v>571</v>
      </c>
      <c r="D2" s="5" t="s">
        <v>572</v>
      </c>
      <c r="E2" s="6" t="s">
        <v>573</v>
      </c>
      <c r="F2" s="7" t="s">
        <v>574</v>
      </c>
      <c r="G2" s="5" t="s">
        <v>575</v>
      </c>
      <c r="I2" s="8"/>
      <c r="J2" s="4" t="s">
        <v>576</v>
      </c>
      <c r="K2" s="4"/>
      <c r="L2" s="4"/>
      <c r="M2" s="4"/>
    </row>
    <row r="3" spans="1:13" ht="14.45" customHeight="1">
      <c r="A3" s="9"/>
      <c r="B3" s="9"/>
      <c r="C3" s="10"/>
      <c r="D3" s="9"/>
      <c r="E3" s="10"/>
      <c r="F3" s="11"/>
      <c r="G3" s="12" t="s">
        <v>577</v>
      </c>
      <c r="I3" s="13"/>
      <c r="J3" s="14" t="s">
        <v>578</v>
      </c>
      <c r="K3" s="14"/>
      <c r="L3" s="14"/>
      <c r="M3" s="14"/>
    </row>
    <row r="4" spans="1:13" ht="27.6" customHeight="1">
      <c r="A4" s="713" t="s">
        <v>579</v>
      </c>
      <c r="B4" s="15" t="s">
        <v>580</v>
      </c>
      <c r="C4" s="710">
        <v>65</v>
      </c>
      <c r="D4" s="16">
        <f>ROUND(C4*B8,2)</f>
        <v>102.7</v>
      </c>
      <c r="E4" s="598" t="s">
        <v>581</v>
      </c>
      <c r="F4" s="17"/>
      <c r="G4" s="598"/>
      <c r="I4" s="18"/>
      <c r="J4" s="19" t="s">
        <v>582</v>
      </c>
    </row>
    <row r="5" spans="1:13" ht="41.1" customHeight="1">
      <c r="A5" s="714"/>
      <c r="B5" s="15" t="s">
        <v>583</v>
      </c>
      <c r="C5" s="711"/>
      <c r="D5" s="20" t="s">
        <v>584</v>
      </c>
      <c r="E5" s="708"/>
      <c r="F5" s="71">
        <f>C4-ROUND(C4*0.002,2)</f>
        <v>64.87</v>
      </c>
      <c r="G5" s="708"/>
    </row>
    <row r="6" spans="1:13" ht="14.1" customHeight="1">
      <c r="A6" s="714"/>
      <c r="B6" s="15"/>
      <c r="C6" s="711"/>
      <c r="D6" s="6"/>
      <c r="E6" s="708"/>
      <c r="F6" s="21"/>
      <c r="G6" s="708"/>
    </row>
    <row r="7" spans="1:13" ht="14.1" customHeight="1">
      <c r="A7" s="714"/>
      <c r="B7" s="15"/>
      <c r="C7" s="711"/>
      <c r="D7" s="20"/>
      <c r="E7" s="708"/>
      <c r="F7" s="21"/>
      <c r="G7" s="708"/>
    </row>
    <row r="8" spans="1:13" ht="14.1" customHeight="1">
      <c r="A8" s="714"/>
      <c r="B8" s="22">
        <v>1.58</v>
      </c>
      <c r="C8" s="711"/>
      <c r="E8" s="708"/>
      <c r="F8" s="21" t="s">
        <v>585</v>
      </c>
      <c r="G8" s="708"/>
    </row>
    <row r="9" spans="1:13" ht="14.1" customHeight="1">
      <c r="A9" s="714"/>
      <c r="B9" s="10"/>
      <c r="C9" s="711"/>
      <c r="D9" s="20"/>
      <c r="E9" s="708"/>
      <c r="F9" s="17"/>
      <c r="G9" s="708"/>
    </row>
    <row r="10" spans="1:13" ht="14.1" customHeight="1">
      <c r="A10" s="714"/>
      <c r="B10" s="10"/>
      <c r="C10" s="711"/>
      <c r="D10" s="20"/>
      <c r="E10" s="708"/>
      <c r="F10" s="17"/>
      <c r="G10" s="708"/>
    </row>
    <row r="11" spans="1:13" ht="14.1" customHeight="1">
      <c r="A11" s="714"/>
      <c r="B11" s="10"/>
      <c r="C11" s="711"/>
      <c r="D11" s="20" t="s">
        <v>586</v>
      </c>
      <c r="E11" s="708"/>
      <c r="F11" s="71">
        <f>C4+ROUND(C4*0.002,2)</f>
        <v>65.13</v>
      </c>
      <c r="G11" s="708"/>
    </row>
    <row r="12" spans="1:13" ht="14.1" customHeight="1">
      <c r="A12" s="714"/>
      <c r="B12" s="10"/>
      <c r="C12" s="711"/>
      <c r="D12" s="6"/>
      <c r="E12" s="708"/>
      <c r="F12" s="17"/>
      <c r="G12" s="708"/>
    </row>
    <row r="13" spans="1:13" ht="14.1" customHeight="1">
      <c r="A13" s="714"/>
      <c r="B13" s="10"/>
      <c r="C13" s="711"/>
      <c r="D13" s="20"/>
      <c r="E13" s="708"/>
      <c r="F13" s="17"/>
      <c r="G13" s="708"/>
    </row>
    <row r="14" spans="1:13" ht="14.45" customHeight="1">
      <c r="A14" s="715"/>
      <c r="B14" s="24"/>
      <c r="C14" s="712"/>
      <c r="D14" s="25"/>
      <c r="E14" s="709"/>
      <c r="F14" s="26"/>
      <c r="G14" s="709"/>
    </row>
    <row r="15" spans="1:13" ht="27" customHeight="1">
      <c r="A15" s="706" t="s">
        <v>587</v>
      </c>
      <c r="B15" s="707"/>
      <c r="C15" s="706"/>
      <c r="D15" s="707"/>
      <c r="E15" s="706"/>
      <c r="F15" s="707"/>
      <c r="G15" s="706"/>
    </row>
    <row r="16" spans="1:13" ht="14.1" customHeight="1">
      <c r="A16" s="717"/>
      <c r="B16" s="717"/>
      <c r="C16" s="717"/>
    </row>
    <row r="17" spans="1:5" ht="14.1" customHeight="1">
      <c r="A17" s="716" t="s">
        <v>588</v>
      </c>
      <c r="B17" s="716"/>
      <c r="C17" s="716"/>
      <c r="D17" s="716"/>
      <c r="E17" s="716"/>
    </row>
  </sheetData>
  <mergeCells count="7">
    <mergeCell ref="A15:G15"/>
    <mergeCell ref="E4:E14"/>
    <mergeCell ref="C4:C14"/>
    <mergeCell ref="A4:A14"/>
    <mergeCell ref="A17:E17"/>
    <mergeCell ref="G4:G14"/>
    <mergeCell ref="A16:C1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79"/>
  <sheetViews>
    <sheetView workbookViewId="0">
      <pane xSplit="5" ySplit="1" topLeftCell="F2" activePane="bottomRight" state="frozen"/>
      <selection pane="topRight"/>
      <selection pane="bottomLeft"/>
      <selection pane="bottomRight" activeCell="F2" sqref="F2"/>
    </sheetView>
  </sheetViews>
  <sheetFormatPr defaultColWidth="8.875" defaultRowHeight="15.75" customHeight="1"/>
  <cols>
    <col min="1" max="1" width="19.125" style="27" customWidth="1"/>
    <col min="3" max="3" width="23" style="67" customWidth="1"/>
    <col min="4" max="4" width="9" style="50" hidden="1" customWidth="1"/>
    <col min="5" max="5" width="9" style="68" hidden="1" customWidth="1"/>
    <col min="6" max="6" width="13" style="27" hidden="1" customWidth="1"/>
    <col min="7" max="7" width="10.625" style="68" hidden="1" customWidth="1"/>
    <col min="8" max="8" width="10.875" style="50" customWidth="1"/>
    <col min="9" max="9" width="9" style="50" customWidth="1"/>
    <col min="10" max="10" width="11.5" style="50" customWidth="1"/>
    <col min="11" max="16" width="9" style="50" customWidth="1"/>
    <col min="17" max="25" width="9" style="50" hidden="1" customWidth="1"/>
    <col min="26" max="26" width="89" style="50" hidden="1" customWidth="1"/>
    <col min="27" max="29" width="9" style="50" hidden="1" customWidth="1"/>
    <col min="30" max="31" width="0" style="50" hidden="1" customWidth="1"/>
  </cols>
  <sheetData>
    <row r="1" spans="1:31" s="27" customFormat="1" ht="76.5" customHeight="1">
      <c r="B1" s="28" t="s">
        <v>589</v>
      </c>
      <c r="C1" s="28" t="s">
        <v>590</v>
      </c>
      <c r="D1" s="29" t="s">
        <v>591</v>
      </c>
      <c r="E1" s="30" t="s">
        <v>592</v>
      </c>
      <c r="F1" s="31" t="s">
        <v>593</v>
      </c>
      <c r="G1" s="31" t="s">
        <v>594</v>
      </c>
      <c r="H1" s="28" t="s">
        <v>595</v>
      </c>
      <c r="I1" s="28" t="s">
        <v>596</v>
      </c>
      <c r="J1" s="31" t="s">
        <v>597</v>
      </c>
      <c r="K1" s="28"/>
      <c r="L1" s="28" t="s">
        <v>598</v>
      </c>
      <c r="M1" s="32" t="s">
        <v>599</v>
      </c>
      <c r="N1" s="32" t="s">
        <v>600</v>
      </c>
      <c r="O1" s="32" t="s">
        <v>601</v>
      </c>
      <c r="P1" s="28" t="s">
        <v>602</v>
      </c>
      <c r="Q1" s="27" t="s">
        <v>603</v>
      </c>
      <c r="T1" s="27" t="s">
        <v>604</v>
      </c>
      <c r="U1" s="27" t="s">
        <v>605</v>
      </c>
      <c r="W1" s="27" t="s">
        <v>606</v>
      </c>
      <c r="X1" s="27" t="s">
        <v>607</v>
      </c>
      <c r="Y1" s="27" t="s">
        <v>608</v>
      </c>
      <c r="Z1" s="27" t="s">
        <v>609</v>
      </c>
      <c r="AB1" s="27" t="s">
        <v>610</v>
      </c>
      <c r="AC1" s="27" t="s">
        <v>611</v>
      </c>
    </row>
    <row r="2" spans="1:31" ht="30" customHeight="1">
      <c r="A2" s="33" t="str">
        <f t="shared" ref="A2:A11" si="0">IFERROR(SUBSTITUTE(IFERROR(MID(B2,FIND("/",B2,1)+1,LEN(B2)),B2)&amp;LEFT(C2,FIND("/",C2,1)-1)," ",""),"")</f>
        <v>3DMF</v>
      </c>
      <c r="B2" s="99">
        <v>3</v>
      </c>
      <c r="C2" s="28" t="s">
        <v>612</v>
      </c>
      <c r="D2" s="34">
        <v>73.099999999999994</v>
      </c>
      <c r="E2" s="35">
        <v>0.94799999999999995</v>
      </c>
      <c r="F2" s="36" t="s">
        <v>613</v>
      </c>
      <c r="G2" s="37">
        <v>5.69</v>
      </c>
      <c r="H2" s="38" t="str">
        <f>TEXT(ROUND(G2*树脂信息!$C$4,2),"0.00")</f>
        <v>369.85</v>
      </c>
      <c r="I2" s="105" t="s">
        <v>614</v>
      </c>
      <c r="J2" s="37" t="str">
        <f>TEXT(ROUND(H2*0.94,2),"0.00")&amp;"~"&amp;TEXT(ROUND(H2*1.06,2),"0.00")</f>
        <v>347.66~392.04</v>
      </c>
      <c r="K2" s="28"/>
      <c r="L2" s="28"/>
      <c r="M2" s="39"/>
      <c r="N2" s="39"/>
      <c r="O2" s="39"/>
      <c r="P2" s="40">
        <v>6</v>
      </c>
      <c r="Q2" s="8"/>
    </row>
    <row r="3" spans="1:31" ht="30" customHeight="1">
      <c r="A3" s="85" t="str">
        <f t="shared" si="0"/>
        <v>3DMF</v>
      </c>
      <c r="B3" s="99">
        <v>3</v>
      </c>
      <c r="C3" s="105" t="s">
        <v>612</v>
      </c>
      <c r="D3" s="34">
        <v>73.099999999999994</v>
      </c>
      <c r="E3" s="35">
        <v>0.94799999999999995</v>
      </c>
      <c r="F3" s="36" t="s">
        <v>613</v>
      </c>
      <c r="G3" s="37">
        <v>5.69</v>
      </c>
      <c r="H3" s="38" t="str">
        <f>TEXT(ROUND(G3*树脂信息!$C$4,2),"0.00")</f>
        <v>369.85</v>
      </c>
      <c r="I3" s="105" t="s">
        <v>614</v>
      </c>
      <c r="J3" s="37" t="str">
        <f>TEXT(ROUND(H3*0.94,2),"0.00")&amp;"~"&amp;TEXT(ROUND(H3*1.06,2),"0.00")</f>
        <v>347.66~392.04</v>
      </c>
      <c r="K3" s="105"/>
      <c r="L3" s="105"/>
      <c r="M3" s="84"/>
      <c r="N3" s="84"/>
      <c r="O3" s="84"/>
      <c r="P3" s="40">
        <v>6</v>
      </c>
      <c r="Q3" s="8"/>
      <c r="R3" s="73"/>
      <c r="S3" s="73"/>
      <c r="T3" s="73"/>
      <c r="U3" s="73"/>
      <c r="V3" s="73"/>
      <c r="W3" s="73"/>
      <c r="X3" s="73"/>
      <c r="Y3" s="73"/>
      <c r="Z3" s="73"/>
      <c r="AA3" s="73"/>
      <c r="AB3" s="73"/>
      <c r="AC3" s="73"/>
      <c r="AD3" s="73"/>
      <c r="AE3" s="73"/>
    </row>
    <row r="4" spans="1:31" ht="30" customHeight="1">
      <c r="A4" s="33" t="str">
        <f t="shared" si="0"/>
        <v>3.1.3DMF</v>
      </c>
      <c r="B4" s="28" t="s">
        <v>60</v>
      </c>
      <c r="C4" s="28" t="s">
        <v>612</v>
      </c>
      <c r="D4" s="34">
        <v>73.099999999999994</v>
      </c>
      <c r="E4" s="35">
        <v>0.94799999999999995</v>
      </c>
      <c r="F4" s="36" t="s">
        <v>613</v>
      </c>
      <c r="G4" s="37">
        <v>7.58</v>
      </c>
      <c r="H4" s="38" t="str">
        <f>TEXT(ROUND(G4*树脂信息!$C$4,2),"0.00")</f>
        <v>492.70</v>
      </c>
      <c r="I4" s="105" t="s">
        <v>614</v>
      </c>
      <c r="J4" s="37" t="str">
        <f>TEXT(ROUND(H4*0.94,2),"0.00")&amp;"~"&amp;TEXT(ROUND(H4*1.06,2),"0.00")</f>
        <v>463.14~522.26</v>
      </c>
      <c r="K4" s="28"/>
      <c r="L4" s="28"/>
      <c r="M4" s="39"/>
      <c r="N4" s="39"/>
      <c r="O4" s="39"/>
      <c r="P4" s="40">
        <v>8</v>
      </c>
      <c r="Q4" s="8"/>
    </row>
    <row r="5" spans="1:31" ht="30" customHeight="1">
      <c r="A5" s="33" t="str">
        <f t="shared" si="0"/>
        <v>3.1.6DMF</v>
      </c>
      <c r="B5" s="28" t="s">
        <v>76</v>
      </c>
      <c r="C5" s="28" t="s">
        <v>612</v>
      </c>
      <c r="D5" s="34">
        <v>73.099999999999994</v>
      </c>
      <c r="E5" s="35">
        <v>0.94799999999999995</v>
      </c>
      <c r="F5" s="36" t="s">
        <v>613</v>
      </c>
      <c r="G5" s="37">
        <v>5.69</v>
      </c>
      <c r="H5" s="38" t="str">
        <f>TEXT(ROUND(G5*树脂信息!$C$4,2),"0.00")</f>
        <v>369.85</v>
      </c>
      <c r="I5" s="105" t="s">
        <v>615</v>
      </c>
      <c r="J5" s="37" t="str">
        <f>TEXT(ROUND(H5*0.95,2),"0.00")&amp;"~"&amp;TEXT(ROUND(H5*1.05,2),"0.00")</f>
        <v>351.36~388.34</v>
      </c>
      <c r="K5" s="28"/>
      <c r="L5" s="28"/>
      <c r="M5" s="39"/>
      <c r="N5" s="39"/>
      <c r="O5" s="39"/>
      <c r="P5" s="40">
        <v>6</v>
      </c>
      <c r="Q5" s="8"/>
    </row>
    <row r="6" spans="1:31" ht="30" customHeight="1">
      <c r="A6" s="33" t="str">
        <f t="shared" si="0"/>
        <v>3.1.7Fmoc-Gly-OH</v>
      </c>
      <c r="B6" s="28" t="s">
        <v>616</v>
      </c>
      <c r="C6" s="28" t="s">
        <v>617</v>
      </c>
      <c r="D6" s="34">
        <v>297.31</v>
      </c>
      <c r="E6" s="41" t="s">
        <v>613</v>
      </c>
      <c r="F6" s="35">
        <f>O6</f>
        <v>2.25</v>
      </c>
      <c r="G6" s="37" t="s">
        <v>613</v>
      </c>
      <c r="H6" s="42">
        <f>ROUND(O6*D6/1000*树脂信息!$D$4,2)</f>
        <v>68.7</v>
      </c>
      <c r="I6" s="28" t="s">
        <v>618</v>
      </c>
      <c r="J6" s="37" t="str">
        <f>TEXT(ROUND(H6*0.97,2),"0.00")&amp;"~"&amp;TEXT(ROUND(H6*1.03,2),"0.00")</f>
        <v>66.64~70.76</v>
      </c>
      <c r="K6" s="57">
        <f>ROUND(H6*0.03,2)</f>
        <v>2.06</v>
      </c>
      <c r="L6" s="28"/>
      <c r="M6" s="43">
        <f>(H6-H6*0.97)+(H6-H6*1.03)</f>
        <v>0</v>
      </c>
      <c r="N6" s="119">
        <v>2.25</v>
      </c>
      <c r="O6" s="43">
        <v>2.25</v>
      </c>
      <c r="P6" s="28"/>
      <c r="Q6" s="50" t="str">
        <f>"Ins "&amp;B6&amp;" The standard batch Qty of "&amp;LEFT(C6,FIND("/",C6,1)-1)&amp;"/操作"&amp;LEFT(B6,FIND("/",B6,1)-1)&amp;"（用于Ins."&amp;MID(B6,FIND("/",B6,1)+1,100)&amp;"）"&amp;MID(C6,FIND("/",C6,1)+1,100)&amp;"标准投料量"</f>
        <v>Ins 1.2/3.1.7 The standard batch Qty of Fmoc-Gly-OH/操作1.2（用于Ins.3.1.7）芴甲氧羰基-甘氨酸标准投料量</v>
      </c>
      <c r="R6" s="50" t="s">
        <v>619</v>
      </c>
      <c r="S6" s="50" t="s">
        <v>620</v>
      </c>
      <c r="T6" s="50" t="e">
        <f>R6&amp;#REF!&amp;S6</f>
        <v>#REF!</v>
      </c>
      <c r="U6" s="50" t="e">
        <f>COUNTIF(#REF!,_xlfn.IFNA(S6,#REF!))+1</f>
        <v>#REF!</v>
      </c>
      <c r="V6" s="50" t="e">
        <f>U6-1</f>
        <v>#REF!</v>
      </c>
      <c r="W6" s="50" t="str">
        <f>"Update Ins "&amp;MID(B6,FIND("/",B6,1)+1,100)&amp;" plan qty of "&amp;LEFT(C6,FIND("/",C6,1)-1)&amp;"/更新操作"&amp;MID(B6,FIND("/",B6,1)+1,100)&amp;" "&amp;MID(C6,FIND("/",C6,1)+1,100)&amp;"计划量"</f>
        <v>Update Ins 3.1.7 plan qty of Fmoc-Gly-OH/更新操作3.1.7 芴甲氧羰基-甘氨酸计划量</v>
      </c>
      <c r="X6" s="50" t="s">
        <v>621</v>
      </c>
      <c r="Y6" s="44" t="s">
        <v>622</v>
      </c>
      <c r="Z6" s="50" t="e">
        <f>X6&amp;MID(B6,FIND("/",B6,1)+1,100)&amp;Y6&amp;U6&amp;" Value})"</f>
        <v>#REF!</v>
      </c>
      <c r="AB6" s="50" t="str">
        <f>"Ins "&amp;LEFT(B6,FIND("/",B6,1)-1)&amp;" Dispense "&amp;LEFT(C6,FIND("/",C6,1)-1)&amp;"/分装"&amp;MID(C6,FIND("/",C6,1)+1,100)</f>
        <v>Ins 1.2 Dispense Fmoc-Gly-OH/分装芴甲氧羰基-甘氨酸</v>
      </c>
      <c r="AC6" s="50" t="str">
        <f>MID(B6,FIND("/",B6,1)+1,100)&amp;" "&amp;C6</f>
        <v>3.1.7 Fmoc-Gly-OH/芴甲氧羰基-甘氨酸</v>
      </c>
    </row>
    <row r="7" spans="1:31" ht="30" customHeight="1">
      <c r="A7" s="33" t="str">
        <f t="shared" si="0"/>
        <v>3.1.8DMF</v>
      </c>
      <c r="B7" s="28" t="s">
        <v>84</v>
      </c>
      <c r="C7" s="28" t="s">
        <v>612</v>
      </c>
      <c r="D7" s="34">
        <v>73.099999999999994</v>
      </c>
      <c r="E7" s="35">
        <v>0.94799999999999995</v>
      </c>
      <c r="F7" s="36" t="s">
        <v>613</v>
      </c>
      <c r="G7" s="37">
        <v>0.95</v>
      </c>
      <c r="H7" s="38" t="str">
        <f>TEXT(ROUND(G7*树脂信息!$C$4,2),"0.00")</f>
        <v>61.75</v>
      </c>
      <c r="I7" s="105" t="s">
        <v>614</v>
      </c>
      <c r="J7" s="37" t="str">
        <f>TEXT(ROUND(H7*0.94,2),"0.00")&amp;"~"&amp;TEXT(ROUND(H7*1.06,2),"0.00")</f>
        <v>58.05~65.46</v>
      </c>
      <c r="K7" s="28"/>
      <c r="L7" s="28"/>
      <c r="M7" s="39"/>
      <c r="N7" s="39"/>
      <c r="O7" s="39"/>
      <c r="P7" s="40">
        <v>1</v>
      </c>
      <c r="Q7" s="23"/>
    </row>
    <row r="8" spans="1:31" ht="30" customHeight="1">
      <c r="A8" s="33" t="str">
        <f t="shared" si="0"/>
        <v>3.1.9DMF</v>
      </c>
      <c r="B8" s="28" t="s">
        <v>100</v>
      </c>
      <c r="C8" s="28" t="s">
        <v>612</v>
      </c>
      <c r="D8" s="34">
        <v>73.099999999999994</v>
      </c>
      <c r="E8" s="35">
        <v>0.94799999999999995</v>
      </c>
      <c r="F8" s="36" t="s">
        <v>613</v>
      </c>
      <c r="G8" s="37">
        <v>4.74</v>
      </c>
      <c r="H8" s="38" t="str">
        <f>TEXT(ROUND(G8*树脂信息!$C$4,2),"0.00")</f>
        <v>308.10</v>
      </c>
      <c r="I8" s="105" t="s">
        <v>614</v>
      </c>
      <c r="J8" s="37" t="str">
        <f>TEXT(ROUND(H8*0.94,2),"0.00")&amp;"~"&amp;TEXT(ROUND(H8*1.06,2),"0.00")</f>
        <v>289.61~326.59</v>
      </c>
      <c r="K8" s="28"/>
      <c r="L8" s="28"/>
      <c r="M8" s="39"/>
      <c r="N8" s="39"/>
      <c r="O8" s="39"/>
      <c r="P8" s="40">
        <v>5</v>
      </c>
      <c r="Q8" s="8"/>
    </row>
    <row r="9" spans="1:31" ht="30" customHeight="1">
      <c r="A9" s="33" t="str">
        <f t="shared" si="0"/>
        <v>3.2.1DIPEA</v>
      </c>
      <c r="B9" s="28" t="s">
        <v>623</v>
      </c>
      <c r="C9" s="28" t="s">
        <v>624</v>
      </c>
      <c r="D9" s="34">
        <v>129.24</v>
      </c>
      <c r="E9" s="41" t="s">
        <v>613</v>
      </c>
      <c r="F9" s="35">
        <f>O9</f>
        <v>6</v>
      </c>
      <c r="G9" s="37" t="s">
        <v>613</v>
      </c>
      <c r="H9" s="48">
        <f>ROUND(O9*D9/1000*树脂信息!$D$4,2)</f>
        <v>79.64</v>
      </c>
      <c r="I9" s="49" t="s">
        <v>618</v>
      </c>
      <c r="J9" s="37" t="str">
        <f>TEXT(ROUND(H9*0.97,2),"0.00")&amp;"~"&amp;TEXT(ROUND(H9*1.03,2),"0.00")</f>
        <v>77.25~82.03</v>
      </c>
      <c r="K9" s="57">
        <f>ROUND(H9*0.03,2)</f>
        <v>2.39</v>
      </c>
      <c r="L9" s="28"/>
      <c r="M9" s="43">
        <f>(H9-H9*0.97)+(H9-H9*1.03)</f>
        <v>0</v>
      </c>
      <c r="N9" s="119">
        <v>6</v>
      </c>
      <c r="O9" s="43">
        <v>6</v>
      </c>
      <c r="P9" s="28"/>
      <c r="Q9" s="23"/>
    </row>
    <row r="10" spans="1:31" ht="30" customHeight="1">
      <c r="A10" s="33" t="str">
        <f t="shared" si="0"/>
        <v>3.3.2DMF</v>
      </c>
      <c r="B10" s="28" t="s">
        <v>119</v>
      </c>
      <c r="C10" s="28" t="s">
        <v>612</v>
      </c>
      <c r="D10" s="34">
        <v>73.099999999999994</v>
      </c>
      <c r="E10" s="35">
        <v>0.94799999999999995</v>
      </c>
      <c r="F10" s="36" t="s">
        <v>613</v>
      </c>
      <c r="G10" s="37">
        <v>0.95</v>
      </c>
      <c r="H10" s="38" t="str">
        <f>TEXT(ROUND(G10*树脂信息!$C$4,2),"0.00")</f>
        <v>61.75</v>
      </c>
      <c r="I10" s="105" t="s">
        <v>614</v>
      </c>
      <c r="J10" s="37" t="str">
        <f>TEXT(ROUND(H10*0.94,2),"0.00")&amp;"~"&amp;TEXT(ROUND(H10*1.06,2),"0.00")</f>
        <v>58.05~65.46</v>
      </c>
      <c r="K10" s="28"/>
      <c r="L10" s="28"/>
      <c r="M10" s="39"/>
      <c r="N10" s="39"/>
      <c r="O10" s="39"/>
      <c r="P10" s="40">
        <v>1</v>
      </c>
      <c r="Q10" s="23"/>
    </row>
    <row r="11" spans="1:31" ht="30" customHeight="1">
      <c r="A11" s="718" t="str">
        <f t="shared" si="0"/>
        <v>3.3.6DMF</v>
      </c>
      <c r="B11" s="598" t="s">
        <v>136</v>
      </c>
      <c r="C11" s="598" t="s">
        <v>612</v>
      </c>
      <c r="D11" s="34">
        <v>73.099999999999994</v>
      </c>
      <c r="E11" s="35">
        <v>0.94799999999999995</v>
      </c>
      <c r="F11" s="36" t="s">
        <v>613</v>
      </c>
      <c r="G11" s="37">
        <v>7.58</v>
      </c>
      <c r="H11" s="38" t="str">
        <f>TEXT(ROUND(G11*树脂信息!$C$4,2),"0.00")</f>
        <v>492.70</v>
      </c>
      <c r="I11" s="105" t="s">
        <v>614</v>
      </c>
      <c r="J11" s="37" t="str">
        <f>TEXT(ROUND(H11*0.94,2),"0.00")&amp;"~"&amp;TEXT(ROUND(H11*1.06,2),"0.00")</f>
        <v>463.14~522.26</v>
      </c>
      <c r="K11" s="28"/>
      <c r="L11" s="28" t="s">
        <v>625</v>
      </c>
      <c r="M11" s="39"/>
      <c r="N11" s="39"/>
      <c r="O11" s="39"/>
      <c r="P11" s="40">
        <v>8</v>
      </c>
      <c r="Q11" s="23"/>
    </row>
    <row r="12" spans="1:31" ht="36.75" customHeight="1">
      <c r="A12" s="719"/>
      <c r="B12" s="720"/>
      <c r="C12" s="720"/>
      <c r="D12" s="602" t="s">
        <v>626</v>
      </c>
      <c r="E12" s="602"/>
      <c r="F12" s="602"/>
      <c r="G12" s="602"/>
      <c r="H12" s="602"/>
      <c r="I12" s="602"/>
      <c r="J12" s="602"/>
      <c r="K12" s="602"/>
      <c r="L12" s="602"/>
      <c r="M12" s="52"/>
      <c r="N12" s="52"/>
      <c r="O12" s="52"/>
      <c r="P12" s="52"/>
      <c r="Q12" s="53" t="s">
        <v>627</v>
      </c>
    </row>
    <row r="13" spans="1:31" ht="30" customHeight="1">
      <c r="A13" s="33" t="str">
        <f t="shared" ref="A13:A44" si="1">IFERROR(SUBSTITUTE(IFERROR(MID(B13,FIND("/",B13,1)+1,LEN(B13)),B13)&amp;LEFT(C13,FIND("/",C13,1)-1)," ",""),"")</f>
        <v>3.4.1DMF</v>
      </c>
      <c r="B13" s="28" t="s">
        <v>153</v>
      </c>
      <c r="C13" s="28" t="s">
        <v>612</v>
      </c>
      <c r="D13" s="34">
        <v>73.099999999999994</v>
      </c>
      <c r="E13" s="35">
        <v>0.94799999999999995</v>
      </c>
      <c r="F13" s="36" t="s">
        <v>613</v>
      </c>
      <c r="G13" s="37">
        <v>8.5299999999999994</v>
      </c>
      <c r="H13" s="38" t="str">
        <f>TEXT(ROUND(G13*树脂信息!$C$4,2),"0.00")</f>
        <v>554.45</v>
      </c>
      <c r="I13" s="105" t="s">
        <v>614</v>
      </c>
      <c r="J13" s="37" t="str">
        <f>TEXT(ROUND(H13*0.94,2),"0.00")&amp;"~"&amp;TEXT(ROUND(H13*1.06,2),"0.00")</f>
        <v>521.18~587.72</v>
      </c>
      <c r="K13" s="28"/>
      <c r="L13" s="28"/>
      <c r="M13" s="39"/>
      <c r="N13" s="39"/>
      <c r="O13" s="39"/>
      <c r="P13" s="40">
        <v>9</v>
      </c>
      <c r="Q13" s="23"/>
    </row>
    <row r="14" spans="1:31" ht="30" customHeight="1">
      <c r="A14" s="33" t="str">
        <f t="shared" si="1"/>
        <v>3.4.2Methanol</v>
      </c>
      <c r="B14" s="28" t="s">
        <v>629</v>
      </c>
      <c r="C14" s="28" t="s">
        <v>630</v>
      </c>
      <c r="D14" s="34">
        <v>32.01</v>
      </c>
      <c r="E14" s="41" t="s">
        <v>613</v>
      </c>
      <c r="F14" s="35">
        <f>O14</f>
        <v>10</v>
      </c>
      <c r="G14" s="37" t="s">
        <v>613</v>
      </c>
      <c r="H14" s="48">
        <f>ROUND(O14*D14/1000*树脂信息!$D$4,2)</f>
        <v>32.869999999999997</v>
      </c>
      <c r="I14" s="28" t="s">
        <v>618</v>
      </c>
      <c r="J14" s="37" t="str">
        <f>TEXT(ROUND(H14*0.97,2),"0.00")&amp;"~"&amp;TEXT(ROUND(H14*1.03,2),"0.00")</f>
        <v>31.88~33.86</v>
      </c>
      <c r="K14" s="57">
        <f>ROUND(H14*0.03,2)</f>
        <v>0.99</v>
      </c>
      <c r="L14" s="28"/>
      <c r="M14" s="43">
        <f>(H14-H14*0.97)+(H14-H14*1.03)</f>
        <v>0</v>
      </c>
      <c r="N14" s="119">
        <v>10</v>
      </c>
      <c r="O14" s="43">
        <v>10</v>
      </c>
      <c r="P14" s="28"/>
      <c r="Q14" s="50" t="str">
        <f>"Ins "&amp;B14&amp;" The standard batch Qty of "&amp;LEFT(C14,FIND("/",C14,1)-1)&amp;"/操作"&amp;B14&amp;" "&amp;MID(C14,FIND("/",C14,1)+1,100)&amp;"标准投料量"</f>
        <v>Ins 3.4.2 The standard batch Qty of Methanol/操作3.4.2 甲醇标准投料量</v>
      </c>
      <c r="R14" s="50" t="s">
        <v>619</v>
      </c>
      <c r="S14" s="50" t="s">
        <v>620</v>
      </c>
      <c r="T14" s="50" t="e">
        <f>R14&amp;#REF!&amp;S14</f>
        <v>#REF!</v>
      </c>
      <c r="U14" s="50">
        <f>COUNTIF($S$9:S14,_xlfn.IFNA(S14,$S$9:S14))+1</f>
        <v>2</v>
      </c>
      <c r="V14" s="50">
        <f>U14-1</f>
        <v>1</v>
      </c>
      <c r="W14" s="50" t="str">
        <f>"Update Ins "&amp;B14&amp;" plan qty of "&amp;LEFT(C14,FIND("/",C14,1)-1)&amp;"/更新操作"&amp;B14&amp;" "&amp;MID(C14,FIND("/",C14,1)+1,100)&amp;"计划量"</f>
        <v>Update Ins 3.4.2 plan qty of Methanol/更新操作3.4.2 甲醇计划量</v>
      </c>
      <c r="X14" s="50" t="s">
        <v>621</v>
      </c>
      <c r="Y14" s="51" t="s">
        <v>622</v>
      </c>
      <c r="Z14" s="50" t="str">
        <f>X14&amp;B14&amp;Y14&amp;U14&amp;" Value})"</f>
        <v>updateWeighingPlanQuantity("3.4.2-1", PH:{Standard batch Qty calculation/标准投料量计算-01}.{2 Value})</v>
      </c>
      <c r="AB14" s="50" t="str">
        <f>"Ins "&amp;B14&amp;" Weighing of "&amp;LEFT(C14,FIND("/",C14,1)-1)&amp;"/"&amp;MID(C14,FIND("/",C14,1)+1,100)&amp;"称重"</f>
        <v>Ins 3.4.2 Weighing of Methanol/甲醇称重</v>
      </c>
    </row>
    <row r="15" spans="1:31" ht="30" customHeight="1">
      <c r="A15" s="33" t="str">
        <f t="shared" si="1"/>
        <v>3.4.3DIPEA</v>
      </c>
      <c r="B15" s="28" t="s">
        <v>631</v>
      </c>
      <c r="C15" s="28" t="s">
        <v>632</v>
      </c>
      <c r="D15" s="34">
        <v>129.24</v>
      </c>
      <c r="E15" s="41" t="s">
        <v>613</v>
      </c>
      <c r="F15" s="35">
        <f>O15</f>
        <v>5</v>
      </c>
      <c r="G15" s="37" t="s">
        <v>613</v>
      </c>
      <c r="H15" s="48">
        <f>ROUND(O15*D15/1000*树脂信息!$D$4,2)</f>
        <v>66.36</v>
      </c>
      <c r="I15" s="49" t="s">
        <v>618</v>
      </c>
      <c r="J15" s="37" t="str">
        <f>TEXT(ROUND(H15*0.97,2),"0.00")&amp;"~"&amp;TEXT(ROUND(H15*1.03,2),"0.00")</f>
        <v>64.37~68.35</v>
      </c>
      <c r="K15" s="57">
        <f>ROUND(H15*0.03,2)</f>
        <v>1.99</v>
      </c>
      <c r="L15" s="28"/>
      <c r="M15" s="43">
        <f>(H15-H15*0.97)+(H15-H15*1.03)</f>
        <v>0</v>
      </c>
      <c r="N15" s="119">
        <v>5</v>
      </c>
      <c r="O15" s="43">
        <v>5</v>
      </c>
      <c r="P15" s="28"/>
      <c r="Q15" s="50" t="str">
        <f>"Ins "&amp;B15&amp;" The standard batch Qty of "&amp;LEFT(C15,FIND("/",C15,1)-1)&amp;"/操作"&amp;B15&amp;" "&amp;MID(C15,FIND("/",C15,1)+1,100)&amp;"标准投料量"</f>
        <v>Ins 3.4.3 The standard batch Qty of DIPEA/操作3.4.3 N,N-二异丙基乙胺标准投料量</v>
      </c>
      <c r="R15" s="50" t="s">
        <v>619</v>
      </c>
      <c r="S15" s="50" t="s">
        <v>620</v>
      </c>
      <c r="T15" s="50" t="e">
        <f>R15&amp;#REF!&amp;S15</f>
        <v>#REF!</v>
      </c>
      <c r="U15" s="50">
        <f>COUNTIF($S$9:S15,_xlfn.IFNA(S15,$S$9:S15))+1</f>
        <v>3</v>
      </c>
      <c r="V15" s="50">
        <f>U15-1</f>
        <v>2</v>
      </c>
      <c r="W15" s="50" t="str">
        <f>"Update Ins "&amp;B15&amp;" plan qty of "&amp;LEFT(C15,FIND("/",C15,1)-1)&amp;"/更新操作"&amp;B15&amp;" "&amp;MID(C15,FIND("/",C15,1)+1,100)&amp;"计划量"</f>
        <v>Update Ins 3.4.3 plan qty of DIPEA/更新操作3.4.3 N,N-二异丙基乙胺计划量</v>
      </c>
      <c r="X15" s="50" t="s">
        <v>621</v>
      </c>
      <c r="Y15" s="51" t="s">
        <v>633</v>
      </c>
      <c r="Z15" s="50" t="str">
        <f>X15&amp;B15&amp;Y15&amp;U15&amp;" Value})"</f>
        <v>updateWeighingPlanQuantity("3.4.3-3", PH:{Standard batch Qty calculation/标准投料量计算-01}.{3 Value})</v>
      </c>
      <c r="AB15" s="50" t="str">
        <f>"Ins "&amp;B15&amp;" Weighing of "&amp;LEFT(C15,FIND("/",C15,1)-1)&amp;"/"&amp;MID(C15,FIND("/",C15,1)+1,100)&amp;"称重"</f>
        <v>Ins 3.4.3 Weighing of DIPEA/N,N-二异丙基乙胺称重</v>
      </c>
    </row>
    <row r="16" spans="1:31" ht="36.75" customHeight="1">
      <c r="A16" s="33" t="str">
        <f t="shared" si="1"/>
        <v>3.4.6DMF</v>
      </c>
      <c r="B16" s="601" t="s">
        <v>166</v>
      </c>
      <c r="C16" s="601" t="s">
        <v>612</v>
      </c>
      <c r="D16" s="34">
        <v>73.099999999999994</v>
      </c>
      <c r="E16" s="35">
        <v>0.94799999999999995</v>
      </c>
      <c r="F16" s="36" t="s">
        <v>613</v>
      </c>
      <c r="G16" s="37">
        <v>7.58</v>
      </c>
      <c r="H16" s="38" t="str">
        <f>TEXT(ROUND(G16*树脂信息!$C$4,2),"0.00")</f>
        <v>492.70</v>
      </c>
      <c r="I16" s="105" t="s">
        <v>614</v>
      </c>
      <c r="J16" s="37" t="str">
        <f>TEXT(ROUND(H16*0.94,2),"0.00")&amp;"~"&amp;TEXT(ROUND(H16*1.06,2),"0.00")</f>
        <v>463.14~522.26</v>
      </c>
      <c r="K16" s="28"/>
      <c r="L16" s="28" t="s">
        <v>625</v>
      </c>
      <c r="M16" s="39"/>
      <c r="N16" s="39"/>
      <c r="O16" s="39"/>
      <c r="P16" s="40">
        <v>8</v>
      </c>
      <c r="Q16" s="23"/>
    </row>
    <row r="17" spans="1:31" ht="30" customHeight="1">
      <c r="A17" s="33" t="str">
        <f t="shared" si="1"/>
        <v/>
      </c>
      <c r="B17" s="601"/>
      <c r="C17" s="601"/>
      <c r="D17" s="602" t="s">
        <v>626</v>
      </c>
      <c r="E17" s="602"/>
      <c r="F17" s="602"/>
      <c r="G17" s="602"/>
      <c r="H17" s="602"/>
      <c r="I17" s="602"/>
      <c r="J17" s="602"/>
      <c r="K17" s="602"/>
      <c r="L17" s="602"/>
      <c r="M17" s="39"/>
      <c r="N17" s="39"/>
      <c r="O17" s="39"/>
      <c r="P17" s="52"/>
      <c r="Q17" s="53" t="s">
        <v>627</v>
      </c>
    </row>
    <row r="18" spans="1:31" ht="36.75" customHeight="1">
      <c r="A18" s="33" t="str">
        <f t="shared" si="1"/>
        <v/>
      </c>
      <c r="B18" s="45" t="s">
        <v>634</v>
      </c>
      <c r="C18" s="46"/>
      <c r="D18" s="45"/>
      <c r="E18" s="47"/>
      <c r="F18" s="47"/>
      <c r="G18" s="47"/>
      <c r="H18" s="45"/>
      <c r="I18" s="45"/>
      <c r="J18" s="45"/>
      <c r="K18" s="45"/>
      <c r="L18" s="45"/>
      <c r="M18" s="39"/>
      <c r="N18" s="39"/>
      <c r="O18" s="39"/>
      <c r="P18" s="45"/>
      <c r="Q18" s="23"/>
    </row>
    <row r="19" spans="1:31" ht="30" customHeight="1">
      <c r="A19" s="33" t="str">
        <f t="shared" si="1"/>
        <v>3.5.120%piperidinesolution</v>
      </c>
      <c r="B19" s="28" t="s">
        <v>177</v>
      </c>
      <c r="C19" s="28" t="s">
        <v>635</v>
      </c>
      <c r="D19" s="54" t="s">
        <v>613</v>
      </c>
      <c r="E19" s="55">
        <v>0.93100000000000005</v>
      </c>
      <c r="F19" s="36" t="s">
        <v>613</v>
      </c>
      <c r="G19" s="37">
        <v>7.44</v>
      </c>
      <c r="H19" s="38" t="str">
        <f>TEXT(ROUND(G19*树脂信息!$C$4,2),"0.00")</f>
        <v>483.60</v>
      </c>
      <c r="I19" s="105" t="s">
        <v>614</v>
      </c>
      <c r="J19" s="37" t="str">
        <f>TEXT(ROUND(H19*0.94,2),"0.00")&amp;"~"&amp;TEXT(ROUND(H19*1.06,2),"0.00")</f>
        <v>454.58~512.62</v>
      </c>
      <c r="K19" s="28"/>
      <c r="L19" s="28" t="s">
        <v>625</v>
      </c>
      <c r="M19" s="39"/>
      <c r="N19" s="39"/>
      <c r="O19" s="39"/>
      <c r="P19" s="40">
        <v>8</v>
      </c>
      <c r="Q19" s="56" t="s">
        <v>636</v>
      </c>
    </row>
    <row r="20" spans="1:31" ht="30" customHeight="1">
      <c r="A20" s="33" t="str">
        <f t="shared" si="1"/>
        <v>3.5.4IPAC</v>
      </c>
      <c r="B20" s="598" t="s">
        <v>190</v>
      </c>
      <c r="C20" s="598" t="s">
        <v>637</v>
      </c>
      <c r="D20" s="34"/>
      <c r="E20" s="35">
        <v>0.873</v>
      </c>
      <c r="F20" s="36" t="s">
        <v>613</v>
      </c>
      <c r="G20" s="37">
        <v>6.98</v>
      </c>
      <c r="H20" s="38" t="str">
        <f>TEXT(ROUND(G20*树脂信息!$C$4,2),"0.00")</f>
        <v>453.70</v>
      </c>
      <c r="I20" s="105" t="s">
        <v>614</v>
      </c>
      <c r="J20" s="37" t="str">
        <f>TEXT(ROUND(H20*0.94,2),"0.00")&amp;"~"&amp;TEXT(ROUND(H20*1.06,2),"0.00")</f>
        <v>426.48~480.92</v>
      </c>
      <c r="K20" s="28"/>
      <c r="L20" s="28" t="s">
        <v>625</v>
      </c>
      <c r="M20" s="39"/>
      <c r="N20" s="39"/>
      <c r="O20" s="39"/>
      <c r="P20" s="40">
        <v>8</v>
      </c>
      <c r="Q20" s="23"/>
    </row>
    <row r="21" spans="1:31" ht="30" customHeight="1">
      <c r="A21" s="33" t="str">
        <f t="shared" si="1"/>
        <v/>
      </c>
      <c r="B21" s="708"/>
      <c r="C21" s="708"/>
      <c r="D21" s="602" t="s">
        <v>638</v>
      </c>
      <c r="E21" s="602"/>
      <c r="F21" s="602"/>
      <c r="G21" s="602"/>
      <c r="H21" s="602"/>
      <c r="I21" s="602"/>
      <c r="J21" s="602"/>
      <c r="K21" s="602"/>
      <c r="L21" s="602"/>
      <c r="M21" s="39"/>
      <c r="N21" s="39"/>
      <c r="O21" s="39"/>
      <c r="P21" s="52"/>
      <c r="Q21" s="23"/>
    </row>
    <row r="22" spans="1:31" ht="30" customHeight="1">
      <c r="A22" s="33" t="str">
        <f t="shared" si="1"/>
        <v>3.5.5DMF</v>
      </c>
      <c r="B22" s="70" t="s">
        <v>197</v>
      </c>
      <c r="C22" s="70" t="s">
        <v>612</v>
      </c>
      <c r="D22" s="34">
        <v>73.099999999999994</v>
      </c>
      <c r="E22" s="35">
        <v>0.94799999999999995</v>
      </c>
      <c r="F22" s="36" t="s">
        <v>613</v>
      </c>
      <c r="G22" s="37">
        <v>7.58</v>
      </c>
      <c r="H22" s="38" t="str">
        <f>TEXT(ROUND(G22*树脂信息!$C$4,2),"0.00")</f>
        <v>492.70</v>
      </c>
      <c r="I22" s="105" t="s">
        <v>614</v>
      </c>
      <c r="J22" s="37" t="str">
        <f>TEXT(ROUND(H22*0.94,2),"0.00")&amp;"~"&amp;TEXT(ROUND(H22*1.06,2),"0.00")</f>
        <v>463.14~522.26</v>
      </c>
      <c r="K22" s="28"/>
      <c r="L22" s="28"/>
      <c r="M22" s="39"/>
      <c r="N22" s="39"/>
      <c r="O22" s="39"/>
      <c r="P22" s="40">
        <v>8</v>
      </c>
      <c r="Q22" s="23"/>
    </row>
    <row r="23" spans="1:31" ht="30" customHeight="1">
      <c r="A23" s="33" t="str">
        <f t="shared" si="1"/>
        <v>3.5.7DMF</v>
      </c>
      <c r="B23" s="70" t="s">
        <v>200</v>
      </c>
      <c r="C23" s="70" t="s">
        <v>612</v>
      </c>
      <c r="D23" s="34">
        <v>73.099999999999994</v>
      </c>
      <c r="E23" s="35">
        <v>0.94799999999999995</v>
      </c>
      <c r="F23" s="36" t="s">
        <v>613</v>
      </c>
      <c r="G23" s="37">
        <v>7.58</v>
      </c>
      <c r="H23" s="38" t="str">
        <f>TEXT(ROUND(G23*树脂信息!$C$4,2),"0.00")</f>
        <v>492.70</v>
      </c>
      <c r="I23" s="105" t="s">
        <v>614</v>
      </c>
      <c r="J23" s="37" t="str">
        <f>TEXT(ROUND(H23*0.94,2),"0.00")&amp;"~"&amp;TEXT(ROUND(H23*1.06,2),"0.00")</f>
        <v>463.14~522.26</v>
      </c>
      <c r="K23" s="70"/>
      <c r="L23" s="70"/>
      <c r="M23" s="52"/>
      <c r="N23" s="52"/>
      <c r="O23" s="52"/>
      <c r="P23" s="40">
        <v>8</v>
      </c>
      <c r="Q23" s="23"/>
    </row>
    <row r="24" spans="1:31" ht="30" customHeight="1">
      <c r="A24" s="85" t="str">
        <f t="shared" si="1"/>
        <v>3.6.1DMF</v>
      </c>
      <c r="B24" s="105" t="s">
        <v>205</v>
      </c>
      <c r="C24" s="105" t="s">
        <v>612</v>
      </c>
      <c r="D24" s="34">
        <v>73.099999999999994</v>
      </c>
      <c r="E24" s="35">
        <v>0.94799999999999995</v>
      </c>
      <c r="F24" s="36" t="s">
        <v>613</v>
      </c>
      <c r="G24" s="37">
        <v>3.79</v>
      </c>
      <c r="H24" s="38" t="str">
        <f>TEXT(ROUND(G24*树脂信息!$C$4,2),"0.00")</f>
        <v>246.35</v>
      </c>
      <c r="I24" s="105" t="s">
        <v>615</v>
      </c>
      <c r="J24" s="37" t="str">
        <f>TEXT(ROUND(H24*0.95,2),"0.00")&amp;"~"&amp;TEXT(ROUND(H24*1.05,2),"0.00")</f>
        <v>234.03~258.67</v>
      </c>
      <c r="K24" s="105"/>
      <c r="L24" s="105"/>
      <c r="M24" s="84"/>
      <c r="N24" s="84"/>
      <c r="O24" s="84"/>
      <c r="P24" s="40">
        <v>4</v>
      </c>
      <c r="Q24" s="23"/>
      <c r="R24" s="73"/>
      <c r="S24" s="73"/>
      <c r="T24" s="73"/>
      <c r="U24" s="73"/>
      <c r="V24" s="73"/>
      <c r="W24" s="73"/>
      <c r="X24" s="73"/>
      <c r="Y24" s="73"/>
      <c r="Z24" s="73"/>
      <c r="AA24" s="73"/>
      <c r="AB24" s="73"/>
      <c r="AC24" s="73"/>
      <c r="AD24" s="73"/>
      <c r="AE24" s="73"/>
    </row>
    <row r="25" spans="1:31" ht="30" customHeight="1">
      <c r="A25" s="33" t="str">
        <f t="shared" si="1"/>
        <v>3.6.2Fmoc-L-Thr(tBu)-OH</v>
      </c>
      <c r="B25" s="28" t="s">
        <v>639</v>
      </c>
      <c r="C25" s="28" t="s">
        <v>640</v>
      </c>
      <c r="D25" s="34">
        <v>397.46</v>
      </c>
      <c r="E25" s="41" t="s">
        <v>613</v>
      </c>
      <c r="F25" s="35">
        <f>O25</f>
        <v>2</v>
      </c>
      <c r="G25" s="37" t="s">
        <v>613</v>
      </c>
      <c r="H25" s="42">
        <f>ROUND(O25*D25/1000*树脂信息!$D$4,2)</f>
        <v>81.64</v>
      </c>
      <c r="I25" s="28" t="s">
        <v>618</v>
      </c>
      <c r="J25" s="37" t="str">
        <f>TEXT(ROUND(H25*0.97,2),"0.00")&amp;"~"&amp;TEXT(ROUND(H25*1.03,2),"0.00")</f>
        <v>79.19~84.09</v>
      </c>
      <c r="K25" s="57">
        <f>ROUND(H25*0.03,2)</f>
        <v>2.4500000000000002</v>
      </c>
      <c r="L25" s="28"/>
      <c r="M25" s="43">
        <f>(H25-H25*0.97)+(H25-H25*1.03)</f>
        <v>0</v>
      </c>
      <c r="N25" s="119">
        <v>2</v>
      </c>
      <c r="O25" s="43">
        <v>2</v>
      </c>
      <c r="P25" s="28"/>
      <c r="Q25" s="50" t="str">
        <f>"Ins "&amp;B25&amp;" The standard batch Qty of "&amp;LEFT(C25,FIND("/",C25,1)-1)&amp;"/操作"&amp;LEFT(B25,FIND("/",B25,1)-1)&amp;"（用于Ins."&amp;MID(B25,FIND("/",B25,1)+1,100)&amp;"）"&amp;MID(C25,FIND("/",C25,1)+1,100)&amp;"标准投料量"</f>
        <v>Ins 1.3/3.6.2 The standard batch Qty of Fmoc-L-Thr(tBu)-OH/操作1.3（用于Ins.3.6.2）芴甲氧羰基-叔丁基-L-苏氨酸标准投料量</v>
      </c>
      <c r="R25" s="50" t="s">
        <v>619</v>
      </c>
      <c r="S25" s="50" t="s">
        <v>620</v>
      </c>
      <c r="T25" s="50" t="e">
        <f>R25&amp;#REF!&amp;S25</f>
        <v>#REF!</v>
      </c>
      <c r="U25" s="50">
        <f>COUNTIF($S$9:S25,_xlfn.IFNA(S25,$S$9:S25))+1</f>
        <v>4</v>
      </c>
      <c r="V25" s="50">
        <f>U25-1</f>
        <v>3</v>
      </c>
      <c r="W25" s="50" t="str">
        <f>"Update Ins "&amp;MID(B25,FIND("/",B25,1)+1,100)&amp;" plan qty of "&amp;LEFT(C25,FIND("/",C25,1)-1)&amp;"/更新操作"&amp;MID(B25,FIND("/",B25,1)+1,100)&amp;" "&amp;MID(C25,FIND("/",C25,1)+1,100)&amp;"计划量"</f>
        <v>Update Ins 3.6.2 plan qty of Fmoc-L-Thr(tBu)-OH/更新操作3.6.2 芴甲氧羰基-叔丁基-L-苏氨酸计划量</v>
      </c>
      <c r="X25" s="50" t="s">
        <v>621</v>
      </c>
      <c r="Y25" s="44" t="s">
        <v>622</v>
      </c>
      <c r="Z25" s="50" t="str">
        <f>X25&amp;MID(B25,FIND("/",B25,1)+1,100)&amp;Y25&amp;U25&amp;" Value})"</f>
        <v>updateWeighingPlanQuantity("3.6.2-1", PH:{Standard batch Qty calculation/标准投料量计算-01}.{4 Value})</v>
      </c>
      <c r="AB25" s="50" t="str">
        <f>"Ins "&amp;LEFT(B25,FIND("/",B25,1)-1)&amp;" Dispense "&amp;LEFT(C25,FIND("/",C25,1)-1)&amp;"/分装"&amp;MID(C25,FIND("/",C25,1)+1,100)</f>
        <v>Ins 1.3 Dispense Fmoc-L-Thr(tBu)-OH/分装芴甲氧羰基-叔丁基-L-苏氨酸</v>
      </c>
      <c r="AC25" s="50" t="str">
        <f>MID(B25,FIND("/",B25,1)+1,100)&amp;" "&amp;C25</f>
        <v>3.6.2 Fmoc-L-Thr(tBu)-OH/芴甲氧羰基-叔丁基-L-苏氨酸</v>
      </c>
    </row>
    <row r="26" spans="1:31" ht="30" customHeight="1">
      <c r="A26" s="33" t="str">
        <f t="shared" si="1"/>
        <v>3.6.4PyBOP</v>
      </c>
      <c r="B26" s="28" t="s">
        <v>641</v>
      </c>
      <c r="C26" s="28" t="s">
        <v>642</v>
      </c>
      <c r="D26" s="34">
        <v>520.39</v>
      </c>
      <c r="E26" s="41" t="s">
        <v>613</v>
      </c>
      <c r="F26" s="35">
        <f>O26</f>
        <v>2</v>
      </c>
      <c r="G26" s="37" t="s">
        <v>613</v>
      </c>
      <c r="H26" s="48">
        <f>ROUND(O26*D26/1000*树脂信息!$D$4,2)</f>
        <v>106.89</v>
      </c>
      <c r="I26" s="28" t="s">
        <v>618</v>
      </c>
      <c r="J26" s="37" t="str">
        <f>TEXT(ROUND(H26*0.97,2),"0.00")&amp;"~"&amp;TEXT(ROUND(H26*1.03,2),"0.00")</f>
        <v>103.68~110.10</v>
      </c>
      <c r="K26" s="57">
        <f>ROUND(H26*0.03,2)</f>
        <v>3.21</v>
      </c>
      <c r="L26" s="28"/>
      <c r="M26" s="43">
        <f>(H26-H26*0.97)+(H26-H26*1.03)</f>
        <v>0</v>
      </c>
      <c r="N26" s="119">
        <v>2</v>
      </c>
      <c r="O26" s="43">
        <v>2</v>
      </c>
      <c r="P26" s="28"/>
      <c r="Q26" s="50" t="str">
        <f>"Ins "&amp;B26&amp;" The standard batch Qty of "&amp;LEFT(C26,FIND("/",C26,1)-1)&amp;"/操作"&amp;LEFT(B26,FIND("/",B26,1)-1)&amp;"（用于Ins."&amp;MID(B26,FIND("/",B26,1)+1,100)&amp;"）"&amp;MID(C26,FIND("/",C26,1)+1,100)&amp;"标准投料量"</f>
        <v>Ins 1.4/3.6.4 The standard batch Qty of PyBOP/操作1.4（用于Ins.3.6.4）1H-苯并三唑-1-基氧三吡咯烷基六氟磷酸盐标准投料量</v>
      </c>
      <c r="R26" s="50" t="s">
        <v>619</v>
      </c>
      <c r="S26" s="50" t="s">
        <v>620</v>
      </c>
      <c r="T26" s="50" t="e">
        <f>R26&amp;#REF!&amp;S26</f>
        <v>#REF!</v>
      </c>
      <c r="U26" s="50">
        <f>COUNTIF($S$9:S26,_xlfn.IFNA(S26,$S$9:S26))+1</f>
        <v>5</v>
      </c>
      <c r="V26" s="50">
        <f>U26-1</f>
        <v>4</v>
      </c>
      <c r="W26" s="50" t="str">
        <f>"Update Ins "&amp;MID(B26,FIND("/",B26,1)+1,100)&amp;" plan qty of "&amp;LEFT(C26,FIND("/",C26,1)-1)&amp;"/更新操作"&amp;MID(B26,FIND("/",B26,1)+1,100)&amp;" "&amp;MID(C26,FIND("/",C26,1)+1,100)&amp;"计划量"</f>
        <v>Update Ins 3.6.4 plan qty of PyBOP/更新操作3.6.4 1H-苯并三唑-1-基氧三吡咯烷基六氟磷酸盐计划量</v>
      </c>
      <c r="X26" s="50" t="s">
        <v>621</v>
      </c>
      <c r="Y26" s="44" t="s">
        <v>622</v>
      </c>
      <c r="Z26" s="50" t="str">
        <f>X26&amp;MID(B26,FIND("/",B26,1)+1,100)&amp;Y26&amp;U26&amp;" Value})"</f>
        <v>updateWeighingPlanQuantity("3.6.4-1", PH:{Standard batch Qty calculation/标准投料量计算-01}.{5 Value})</v>
      </c>
      <c r="AB26" s="50" t="str">
        <f>"Ins "&amp;LEFT(B26,FIND("/",B26,1)-1)&amp;" Dispense "&amp;LEFT(C26,FIND("/",C26,1)-1)&amp;"/分装"&amp;MID(C26,FIND("/",C26,1)+1,100)</f>
        <v>Ins 1.4 Dispense PyBOP/分装1H-苯并三唑-1-基氧三吡咯烷基六氟磷酸盐</v>
      </c>
      <c r="AC26" s="50" t="str">
        <f>MID(B26,FIND("/",B26,1)+1,100)&amp;" "&amp;C26</f>
        <v>3.6.4 PyBOP/1H-苯并三唑-1-基氧三吡咯烷基六氟磷酸盐</v>
      </c>
    </row>
    <row r="27" spans="1:31" ht="30" customHeight="1">
      <c r="A27" s="33" t="str">
        <f t="shared" si="1"/>
        <v>3.6.5Oxymapure</v>
      </c>
      <c r="B27" s="28" t="s">
        <v>643</v>
      </c>
      <c r="C27" s="28" t="s">
        <v>644</v>
      </c>
      <c r="D27" s="34">
        <v>142.11000000000001</v>
      </c>
      <c r="E27" s="41" t="s">
        <v>613</v>
      </c>
      <c r="F27" s="35">
        <f>O27</f>
        <v>2</v>
      </c>
      <c r="G27" s="37" t="s">
        <v>613</v>
      </c>
      <c r="H27" s="48">
        <f>ROUND(O27*D27/1000*树脂信息!$D$4,2)</f>
        <v>29.19</v>
      </c>
      <c r="I27" s="28" t="s">
        <v>618</v>
      </c>
      <c r="J27" s="37" t="str">
        <f>TEXT(ROUND(H27*0.97,2),"0.00")&amp;"~"&amp;TEXT(ROUND(H27*1.03,2),"0.00")</f>
        <v>28.31~30.07</v>
      </c>
      <c r="K27" s="57">
        <f>ROUND(H27*0.03,2)</f>
        <v>0.88</v>
      </c>
      <c r="L27" s="28"/>
      <c r="M27" s="43">
        <f>(H27-H27*0.97)+(H27-H27*1.03)</f>
        <v>0</v>
      </c>
      <c r="N27" s="119">
        <v>2</v>
      </c>
      <c r="O27" s="43">
        <v>2</v>
      </c>
      <c r="P27" s="28"/>
      <c r="Q27" s="50" t="str">
        <f>"Ins "&amp;B27&amp;" The standard batch Qty of "&amp;LEFT(C27,FIND("/",C27,1)-1)&amp;"/操作"&amp;LEFT(B27,FIND("/",B27,1)-1)&amp;"（用于Ins."&amp;MID(B27,FIND("/",B27,1)+1,100)&amp;"）"&amp;MID(C27,FIND("/",C27,1)+1,100)&amp;"标准投料量"</f>
        <v>Ins 1.5/3.6.5 The standard batch Qty of Oxyma pure/操作1.5（用于Ins.3.6.5）2-肟氰乙酸乙酯标准投料量</v>
      </c>
      <c r="R27" s="50" t="s">
        <v>619</v>
      </c>
      <c r="S27" s="50" t="s">
        <v>620</v>
      </c>
      <c r="T27" s="50" t="e">
        <f>R27&amp;#REF!&amp;S27</f>
        <v>#REF!</v>
      </c>
      <c r="U27" s="50">
        <f>COUNTIF($S$9:S27,_xlfn.IFNA(S27,$S$9:S27))+1</f>
        <v>6</v>
      </c>
      <c r="V27" s="50">
        <f>U27-1</f>
        <v>5</v>
      </c>
      <c r="W27" s="50" t="str">
        <f>"Update Ins "&amp;MID(B27,FIND("/",B27,1)+1,100)&amp;" plan qty of "&amp;LEFT(C27,FIND("/",C27,1)-1)&amp;"/更新操作"&amp;MID(B27,FIND("/",B27,1)+1,100)&amp;" "&amp;MID(C27,FIND("/",C27,1)+1,100)&amp;"计划量"</f>
        <v>Update Ins 3.6.5 plan qty of Oxyma pure/更新操作3.6.5 2-肟氰乙酸乙酯计划量</v>
      </c>
      <c r="X27" s="50" t="s">
        <v>621</v>
      </c>
      <c r="Y27" s="44" t="s">
        <v>633</v>
      </c>
      <c r="Z27" s="50" t="str">
        <f>X27&amp;MID(B27,FIND("/",B27,1)+1,100)&amp;Y27&amp;U27&amp;" Value})"</f>
        <v>updateWeighingPlanQuantity("3.6.5-3", PH:{Standard batch Qty calculation/标准投料量计算-01}.{6 Value})</v>
      </c>
      <c r="AB27" s="50" t="str">
        <f>"Ins "&amp;LEFT(B27,FIND("/",B27,1)-1)&amp;" Dispense "&amp;LEFT(C27,FIND("/",C27,1)-1)&amp;"/分装"&amp;MID(C27,FIND("/",C27,1)+1,100)</f>
        <v>Ins 1.5 Dispense Oxyma pure/分装2-肟氰乙酸乙酯</v>
      </c>
      <c r="AC27" s="50" t="str">
        <f>MID(B27,FIND("/",B27,1)+1,100)&amp;" "&amp;C27</f>
        <v>3.6.5 Oxyma pure/2-肟氰乙酸乙酯</v>
      </c>
    </row>
    <row r="28" spans="1:31" ht="30" customHeight="1">
      <c r="A28" s="33" t="str">
        <f t="shared" si="1"/>
        <v>3.6.6DMF</v>
      </c>
      <c r="B28" s="28" t="s">
        <v>219</v>
      </c>
      <c r="C28" s="28" t="s">
        <v>612</v>
      </c>
      <c r="D28" s="34">
        <v>73.099999999999994</v>
      </c>
      <c r="E28" s="35">
        <v>0.94799999999999995</v>
      </c>
      <c r="F28" s="36" t="s">
        <v>613</v>
      </c>
      <c r="G28" s="37">
        <v>0.95</v>
      </c>
      <c r="H28" s="38" t="str">
        <f>TEXT(ROUND(G28*树脂信息!$C$4,2),"0.00")</f>
        <v>61.75</v>
      </c>
      <c r="I28" s="105" t="s">
        <v>614</v>
      </c>
      <c r="J28" s="37" t="str">
        <f>TEXT(ROUND(H28*0.94,2),"0.00")&amp;"~"&amp;TEXT(ROUND(H28*1.06,2),"0.00")</f>
        <v>58.05~65.46</v>
      </c>
      <c r="K28" s="28"/>
      <c r="L28" s="28"/>
      <c r="M28" s="57"/>
      <c r="N28" s="57"/>
      <c r="O28" s="57"/>
      <c r="P28" s="40">
        <v>1</v>
      </c>
      <c r="Q28" s="23"/>
    </row>
    <row r="29" spans="1:31" ht="30" customHeight="1">
      <c r="A29" s="33" t="str">
        <f t="shared" si="1"/>
        <v>3.6.7DIPEA</v>
      </c>
      <c r="B29" s="28" t="s">
        <v>645</v>
      </c>
      <c r="C29" s="28" t="s">
        <v>632</v>
      </c>
      <c r="D29" s="34">
        <v>129.24</v>
      </c>
      <c r="E29" s="41" t="s">
        <v>613</v>
      </c>
      <c r="F29" s="35">
        <f>O29</f>
        <v>3</v>
      </c>
      <c r="G29" s="37" t="s">
        <v>613</v>
      </c>
      <c r="H29" s="48">
        <f>ROUND(O29*D29/1000*树脂信息!$D$4,2)</f>
        <v>39.82</v>
      </c>
      <c r="I29" s="49" t="s">
        <v>618</v>
      </c>
      <c r="J29" s="37" t="str">
        <f>TEXT(ROUND(H29*0.97,2),"0.00")&amp;"~"&amp;TEXT(ROUND(H29*1.03,2),"0.00")</f>
        <v>38.63~41.01</v>
      </c>
      <c r="K29" s="57">
        <f>ROUND(H29*0.03,2)</f>
        <v>1.19</v>
      </c>
      <c r="L29" s="28"/>
      <c r="M29" s="43">
        <f>(H29-H29*0.97)+(H29-H29*1.03)</f>
        <v>0</v>
      </c>
      <c r="N29" s="119">
        <v>3</v>
      </c>
      <c r="O29" s="43">
        <v>3</v>
      </c>
      <c r="P29" s="28"/>
      <c r="Q29" s="50" t="str">
        <f>"Ins "&amp;B29&amp;" The standard batch Qty of "&amp;LEFT(C29,FIND("/",C29,1)-1)&amp;"/操作"&amp;B29&amp;MID(C29,FIND("/",C29,1)+1,100)&amp;"标准投料量"</f>
        <v>Ins 3.6.7 The standard batch Qty of DIPEA/操作3.6.7N,N-二异丙基乙胺标准投料量</v>
      </c>
      <c r="R29" s="50" t="s">
        <v>619</v>
      </c>
      <c r="S29" s="50" t="s">
        <v>620</v>
      </c>
      <c r="T29" s="50" t="e">
        <f>R29&amp;#REF!&amp;S29</f>
        <v>#REF!</v>
      </c>
      <c r="U29" s="50">
        <f>COUNTIF($S$9:S29,_xlfn.IFNA(S29,$S$9:S29))+1</f>
        <v>7</v>
      </c>
      <c r="V29" s="50">
        <f>U29-1</f>
        <v>6</v>
      </c>
      <c r="W29" s="50" t="str">
        <f>"Update Ins "&amp;B29&amp;" plan qty of "&amp;LEFT(C29,FIND("/",C29,1)-1)&amp;"/更新操作"&amp;B29&amp;" "&amp;MID(C29,FIND("/",C29,1)+1,100)&amp;"计划量"</f>
        <v>Update Ins 3.6.7 plan qty of DIPEA/更新操作3.6.7 N,N-二异丙基乙胺计划量</v>
      </c>
      <c r="X29" s="50" t="s">
        <v>621</v>
      </c>
      <c r="Y29" s="44" t="s">
        <v>622</v>
      </c>
      <c r="Z29" s="50" t="str">
        <f>X29&amp;B29&amp;Y29&amp;U29&amp;" Value})"</f>
        <v>updateWeighingPlanQuantity("3.6.7-1", PH:{Standard batch Qty calculation/标准投料量计算-01}.{7 Value})</v>
      </c>
    </row>
    <row r="30" spans="1:31" ht="30" customHeight="1">
      <c r="A30" s="33" t="str">
        <f t="shared" si="1"/>
        <v>3.7.1DMF</v>
      </c>
      <c r="B30" s="28" t="s">
        <v>226</v>
      </c>
      <c r="C30" s="28" t="s">
        <v>612</v>
      </c>
      <c r="D30" s="34">
        <v>73.099999999999994</v>
      </c>
      <c r="E30" s="35">
        <v>0.94799999999999995</v>
      </c>
      <c r="F30" s="36" t="s">
        <v>613</v>
      </c>
      <c r="G30" s="37">
        <v>2.84</v>
      </c>
      <c r="H30" s="38" t="str">
        <f>TEXT(ROUND(G30*树脂信息!$C$4,2),"0.00")</f>
        <v>184.60</v>
      </c>
      <c r="I30" s="105" t="s">
        <v>614</v>
      </c>
      <c r="J30" s="37" t="str">
        <f>TEXT(ROUND(H30*0.94,2),"0.00")&amp;"~"&amp;TEXT(ROUND(H30*1.06,2),"0.00")</f>
        <v>173.52~195.68</v>
      </c>
      <c r="K30" s="28"/>
      <c r="L30" s="28"/>
      <c r="M30" s="57"/>
      <c r="N30" s="57"/>
      <c r="O30" s="57"/>
      <c r="P30" s="40">
        <v>3</v>
      </c>
      <c r="Q30" s="23"/>
    </row>
    <row r="31" spans="1:31" ht="30" customHeight="1">
      <c r="A31" s="33" t="str">
        <f t="shared" si="1"/>
        <v>3.7.3DMF</v>
      </c>
      <c r="B31" s="28" t="s">
        <v>229</v>
      </c>
      <c r="C31" s="28" t="s">
        <v>612</v>
      </c>
      <c r="D31" s="34">
        <v>73.099999999999994</v>
      </c>
      <c r="E31" s="35">
        <v>0.94799999999999995</v>
      </c>
      <c r="F31" s="36" t="s">
        <v>613</v>
      </c>
      <c r="G31" s="37">
        <v>0.95</v>
      </c>
      <c r="H31" s="38" t="str">
        <f>TEXT(ROUND(G31*树脂信息!$C$4,2),"0.00")</f>
        <v>61.75</v>
      </c>
      <c r="I31" s="105" t="s">
        <v>614</v>
      </c>
      <c r="J31" s="37" t="str">
        <f>TEXT(ROUND(H31*0.94,2),"0.00")&amp;"~"&amp;TEXT(ROUND(H31*1.06,2),"0.00")</f>
        <v>58.05~65.46</v>
      </c>
      <c r="K31" s="28"/>
      <c r="L31" s="28"/>
      <c r="M31" s="57"/>
      <c r="N31" s="57"/>
      <c r="O31" s="57"/>
      <c r="P31" s="40">
        <v>1</v>
      </c>
      <c r="Q31" s="23"/>
    </row>
    <row r="32" spans="1:31" ht="30" customHeight="1">
      <c r="A32" s="33" t="str">
        <f t="shared" si="1"/>
        <v>3.7.7DMF</v>
      </c>
      <c r="B32" s="601" t="s">
        <v>236</v>
      </c>
      <c r="C32" s="601" t="s">
        <v>612</v>
      </c>
      <c r="D32" s="34">
        <v>73.099999999999994</v>
      </c>
      <c r="E32" s="35">
        <v>0.94799999999999995</v>
      </c>
      <c r="F32" s="36" t="s">
        <v>613</v>
      </c>
      <c r="G32" s="37">
        <v>7.58</v>
      </c>
      <c r="H32" s="38" t="str">
        <f>TEXT(ROUND(G32*树脂信息!$C$4,2),"0.00")</f>
        <v>492.70</v>
      </c>
      <c r="I32" s="105" t="s">
        <v>614</v>
      </c>
      <c r="J32" s="37" t="str">
        <f>TEXT(ROUND(H32*0.94,2),"0.00")&amp;"~"&amp;TEXT(ROUND(H32*1.06,2),"0.00")</f>
        <v>463.14~522.26</v>
      </c>
      <c r="K32" s="28"/>
      <c r="L32" s="28" t="s">
        <v>625</v>
      </c>
      <c r="M32" s="39"/>
      <c r="N32" s="39"/>
      <c r="O32" s="39"/>
      <c r="P32" s="40">
        <v>8</v>
      </c>
      <c r="Q32" s="23"/>
    </row>
    <row r="33" spans="1:31" ht="36.75" customHeight="1">
      <c r="A33" s="33" t="str">
        <f t="shared" si="1"/>
        <v/>
      </c>
      <c r="B33" s="601"/>
      <c r="C33" s="601"/>
      <c r="D33" s="602" t="s">
        <v>626</v>
      </c>
      <c r="E33" s="602"/>
      <c r="F33" s="602"/>
      <c r="G33" s="602"/>
      <c r="H33" s="602"/>
      <c r="I33" s="602"/>
      <c r="J33" s="602"/>
      <c r="K33" s="602"/>
      <c r="L33" s="602"/>
      <c r="M33" s="39"/>
      <c r="N33" s="39"/>
      <c r="O33" s="39"/>
      <c r="P33" s="52"/>
      <c r="Q33" s="23"/>
    </row>
    <row r="34" spans="1:31" ht="30" customHeight="1">
      <c r="A34" s="33" t="str">
        <f t="shared" si="1"/>
        <v/>
      </c>
      <c r="B34" s="45" t="s">
        <v>646</v>
      </c>
      <c r="C34" s="46"/>
      <c r="D34" s="45"/>
      <c r="E34" s="47"/>
      <c r="F34" s="36" t="s">
        <v>613</v>
      </c>
      <c r="G34" s="47"/>
      <c r="H34" s="45"/>
      <c r="I34" s="45"/>
      <c r="J34" s="45"/>
      <c r="K34" s="45"/>
      <c r="L34" s="45"/>
      <c r="M34" s="39"/>
      <c r="N34" s="39"/>
      <c r="O34" s="39"/>
      <c r="P34" s="45"/>
      <c r="Q34" s="23"/>
    </row>
    <row r="35" spans="1:31" ht="36.75" customHeight="1">
      <c r="A35" s="33" t="str">
        <f t="shared" si="1"/>
        <v>3.8.120%piperidinesolution</v>
      </c>
      <c r="B35" s="105" t="s">
        <v>240</v>
      </c>
      <c r="C35" s="28" t="s">
        <v>635</v>
      </c>
      <c r="D35" s="54" t="s">
        <v>613</v>
      </c>
      <c r="E35" s="35">
        <v>0.93100000000000005</v>
      </c>
      <c r="F35" s="36" t="s">
        <v>613</v>
      </c>
      <c r="G35" s="37">
        <v>7.44</v>
      </c>
      <c r="H35" s="38" t="str">
        <f>TEXT(ROUND(G35*树脂信息!$C$4,2),"0.00")</f>
        <v>483.60</v>
      </c>
      <c r="I35" s="105" t="s">
        <v>614</v>
      </c>
      <c r="J35" s="37" t="str">
        <f>TEXT(ROUND(H35*0.94,2),"0.00")&amp;"~"&amp;TEXT(ROUND(H35*1.06,2),"0.00")</f>
        <v>454.58~512.62</v>
      </c>
      <c r="K35" s="28"/>
      <c r="L35" s="28" t="s">
        <v>625</v>
      </c>
      <c r="M35" s="39"/>
      <c r="N35" s="39"/>
      <c r="O35" s="39"/>
      <c r="P35" s="40">
        <v>8</v>
      </c>
      <c r="Q35" s="23"/>
    </row>
    <row r="36" spans="1:31" ht="30" customHeight="1">
      <c r="A36" s="33" t="str">
        <f t="shared" si="1"/>
        <v>3.8.4IPAC</v>
      </c>
      <c r="B36" s="601" t="s">
        <v>243</v>
      </c>
      <c r="C36" s="601" t="s">
        <v>637</v>
      </c>
      <c r="D36" s="34" t="s">
        <v>613</v>
      </c>
      <c r="E36" s="35">
        <v>0.873</v>
      </c>
      <c r="F36" s="36" t="s">
        <v>613</v>
      </c>
      <c r="G36" s="37">
        <v>6.98</v>
      </c>
      <c r="H36" s="38" t="str">
        <f>TEXT(ROUND(G36*树脂信息!$C$4,2),"0.00")</f>
        <v>453.70</v>
      </c>
      <c r="I36" s="105" t="s">
        <v>614</v>
      </c>
      <c r="J36" s="37" t="str">
        <f>TEXT(ROUND(H36*0.94,2),"0.00")&amp;"~"&amp;TEXT(ROUND(H36*1.06,2),"0.00")</f>
        <v>426.48~480.92</v>
      </c>
      <c r="K36" s="28"/>
      <c r="L36" s="28" t="s">
        <v>625</v>
      </c>
      <c r="M36" s="39"/>
      <c r="N36" s="39"/>
      <c r="O36" s="39"/>
      <c r="P36" s="40">
        <v>8</v>
      </c>
      <c r="Q36" s="23"/>
    </row>
    <row r="37" spans="1:31" ht="30" customHeight="1">
      <c r="A37" s="33" t="str">
        <f t="shared" si="1"/>
        <v/>
      </c>
      <c r="B37" s="601"/>
      <c r="C37" s="601"/>
      <c r="D37" s="602" t="s">
        <v>626</v>
      </c>
      <c r="E37" s="602"/>
      <c r="F37" s="602"/>
      <c r="G37" s="602"/>
      <c r="H37" s="602"/>
      <c r="I37" s="602"/>
      <c r="J37" s="602"/>
      <c r="K37" s="602"/>
      <c r="L37" s="602"/>
      <c r="M37" s="39"/>
      <c r="N37" s="39"/>
      <c r="O37" s="39"/>
      <c r="P37" s="52"/>
      <c r="Q37" s="23"/>
    </row>
    <row r="38" spans="1:31" ht="30" customHeight="1">
      <c r="A38" s="33" t="str">
        <f t="shared" si="1"/>
        <v/>
      </c>
      <c r="B38" s="601"/>
      <c r="C38" s="601"/>
      <c r="D38" s="602" t="s">
        <v>647</v>
      </c>
      <c r="E38" s="602"/>
      <c r="F38" s="602"/>
      <c r="G38" s="602"/>
      <c r="H38" s="602"/>
      <c r="I38" s="602"/>
      <c r="J38" s="602"/>
      <c r="K38" s="602"/>
      <c r="L38" s="602"/>
      <c r="M38" s="39"/>
      <c r="N38" s="39"/>
      <c r="O38" s="39"/>
      <c r="P38" s="52"/>
      <c r="Q38" s="23"/>
    </row>
    <row r="39" spans="1:31" ht="30" customHeight="1">
      <c r="A39" s="33" t="str">
        <f t="shared" si="1"/>
        <v>3.8.5DMF</v>
      </c>
      <c r="B39" s="105" t="s">
        <v>246</v>
      </c>
      <c r="C39" s="70" t="s">
        <v>612</v>
      </c>
      <c r="D39" s="34">
        <v>73.099999999999994</v>
      </c>
      <c r="E39" s="35">
        <v>0.94799999999999995</v>
      </c>
      <c r="F39" s="36" t="s">
        <v>613</v>
      </c>
      <c r="G39" s="37">
        <v>7.58</v>
      </c>
      <c r="H39" s="38" t="str">
        <f>TEXT(ROUND(G39*树脂信息!$C$4,2),"0.00")</f>
        <v>492.70</v>
      </c>
      <c r="I39" s="105" t="s">
        <v>614</v>
      </c>
      <c r="J39" s="37" t="str">
        <f>TEXT(ROUND(H39*0.94,2),"0.00")&amp;"~"&amp;TEXT(ROUND(H39*1.06,2),"0.00")</f>
        <v>463.14~522.26</v>
      </c>
      <c r="K39" s="28"/>
      <c r="L39" s="28"/>
      <c r="M39" s="39"/>
      <c r="N39" s="39"/>
      <c r="O39" s="39"/>
      <c r="P39" s="40">
        <v>8</v>
      </c>
      <c r="Q39" s="23"/>
    </row>
    <row r="40" spans="1:31" ht="30" customHeight="1">
      <c r="A40" s="33" t="str">
        <f t="shared" si="1"/>
        <v>3.8.7DMF</v>
      </c>
      <c r="B40" s="105" t="s">
        <v>248</v>
      </c>
      <c r="C40" s="70" t="s">
        <v>612</v>
      </c>
      <c r="D40" s="34">
        <v>73.099999999999994</v>
      </c>
      <c r="E40" s="35">
        <v>0.94799999999999995</v>
      </c>
      <c r="F40" s="36" t="s">
        <v>613</v>
      </c>
      <c r="G40" s="37">
        <v>7.58</v>
      </c>
      <c r="H40" s="38" t="str">
        <f>TEXT(ROUND(G40*树脂信息!$C$4,2),"0.00")</f>
        <v>492.70</v>
      </c>
      <c r="I40" s="105" t="s">
        <v>614</v>
      </c>
      <c r="J40" s="37" t="str">
        <f>TEXT(ROUND(H40*0.94,2),"0.00")&amp;"~"&amp;TEXT(ROUND(H40*1.06,2),"0.00")</f>
        <v>463.14~522.26</v>
      </c>
      <c r="K40" s="70"/>
      <c r="L40" s="70"/>
      <c r="M40" s="52"/>
      <c r="N40" s="52"/>
      <c r="O40" s="52"/>
      <c r="P40" s="40">
        <v>8</v>
      </c>
      <c r="Q40" s="23"/>
    </row>
    <row r="41" spans="1:31" ht="30" customHeight="1">
      <c r="A41" s="85" t="str">
        <f t="shared" si="1"/>
        <v>3.9.1DMF</v>
      </c>
      <c r="B41" s="105" t="s">
        <v>251</v>
      </c>
      <c r="C41" s="105" t="s">
        <v>612</v>
      </c>
      <c r="D41" s="34">
        <v>73.099999999999994</v>
      </c>
      <c r="E41" s="35">
        <v>0.94799999999999995</v>
      </c>
      <c r="F41" s="36" t="s">
        <v>613</v>
      </c>
      <c r="G41" s="37">
        <v>5.69</v>
      </c>
      <c r="H41" s="38" t="str">
        <f>TEXT(ROUND(G41*树脂信息!$C$4,2),"0.00")</f>
        <v>369.85</v>
      </c>
      <c r="I41" s="105" t="s">
        <v>615</v>
      </c>
      <c r="J41" s="37" t="str">
        <f>TEXT(ROUND(H41*0.95,2),"0.00")&amp;"~"&amp;TEXT(ROUND(H41*1.05,2),"0.00")</f>
        <v>351.36~388.34</v>
      </c>
      <c r="K41" s="105"/>
      <c r="L41" s="105"/>
      <c r="M41" s="84"/>
      <c r="N41" s="84"/>
      <c r="O41" s="84"/>
      <c r="P41" s="40">
        <v>6</v>
      </c>
      <c r="Q41" s="23"/>
      <c r="R41" s="73"/>
      <c r="S41" s="73"/>
      <c r="T41" s="73"/>
      <c r="U41" s="73"/>
      <c r="V41" s="73"/>
      <c r="W41" s="73"/>
      <c r="X41" s="73"/>
      <c r="Y41" s="73"/>
      <c r="Z41" s="73"/>
      <c r="AA41" s="73"/>
      <c r="AB41" s="73"/>
      <c r="AC41" s="73"/>
      <c r="AD41" s="73"/>
      <c r="AE41" s="73"/>
    </row>
    <row r="42" spans="1:31" ht="30" customHeight="1">
      <c r="A42" s="33" t="str">
        <f t="shared" si="1"/>
        <v>3.9.2Fmoc-L-Ala-OH·H2O</v>
      </c>
      <c r="B42" s="105" t="s">
        <v>649</v>
      </c>
      <c r="C42" s="28" t="s">
        <v>650</v>
      </c>
      <c r="D42" s="34">
        <v>329.35</v>
      </c>
      <c r="E42" s="41" t="s">
        <v>613</v>
      </c>
      <c r="F42" s="35">
        <f>O42</f>
        <v>2</v>
      </c>
      <c r="G42" s="37" t="s">
        <v>613</v>
      </c>
      <c r="H42" s="48">
        <f>ROUND(O42*D42/1000*树脂信息!$D$4,2)</f>
        <v>67.650000000000006</v>
      </c>
      <c r="I42" s="28" t="s">
        <v>618</v>
      </c>
      <c r="J42" s="37" t="str">
        <f>TEXT(ROUND(H42*0.97,2),"0.00")&amp;"~"&amp;TEXT(ROUND(H42*1.03,2),"0.00")</f>
        <v>65.62~69.68</v>
      </c>
      <c r="K42" s="57">
        <f>ROUND(H42*0.03,2)</f>
        <v>2.0299999999999998</v>
      </c>
      <c r="L42" s="28"/>
      <c r="M42" s="43">
        <f>(H42-H42*0.97)+(H42-H42*1.03)</f>
        <v>0</v>
      </c>
      <c r="N42" s="119">
        <v>2</v>
      </c>
      <c r="O42" s="43">
        <v>2</v>
      </c>
      <c r="P42" s="28"/>
      <c r="Q42" s="50" t="str">
        <f>"Ins "&amp;B42&amp;" The standard batch Qty of "&amp;LEFT(C42,FIND("/",C42,1)-1)&amp;"/操作"&amp;LEFT(B42,FIND("/",B42,1)-1)&amp;"（用于Ins."&amp;MID(B42,FIND("/",B42,1)+1,100)&amp;"）"&amp;MID(C42,FIND("/",C42,1)+1,100)&amp;"标准投料量"</f>
        <v>Ins 1.6/3.9.2 The standard batch Qty of Fmoc-L-Ala-OH·H2O/操作1.6（用于Ins.3.9.2）芴甲氧羰基-L-丙氨酸一水合物标准投料量</v>
      </c>
      <c r="R42" s="50" t="s">
        <v>619</v>
      </c>
      <c r="S42" s="50" t="s">
        <v>620</v>
      </c>
      <c r="T42" s="50" t="e">
        <f>R42&amp;#REF!&amp;S42</f>
        <v>#REF!</v>
      </c>
      <c r="U42" s="50">
        <f>COUNTIF($S$9:S42,_xlfn.IFNA(S42,$S$9:S42))+1</f>
        <v>8</v>
      </c>
      <c r="V42" s="50">
        <f>U42-1</f>
        <v>7</v>
      </c>
      <c r="W42" s="50" t="str">
        <f>"Update Ins "&amp;MID(B42,FIND("/",B42,1)+1,100)&amp;" plan qty of "&amp;LEFT(C42,FIND("/",C42,1)-1)&amp;"/更新操作"&amp;MID(B42,FIND("/",B42,1)+1,100)&amp;" "&amp;MID(C42,FIND("/",C42,1)+1,100)&amp;"计划量"</f>
        <v>Update Ins 3.9.2 plan qty of Fmoc-L-Ala-OH·H2O/更新操作3.9.2 芴甲氧羰基-L-丙氨酸一水合物计划量</v>
      </c>
      <c r="X42" s="50" t="s">
        <v>621</v>
      </c>
      <c r="Y42" s="44" t="s">
        <v>622</v>
      </c>
      <c r="Z42" s="50" t="str">
        <f>X42&amp;MID(B42,FIND("/",B42,1)+1,100)&amp;Y42&amp;U42&amp;" Value})"</f>
        <v>updateWeighingPlanQuantity("3.9.2-1", PH:{Standard batch Qty calculation/标准投料量计算-01}.{8 Value})</v>
      </c>
      <c r="AB42" s="50" t="str">
        <f>"Ins "&amp;LEFT(B42,FIND("/",B42,1)-1)&amp;" Dispense "&amp;LEFT(C42,FIND("/",C42,1)-1)&amp;"/分装"&amp;MID(C42,FIND("/",C42,1)+1,100)</f>
        <v>Ins 1.6 Dispense Fmoc-L-Ala-OH·H2O/分装芴甲氧羰基-L-丙氨酸一水合物</v>
      </c>
      <c r="AC42" s="50" t="str">
        <f>MID(B42,FIND("/",B42,1)+1,100)&amp;" "&amp;C42</f>
        <v>3.9.2 Fmoc-L-Ala-OH·H2O/芴甲氧羰基-L-丙氨酸一水合物</v>
      </c>
    </row>
    <row r="43" spans="1:31" ht="30" customHeight="1">
      <c r="A43" s="33" t="str">
        <f t="shared" si="1"/>
        <v>3.9.4Oxymapure</v>
      </c>
      <c r="B43" s="105" t="s">
        <v>651</v>
      </c>
      <c r="C43" s="28" t="s">
        <v>644</v>
      </c>
      <c r="D43" s="34">
        <v>142.11000000000001</v>
      </c>
      <c r="E43" s="41" t="s">
        <v>613</v>
      </c>
      <c r="F43" s="35">
        <f>O43</f>
        <v>2</v>
      </c>
      <c r="G43" s="37" t="s">
        <v>613</v>
      </c>
      <c r="H43" s="48">
        <f>ROUND(O43*D43/1000*树脂信息!$D$4,2)</f>
        <v>29.19</v>
      </c>
      <c r="I43" s="28" t="s">
        <v>618</v>
      </c>
      <c r="J43" s="37" t="str">
        <f>TEXT(ROUND(H43*0.97,2),"0.00")&amp;"~"&amp;TEXT(ROUND(H43*1.03,2),"0.00")</f>
        <v>28.31~30.07</v>
      </c>
      <c r="K43" s="57">
        <f>ROUND(H43*0.03,2)</f>
        <v>0.88</v>
      </c>
      <c r="L43" s="28"/>
      <c r="M43" s="43">
        <f>(H43-H43*0.97)+(H43-H43*1.03)</f>
        <v>0</v>
      </c>
      <c r="N43" s="119">
        <v>2</v>
      </c>
      <c r="O43" s="43">
        <v>2</v>
      </c>
      <c r="P43" s="28"/>
      <c r="Q43" s="50" t="str">
        <f>"Ins "&amp;B43&amp;" The standard batch Qty of "&amp;LEFT(C43,FIND("/",C43,1)-1)&amp;"/操作"&amp;LEFT(B43,FIND("/",B43,1)-1)&amp;"（用于Ins."&amp;MID(B43,FIND("/",B43,1)+1,100)&amp;"）"&amp;MID(C43,FIND("/",C43,1)+1,100)&amp;"标准投料量"</f>
        <v>Ins 1.7/3.9.4 The standard batch Qty of Oxyma pure/操作1.7（用于Ins.3.9.4）2-肟氰乙酸乙酯标准投料量</v>
      </c>
      <c r="R43" s="50" t="s">
        <v>619</v>
      </c>
      <c r="S43" s="50" t="s">
        <v>620</v>
      </c>
      <c r="T43" s="50" t="e">
        <f>R43&amp;#REF!&amp;S43</f>
        <v>#REF!</v>
      </c>
      <c r="U43" s="50">
        <f>COUNTIF($S$9:S43,_xlfn.IFNA(S43,$S$9:S43))+1</f>
        <v>9</v>
      </c>
      <c r="V43" s="50">
        <f>U43-1</f>
        <v>8</v>
      </c>
      <c r="W43" s="50" t="str">
        <f>"Update Ins "&amp;MID(B43,FIND("/",B43,1)+1,100)&amp;" plan qty of "&amp;LEFT(C43,FIND("/",C43,1)-1)&amp;"/更新操作"&amp;MID(B43,FIND("/",B43,1)+1,100)&amp;" "&amp;MID(C43,FIND("/",C43,1)+1,100)&amp;"计划量"</f>
        <v>Update Ins 3.9.4 plan qty of Oxyma pure/更新操作3.9.4 2-肟氰乙酸乙酯计划量</v>
      </c>
      <c r="X43" s="50" t="s">
        <v>621</v>
      </c>
      <c r="Y43" s="44" t="s">
        <v>622</v>
      </c>
      <c r="Z43" s="50" t="str">
        <f>X43&amp;MID(B43,FIND("/",B43,1)+1,100)&amp;Y43&amp;U43&amp;" Value})"</f>
        <v>updateWeighingPlanQuantity("3.9.4-1", PH:{Standard batch Qty calculation/标准投料量计算-01}.{9 Value})</v>
      </c>
      <c r="AB43" s="50" t="str">
        <f>"Ins "&amp;LEFT(B43,FIND("/",B43,1)-1)&amp;" Dispense "&amp;LEFT(C43,FIND("/",C43,1)-1)&amp;"/分装"&amp;MID(C43,FIND("/",C43,1)+1,100)</f>
        <v>Ins 1.7 Dispense Oxyma pure/分装2-肟氰乙酸乙酯</v>
      </c>
      <c r="AC43" s="50" t="str">
        <f>MID(B43,FIND("/",B43,1)+1,100)&amp;" "&amp;C43</f>
        <v>3.9.4 Oxyma pure/2-肟氰乙酸乙酯</v>
      </c>
    </row>
    <row r="44" spans="1:31" ht="30" customHeight="1">
      <c r="A44" s="33" t="str">
        <f t="shared" si="1"/>
        <v>3.9.5DMF</v>
      </c>
      <c r="B44" s="105" t="s">
        <v>257</v>
      </c>
      <c r="C44" s="28" t="s">
        <v>612</v>
      </c>
      <c r="D44" s="34">
        <v>73.099999999999994</v>
      </c>
      <c r="E44" s="35">
        <v>0.94799999999999995</v>
      </c>
      <c r="F44" s="36" t="s">
        <v>613</v>
      </c>
      <c r="G44" s="37">
        <v>0.95</v>
      </c>
      <c r="H44" s="38" t="str">
        <f>TEXT(ROUND(G44*树脂信息!$C$4,2),"0.00")</f>
        <v>61.75</v>
      </c>
      <c r="I44" s="105" t="s">
        <v>614</v>
      </c>
      <c r="J44" s="37" t="str">
        <f>TEXT(ROUND(H44*0.94,2),"0.00")&amp;"~"&amp;TEXT(ROUND(H44*1.06,2),"0.00")</f>
        <v>58.05~65.46</v>
      </c>
      <c r="K44" s="28"/>
      <c r="L44" s="28"/>
      <c r="M44" s="57"/>
      <c r="N44" s="57"/>
      <c r="O44" s="57"/>
      <c r="P44" s="40">
        <v>1</v>
      </c>
      <c r="Q44" s="23"/>
    </row>
    <row r="45" spans="1:31" ht="30" customHeight="1">
      <c r="A45" s="33" t="str">
        <f t="shared" ref="A45:A76" si="2">IFERROR(SUBSTITUTE(IFERROR(MID(B45,FIND("/",B45,1)+1,LEN(B45)),B45)&amp;LEFT(C45,FIND("/",C45,1)-1)," ",""),"")</f>
        <v>3.9.6DIC</v>
      </c>
      <c r="B45" s="105" t="s">
        <v>652</v>
      </c>
      <c r="C45" s="28" t="s">
        <v>653</v>
      </c>
      <c r="D45" s="34">
        <v>126.2</v>
      </c>
      <c r="E45" s="41" t="s">
        <v>613</v>
      </c>
      <c r="F45" s="35">
        <f>O45</f>
        <v>2.2000000000000002</v>
      </c>
      <c r="G45" s="37" t="s">
        <v>613</v>
      </c>
      <c r="H45" s="48">
        <f>ROUND(O45*D45/1000*树脂信息!$D$4,2)</f>
        <v>28.51</v>
      </c>
      <c r="I45" s="49" t="s">
        <v>618</v>
      </c>
      <c r="J45" s="37" t="str">
        <f>TEXT(ROUND(H45*0.97,2),"0.00")&amp;"~"&amp;TEXT(ROUND(H45*1.03,2),"0.00")</f>
        <v>27.65~29.37</v>
      </c>
      <c r="K45" s="57">
        <f>ROUND(H45*0.03,2)</f>
        <v>0.86</v>
      </c>
      <c r="L45" s="28"/>
      <c r="M45" s="43">
        <f>(H45-H45*0.97)+(H45-H45*1.03)</f>
        <v>0</v>
      </c>
      <c r="N45" s="119">
        <v>2.2000000000000002</v>
      </c>
      <c r="O45" s="43">
        <v>2.2000000000000002</v>
      </c>
      <c r="P45" s="28"/>
      <c r="Q45" s="23"/>
    </row>
    <row r="46" spans="1:31" ht="36.75" customHeight="1">
      <c r="A46" s="33" t="str">
        <f t="shared" si="2"/>
        <v>3.10.2DMF</v>
      </c>
      <c r="B46" s="28" t="s">
        <v>265</v>
      </c>
      <c r="C46" s="28" t="s">
        <v>612</v>
      </c>
      <c r="D46" s="34">
        <v>73.099999999999994</v>
      </c>
      <c r="E46" s="35">
        <v>0.94799999999999995</v>
      </c>
      <c r="F46" s="36" t="s">
        <v>613</v>
      </c>
      <c r="G46" s="37">
        <v>0.95</v>
      </c>
      <c r="H46" s="38" t="str">
        <f>TEXT(ROUND(G46*树脂信息!$C$4,2),"0.00")</f>
        <v>61.75</v>
      </c>
      <c r="I46" s="105" t="s">
        <v>614</v>
      </c>
      <c r="J46" s="37" t="str">
        <f>TEXT(ROUND(H46*0.94,2),"0.00")&amp;"~"&amp;TEXT(ROUND(H46*1.06,2),"0.00")</f>
        <v>58.05~65.46</v>
      </c>
      <c r="K46" s="28"/>
      <c r="L46" s="28"/>
      <c r="M46" s="57"/>
      <c r="N46" s="57"/>
      <c r="O46" s="57"/>
      <c r="P46" s="40">
        <v>1</v>
      </c>
      <c r="Q46" s="23"/>
    </row>
    <row r="47" spans="1:31" ht="36.75" customHeight="1">
      <c r="A47" s="33" t="str">
        <f t="shared" si="2"/>
        <v>3.10.6DMF</v>
      </c>
      <c r="B47" s="601" t="s">
        <v>270</v>
      </c>
      <c r="C47" s="601" t="s">
        <v>612</v>
      </c>
      <c r="D47" s="34">
        <v>73.099999999999994</v>
      </c>
      <c r="E47" s="35">
        <v>0.94799999999999995</v>
      </c>
      <c r="F47" s="36" t="s">
        <v>613</v>
      </c>
      <c r="G47" s="37">
        <v>7.58</v>
      </c>
      <c r="H47" s="38" t="str">
        <f>TEXT(ROUND(G47*树脂信息!$C$4,2),"0.00")</f>
        <v>492.70</v>
      </c>
      <c r="I47" s="105" t="s">
        <v>614</v>
      </c>
      <c r="J47" s="37" t="str">
        <f>TEXT(ROUND(H47*0.94,2),"0.00")&amp;"~"&amp;TEXT(ROUND(H47*1.06,2),"0.00")</f>
        <v>463.14~522.26</v>
      </c>
      <c r="K47" s="28"/>
      <c r="L47" s="28" t="s">
        <v>625</v>
      </c>
      <c r="M47" s="39"/>
      <c r="N47" s="39"/>
      <c r="O47" s="39"/>
      <c r="P47" s="40">
        <v>8</v>
      </c>
      <c r="Q47" s="23"/>
    </row>
    <row r="48" spans="1:31" ht="30" customHeight="1">
      <c r="A48" s="33" t="str">
        <f t="shared" si="2"/>
        <v/>
      </c>
      <c r="B48" s="601"/>
      <c r="C48" s="601"/>
      <c r="D48" s="602" t="s">
        <v>626</v>
      </c>
      <c r="E48" s="602"/>
      <c r="F48" s="602"/>
      <c r="G48" s="602"/>
      <c r="H48" s="602"/>
      <c r="I48" s="602"/>
      <c r="J48" s="602"/>
      <c r="K48" s="602"/>
      <c r="L48" s="602"/>
      <c r="M48" s="39"/>
      <c r="N48" s="39"/>
      <c r="O48" s="39"/>
      <c r="P48" s="52"/>
      <c r="Q48" s="23"/>
    </row>
    <row r="49" spans="1:31" ht="30" customHeight="1">
      <c r="A49" s="33" t="str">
        <f t="shared" si="2"/>
        <v/>
      </c>
      <c r="B49" s="45" t="s">
        <v>654</v>
      </c>
      <c r="C49" s="46"/>
      <c r="D49" s="45"/>
      <c r="E49" s="47"/>
      <c r="F49" s="72"/>
      <c r="G49" s="47"/>
      <c r="H49" s="45"/>
      <c r="I49" s="45"/>
      <c r="J49" s="45"/>
      <c r="K49" s="45"/>
      <c r="L49" s="45"/>
      <c r="M49" s="39"/>
      <c r="N49" s="39"/>
      <c r="O49" s="39"/>
      <c r="P49" s="45"/>
      <c r="Q49" s="23"/>
    </row>
    <row r="50" spans="1:31" ht="36.75" customHeight="1">
      <c r="A50" s="33" t="str">
        <f t="shared" si="2"/>
        <v>3.11.120%piperidinesolution</v>
      </c>
      <c r="B50" s="70" t="s">
        <v>275</v>
      </c>
      <c r="C50" s="70" t="s">
        <v>635</v>
      </c>
      <c r="D50" s="54" t="s">
        <v>613</v>
      </c>
      <c r="E50" s="35">
        <v>0.93100000000000005</v>
      </c>
      <c r="F50" s="36" t="s">
        <v>613</v>
      </c>
      <c r="G50" s="37">
        <v>7.44</v>
      </c>
      <c r="H50" s="38" t="str">
        <f>TEXT(ROUND(G50*树脂信息!$C$4,2),"0.00")</f>
        <v>483.60</v>
      </c>
      <c r="I50" s="105" t="s">
        <v>614</v>
      </c>
      <c r="J50" s="37" t="str">
        <f>TEXT(ROUND(H50*0.94,2),"0.00")&amp;"~"&amp;TEXT(ROUND(H50*1.06,2),"0.00")</f>
        <v>454.58~512.62</v>
      </c>
      <c r="K50" s="28"/>
      <c r="L50" s="28"/>
      <c r="M50" s="39"/>
      <c r="N50" s="39"/>
      <c r="O50" s="39"/>
      <c r="P50" s="40">
        <v>8</v>
      </c>
      <c r="Q50" s="23"/>
    </row>
    <row r="51" spans="1:31" ht="30" customHeight="1">
      <c r="A51" s="33" t="str">
        <f t="shared" si="2"/>
        <v>3.11.4IPAC</v>
      </c>
      <c r="B51" s="601" t="s">
        <v>278</v>
      </c>
      <c r="C51" s="601" t="s">
        <v>637</v>
      </c>
      <c r="D51" s="34"/>
      <c r="E51" s="35">
        <v>0.873</v>
      </c>
      <c r="F51" s="36" t="s">
        <v>613</v>
      </c>
      <c r="G51" s="37">
        <v>6.98</v>
      </c>
      <c r="H51" s="38" t="str">
        <f>TEXT(ROUND(G51*树脂信息!$C$4,2),"0.00")</f>
        <v>453.70</v>
      </c>
      <c r="I51" s="105" t="s">
        <v>614</v>
      </c>
      <c r="J51" s="37" t="str">
        <f>TEXT(ROUND(H51*0.94,2),"0.00")&amp;"~"&amp;TEXT(ROUND(H51*1.06,2),"0.00")</f>
        <v>426.48~480.92</v>
      </c>
      <c r="K51" s="28"/>
      <c r="L51" s="28" t="s">
        <v>625</v>
      </c>
      <c r="M51" s="39"/>
      <c r="N51" s="39"/>
      <c r="O51" s="39"/>
      <c r="P51" s="40">
        <v>8</v>
      </c>
      <c r="Q51" s="23"/>
    </row>
    <row r="52" spans="1:31" ht="30" customHeight="1">
      <c r="A52" s="33" t="str">
        <f t="shared" si="2"/>
        <v/>
      </c>
      <c r="B52" s="601"/>
      <c r="C52" s="601"/>
      <c r="D52" s="602" t="s">
        <v>626</v>
      </c>
      <c r="E52" s="602"/>
      <c r="F52" s="602"/>
      <c r="G52" s="602"/>
      <c r="H52" s="602"/>
      <c r="I52" s="602"/>
      <c r="J52" s="602"/>
      <c r="K52" s="602"/>
      <c r="L52" s="602"/>
      <c r="M52" s="39"/>
      <c r="N52" s="39"/>
      <c r="O52" s="39"/>
      <c r="P52" s="52"/>
      <c r="Q52" s="23"/>
    </row>
    <row r="53" spans="1:31" ht="30" customHeight="1">
      <c r="A53" s="33" t="str">
        <f t="shared" si="2"/>
        <v/>
      </c>
      <c r="B53" s="601"/>
      <c r="C53" s="601"/>
      <c r="D53" s="602" t="s">
        <v>647</v>
      </c>
      <c r="E53" s="602"/>
      <c r="F53" s="602"/>
      <c r="G53" s="602"/>
      <c r="H53" s="602"/>
      <c r="I53" s="602"/>
      <c r="J53" s="602"/>
      <c r="K53" s="602"/>
      <c r="L53" s="602"/>
      <c r="M53" s="39"/>
      <c r="N53" s="39"/>
      <c r="O53" s="39"/>
      <c r="P53" s="52"/>
      <c r="Q53" s="23"/>
    </row>
    <row r="54" spans="1:31" ht="30" customHeight="1">
      <c r="A54" s="33" t="str">
        <f t="shared" si="2"/>
        <v>3.11.5DMF</v>
      </c>
      <c r="B54" s="70" t="s">
        <v>280</v>
      </c>
      <c r="C54" s="70" t="s">
        <v>612</v>
      </c>
      <c r="D54" s="34">
        <v>73.099999999999994</v>
      </c>
      <c r="E54" s="35">
        <v>0.94799999999999995</v>
      </c>
      <c r="F54" s="36" t="s">
        <v>613</v>
      </c>
      <c r="G54" s="37">
        <v>7.58</v>
      </c>
      <c r="H54" s="38" t="str">
        <f>TEXT(ROUND(G54*树脂信息!$C$4,2),"0.00")</f>
        <v>492.70</v>
      </c>
      <c r="I54" s="105" t="s">
        <v>614</v>
      </c>
      <c r="J54" s="37" t="str">
        <f>TEXT(ROUND(H54*0.94,2),"0.00")&amp;"~"&amp;TEXT(ROUND(H54*1.06,2),"0.00")</f>
        <v>463.14~522.26</v>
      </c>
      <c r="K54" s="70"/>
      <c r="L54" s="70"/>
      <c r="M54" s="52"/>
      <c r="N54" s="52"/>
      <c r="O54" s="52"/>
      <c r="P54" s="40">
        <v>8</v>
      </c>
      <c r="Q54" s="23"/>
    </row>
    <row r="55" spans="1:31" ht="30" customHeight="1">
      <c r="A55" s="33" t="str">
        <f t="shared" si="2"/>
        <v>3.11.7DMF</v>
      </c>
      <c r="B55" s="70" t="s">
        <v>282</v>
      </c>
      <c r="C55" s="70" t="s">
        <v>612</v>
      </c>
      <c r="D55" s="34">
        <v>73.099999999999994</v>
      </c>
      <c r="E55" s="35">
        <v>0.94799999999999995</v>
      </c>
      <c r="F55" s="36" t="s">
        <v>613</v>
      </c>
      <c r="G55" s="37">
        <v>7.58</v>
      </c>
      <c r="H55" s="38" t="str">
        <f>TEXT(ROUND(G55*树脂信息!$C$4,2),"0.00")</f>
        <v>492.70</v>
      </c>
      <c r="I55" s="105" t="s">
        <v>614</v>
      </c>
      <c r="J55" s="37" t="str">
        <f>TEXT(ROUND(H55*0.94,2),"0.00")&amp;"~"&amp;TEXT(ROUND(H55*1.06,2),"0.00")</f>
        <v>463.14~522.26</v>
      </c>
      <c r="K55" s="28"/>
      <c r="L55" s="28"/>
      <c r="M55" s="39"/>
      <c r="N55" s="39"/>
      <c r="O55" s="39"/>
      <c r="P55" s="40">
        <v>8</v>
      </c>
      <c r="Q55" s="23"/>
    </row>
    <row r="56" spans="1:31" ht="30" customHeight="1">
      <c r="A56" s="85" t="str">
        <f t="shared" si="2"/>
        <v>3.12.1DMF</v>
      </c>
      <c r="B56" s="105" t="s">
        <v>285</v>
      </c>
      <c r="C56" s="105" t="s">
        <v>612</v>
      </c>
      <c r="D56" s="34">
        <v>73.099999999999994</v>
      </c>
      <c r="E56" s="35">
        <v>0.94799999999999995</v>
      </c>
      <c r="F56" s="36" t="s">
        <v>613</v>
      </c>
      <c r="G56" s="37">
        <v>5.69</v>
      </c>
      <c r="H56" s="38" t="str">
        <f>TEXT(ROUND(G56*树脂信息!$C$4,2),"0.00")</f>
        <v>369.85</v>
      </c>
      <c r="I56" s="105" t="s">
        <v>615</v>
      </c>
      <c r="J56" s="37" t="str">
        <f>TEXT(ROUND(H56*0.95,2),"0.00")&amp;"~"&amp;TEXT(ROUND(H56*1.05,2),"0.00")</f>
        <v>351.36~388.34</v>
      </c>
      <c r="K56" s="105"/>
      <c r="L56" s="105"/>
      <c r="M56" s="84"/>
      <c r="N56" s="84"/>
      <c r="O56" s="84"/>
      <c r="P56" s="40">
        <v>6</v>
      </c>
      <c r="Q56" s="23"/>
      <c r="R56" s="73"/>
      <c r="S56" s="73"/>
      <c r="T56" s="73"/>
      <c r="U56" s="73"/>
      <c r="V56" s="73"/>
      <c r="W56" s="73"/>
      <c r="X56" s="73"/>
      <c r="Y56" s="73"/>
      <c r="Z56" s="73"/>
      <c r="AA56" s="73"/>
      <c r="AB56" s="73"/>
      <c r="AC56" s="73"/>
      <c r="AD56" s="73"/>
      <c r="AE56" s="73"/>
    </row>
    <row r="57" spans="1:31" ht="30" customHeight="1">
      <c r="A57" s="33" t="str">
        <f t="shared" si="2"/>
        <v>3.12.2Fmoc-L-Cys(Trt)-OH</v>
      </c>
      <c r="B57" s="49" t="s">
        <v>655</v>
      </c>
      <c r="C57" s="49" t="s">
        <v>656</v>
      </c>
      <c r="D57" s="34">
        <v>585.71</v>
      </c>
      <c r="E57" s="41" t="s">
        <v>613</v>
      </c>
      <c r="F57" s="35">
        <f>O57</f>
        <v>2</v>
      </c>
      <c r="G57" s="37" t="s">
        <v>613</v>
      </c>
      <c r="H57" s="48">
        <f>ROUND(O57*D57/1000*树脂信息!$D$4,2)</f>
        <v>120.3</v>
      </c>
      <c r="I57" s="28" t="s">
        <v>618</v>
      </c>
      <c r="J57" s="37" t="str">
        <f>TEXT(ROUND(H57*0.97,2),"0.00")&amp;"~"&amp;TEXT(ROUND(H57*1.03,2),"0.00")</f>
        <v>116.69~123.91</v>
      </c>
      <c r="K57" s="57">
        <f>ROUND(H57*0.03,2)</f>
        <v>3.61</v>
      </c>
      <c r="L57" s="28"/>
      <c r="M57" s="43">
        <f>(H57-H57*0.97)+(H57-H57*1.03)</f>
        <v>0</v>
      </c>
      <c r="N57" s="119">
        <v>2</v>
      </c>
      <c r="O57" s="43">
        <v>2</v>
      </c>
      <c r="P57" s="28"/>
      <c r="Q57" s="50" t="str">
        <f>"Ins "&amp;B57&amp;" The standard batch Qty of "&amp;LEFT(C57,FIND("/",C57,1)-1)&amp;"/操作"&amp;LEFT(B57,FIND("/",B57,1)-1)&amp;"（用于Ins."&amp;MID(B57,FIND("/",B57,1)+1,100)&amp;"）"&amp;MID(C57,FIND("/",C57,1)+1,100)&amp;"标准投料量"</f>
        <v>Ins 1.8/3.12.2 The standard batch Qty of Fmoc-L-Cys(Trt)-OH/操作1.8（用于Ins.3.12.2）Fmoc-S-三苯甲基-L-半胱氨酸标准投料量</v>
      </c>
      <c r="R57" s="50" t="s">
        <v>619</v>
      </c>
      <c r="S57" s="50" t="s">
        <v>620</v>
      </c>
      <c r="T57" s="50" t="e">
        <f>R57&amp;#REF!&amp;S57</f>
        <v>#REF!</v>
      </c>
      <c r="U57" s="50">
        <f>COUNTIF($S$9:S57,_xlfn.IFNA(S57,$S$9:S57))+1</f>
        <v>10</v>
      </c>
      <c r="V57" s="50">
        <f>U57-1</f>
        <v>9</v>
      </c>
      <c r="W57" s="50" t="str">
        <f>"Update Ins "&amp;MID(B57,FIND("/",B57,1)+1,100)&amp;" plan qty of "&amp;LEFT(C57,FIND("/",C57,1)-1)&amp;"/更新操作"&amp;MID(B57,FIND("/",B57,1)+1,100)&amp;" "&amp;MID(C57,FIND("/",C57,1)+1,100)&amp;"计划量"</f>
        <v>Update Ins 3.12.2 plan qty of Fmoc-L-Cys(Trt)-OH/更新操作3.12.2 Fmoc-S-三苯甲基-L-半胱氨酸计划量</v>
      </c>
      <c r="X57" s="50" t="s">
        <v>621</v>
      </c>
      <c r="Y57" s="44" t="s">
        <v>622</v>
      </c>
      <c r="Z57" s="50" t="str">
        <f>X57&amp;MID(B57,FIND("/",B57,1)+1,100)&amp;Y57&amp;U57&amp;" Value})"</f>
        <v>updateWeighingPlanQuantity("3.12.2-1", PH:{Standard batch Qty calculation/标准投料量计算-01}.{10 Value})</v>
      </c>
      <c r="AB57" s="50" t="str">
        <f>"Ins "&amp;LEFT(B57,FIND("/",B57,1)-1)&amp;" Dispense "&amp;LEFT(C57,FIND("/",C57,1)-1)&amp;"/分装"&amp;MID(C57,FIND("/",C57,1)+1,100)</f>
        <v>Ins 1.8 Dispense Fmoc-L-Cys(Trt)-OH/分装Fmoc-S-三苯甲基-L-半胱氨酸</v>
      </c>
      <c r="AC57" s="50" t="str">
        <f>MID(B57,FIND("/",B57,1)+1,100)&amp;" "&amp;C57</f>
        <v>3.12.2 Fmoc-L-Cys(Trt)-OH/Fmoc-S-三苯甲基-L-半胱氨酸</v>
      </c>
    </row>
    <row r="58" spans="1:31" ht="30" customHeight="1">
      <c r="A58" s="33" t="str">
        <f t="shared" si="2"/>
        <v>3.12.3Oxymapure</v>
      </c>
      <c r="B58" s="49" t="s">
        <v>657</v>
      </c>
      <c r="C58" s="49" t="s">
        <v>658</v>
      </c>
      <c r="D58" s="34">
        <v>142.11000000000001</v>
      </c>
      <c r="E58" s="41" t="s">
        <v>613</v>
      </c>
      <c r="F58" s="35">
        <f>O58</f>
        <v>3</v>
      </c>
      <c r="G58" s="37" t="s">
        <v>613</v>
      </c>
      <c r="H58" s="48">
        <f>ROUND(O58*D58/1000*树脂信息!$D$4,2)</f>
        <v>43.78</v>
      </c>
      <c r="I58" s="28" t="s">
        <v>618</v>
      </c>
      <c r="J58" s="37" t="str">
        <f>TEXT(ROUND(H58*0.97,2),"0.00")&amp;"~"&amp;TEXT(ROUND(H58*1.03,2),"0.00")</f>
        <v>42.47~45.09</v>
      </c>
      <c r="K58" s="57">
        <f>ROUND(H58*0.03,2)</f>
        <v>1.31</v>
      </c>
      <c r="L58" s="28"/>
      <c r="M58" s="43">
        <f>(H58-H58*0.97)+(H58-H58*1.03)</f>
        <v>0</v>
      </c>
      <c r="N58" s="119">
        <v>3</v>
      </c>
      <c r="O58" s="58">
        <v>3</v>
      </c>
      <c r="P58" s="28"/>
      <c r="Q58" s="50" t="str">
        <f>"Ins "&amp;B58&amp;" The standard batch Qty of "&amp;LEFT(C58,FIND("/",C58,1)-1)&amp;"/操作"&amp;LEFT(B58,FIND("/",B58,1)-1)&amp;"（用于Ins."&amp;MID(B58,FIND("/",B58,1)+1,100)&amp;"）"&amp;MID(C58,FIND("/",C58,1)+1,100)&amp;"标准投料量"</f>
        <v>Ins 1.9/3.12.3 The standard batch Qty of Oxyma pure/操作1.9（用于Ins.3.12.3）2-肟氰乙酸乙酯标准投料量</v>
      </c>
      <c r="R58" s="50" t="s">
        <v>619</v>
      </c>
      <c r="S58" s="50" t="s">
        <v>620</v>
      </c>
      <c r="T58" s="50" t="e">
        <f>R58&amp;#REF!&amp;S58</f>
        <v>#REF!</v>
      </c>
      <c r="U58" s="50">
        <f>COUNTIF($S$9:S58,_xlfn.IFNA(S58,$S$9:S58))+1</f>
        <v>11</v>
      </c>
      <c r="V58" s="50">
        <f>U58-1</f>
        <v>10</v>
      </c>
      <c r="W58" s="50" t="str">
        <f>"Update Ins "&amp;MID(B58,FIND("/",B58,1)+1,100)&amp;" plan qty of "&amp;LEFT(C58,FIND("/",C58,1)-1)&amp;"/更新操作"&amp;MID(B58,FIND("/",B58,1)+1,100)&amp;" "&amp;MID(C58,FIND("/",C58,1)+1,100)&amp;"计划量"</f>
        <v>Update Ins 3.12.3 plan qty of Oxyma pure/更新操作3.12.3 2-肟氰乙酸乙酯计划量</v>
      </c>
      <c r="X58" s="50" t="s">
        <v>621</v>
      </c>
      <c r="Y58" s="44" t="s">
        <v>622</v>
      </c>
      <c r="Z58" s="50" t="str">
        <f>X58&amp;MID(B58,FIND("/",B58,1)+1,100)&amp;Y58&amp;U58&amp;" Value})"</f>
        <v>updateWeighingPlanQuantity("3.12.3-1", PH:{Standard batch Qty calculation/标准投料量计算-01}.{11 Value})</v>
      </c>
      <c r="AB58" s="50" t="str">
        <f>"Ins "&amp;LEFT(B58,FIND("/",B58,1)-1)&amp;" Dispense "&amp;LEFT(C58,FIND("/",C58,1)-1)&amp;"/分装"&amp;MID(C58,FIND("/",C58,1)+1,100)</f>
        <v>Ins 1.9 Dispense Oxyma pure/分装2-肟氰乙酸乙酯</v>
      </c>
      <c r="AC58" s="50" t="str">
        <f>MID(B58,FIND("/",B58,1)+1,100)&amp;" "&amp;C58</f>
        <v>3.12.3 Oxyma pure/2-肟氰乙酸乙酯</v>
      </c>
    </row>
    <row r="59" spans="1:31" ht="30" customHeight="1">
      <c r="A59" s="33" t="str">
        <f t="shared" si="2"/>
        <v>3.12.4DMF</v>
      </c>
      <c r="B59" s="28" t="s">
        <v>288</v>
      </c>
      <c r="C59" s="28" t="s">
        <v>612</v>
      </c>
      <c r="D59" s="34">
        <v>73.099999999999994</v>
      </c>
      <c r="E59" s="35">
        <v>0.94799999999999995</v>
      </c>
      <c r="F59" s="36" t="s">
        <v>613</v>
      </c>
      <c r="G59" s="37">
        <v>0.95</v>
      </c>
      <c r="H59" s="38" t="str">
        <f>TEXT(ROUND(G59*树脂信息!$C$4,2),"0.00")</f>
        <v>61.75</v>
      </c>
      <c r="I59" s="105" t="s">
        <v>614</v>
      </c>
      <c r="J59" s="37" t="str">
        <f>TEXT(ROUND(H59*0.94,2),"0.00")&amp;"~"&amp;TEXT(ROUND(H59*1.06,2),"0.00")</f>
        <v>58.05~65.46</v>
      </c>
      <c r="K59" s="28"/>
      <c r="L59" s="28"/>
      <c r="M59" s="57"/>
      <c r="N59" s="57"/>
      <c r="O59" s="57"/>
      <c r="P59" s="40">
        <v>1</v>
      </c>
      <c r="Q59" s="23"/>
    </row>
    <row r="60" spans="1:31" ht="30" customHeight="1">
      <c r="A60" s="33" t="str">
        <f t="shared" si="2"/>
        <v>3.13.2DMF</v>
      </c>
      <c r="B60" s="28" t="s">
        <v>291</v>
      </c>
      <c r="C60" s="28" t="s">
        <v>612</v>
      </c>
      <c r="D60" s="34">
        <v>73.099999999999994</v>
      </c>
      <c r="E60" s="35">
        <v>0.94799999999999995</v>
      </c>
      <c r="F60" s="36" t="s">
        <v>613</v>
      </c>
      <c r="G60" s="37">
        <v>0.95</v>
      </c>
      <c r="H60" s="38" t="str">
        <f>TEXT(ROUND(G60*树脂信息!$C$4,2),"0.00")</f>
        <v>61.75</v>
      </c>
      <c r="I60" s="105" t="s">
        <v>614</v>
      </c>
      <c r="J60" s="37" t="str">
        <f>TEXT(ROUND(H60*0.94,2),"0.00")&amp;"~"&amp;TEXT(ROUND(H60*1.06,2),"0.00")</f>
        <v>58.05~65.46</v>
      </c>
      <c r="K60" s="28"/>
      <c r="L60" s="28"/>
      <c r="M60" s="57"/>
      <c r="N60" s="57"/>
      <c r="O60" s="57"/>
      <c r="P60" s="40">
        <v>1</v>
      </c>
      <c r="Q60" s="23"/>
    </row>
    <row r="61" spans="1:31" ht="36.75" customHeight="1">
      <c r="A61" s="33" t="str">
        <f t="shared" si="2"/>
        <v>3.13.3DMF</v>
      </c>
      <c r="B61" s="49" t="s">
        <v>295</v>
      </c>
      <c r="C61" s="49" t="s">
        <v>612</v>
      </c>
      <c r="D61" s="34">
        <v>73.099999999999994</v>
      </c>
      <c r="E61" s="35">
        <v>0.94799999999999995</v>
      </c>
      <c r="F61" s="36" t="s">
        <v>613</v>
      </c>
      <c r="G61" s="37">
        <v>0.95</v>
      </c>
      <c r="H61" s="38" t="str">
        <f>TEXT(ROUND(G61*树脂信息!$C$4,2),"0.00")</f>
        <v>61.75</v>
      </c>
      <c r="I61" s="105" t="s">
        <v>614</v>
      </c>
      <c r="J61" s="37" t="str">
        <f>TEXT(ROUND(H61*0.94,2),"0.00")&amp;"~"&amp;TEXT(ROUND(H61*1.06,2),"0.00")</f>
        <v>58.05~65.46</v>
      </c>
      <c r="K61" s="28"/>
      <c r="L61" s="28"/>
      <c r="M61" s="57"/>
      <c r="N61" s="57"/>
      <c r="O61" s="57"/>
      <c r="P61" s="40">
        <v>1</v>
      </c>
      <c r="Q61" s="50" t="str">
        <f>"Ins "&amp;B61&amp;" The standard batch Qty of "&amp;LEFT(C61,FIND("/",C61,1)-1)&amp;"/操作"&amp;B61&amp;MID(C61,FIND("/",C61,1)+1,100)&amp;"标准投料量"</f>
        <v>Ins 3.13.3 The standard batch Qty of DMF/操作3.13.3N, N-二甲基甲酰胺标准投料量</v>
      </c>
      <c r="R61" s="50" t="s">
        <v>619</v>
      </c>
      <c r="S61" s="50" t="s">
        <v>620</v>
      </c>
      <c r="T61" s="50" t="e">
        <f>R61&amp;#REF!&amp;S61</f>
        <v>#REF!</v>
      </c>
      <c r="U61" s="50">
        <f>COUNTIF($S$9:S61,_xlfn.IFNA(S61,$S$9:S61))+1</f>
        <v>12</v>
      </c>
      <c r="V61" s="50">
        <f>U61-1</f>
        <v>11</v>
      </c>
      <c r="W61" s="50" t="str">
        <f>"Update Ins "&amp;B61&amp;" plan qty of "&amp;LEFT(C61,FIND("/",C61,1)-1)&amp;"/更新操作"&amp;B61&amp;" "&amp;MID(C61,FIND("/",C61,1)+1,100)&amp;"计划量"</f>
        <v>Update Ins 3.13.3 plan qty of DMF/更新操作3.13.3 N, N-二甲基甲酰胺计划量</v>
      </c>
      <c r="X61" s="50" t="s">
        <v>621</v>
      </c>
      <c r="Y61" s="44" t="s">
        <v>659</v>
      </c>
      <c r="Z61" s="50" t="str">
        <f>X61&amp;B61&amp;Y61&amp;U61&amp;" Value})"</f>
        <v>updateWeighingPlanQuantity("3.13.3-1", PH:{Standard batch Qty calculation/标准投料量计算-02}.{12 Value})</v>
      </c>
      <c r="AB61" s="50" t="str">
        <f>"Ins "&amp;B61&amp;" Weighing of "&amp;LEFT(C61,FIND("/",C61,1)-1)&amp;"/"&amp;MID(C61,FIND("/",C61,1)+1,100)&amp;"称重"</f>
        <v>Ins 3.13.3 Weighing of DMF/N, N-二甲基甲酰胺称重</v>
      </c>
    </row>
    <row r="62" spans="1:31" ht="30" customHeight="1">
      <c r="A62" s="33" t="str">
        <f t="shared" si="2"/>
        <v>3.13.3DIC</v>
      </c>
      <c r="B62" s="49" t="s">
        <v>295</v>
      </c>
      <c r="C62" s="49" t="s">
        <v>660</v>
      </c>
      <c r="D62" s="34">
        <v>126.2</v>
      </c>
      <c r="E62" s="41" t="s">
        <v>613</v>
      </c>
      <c r="F62" s="35">
        <f>O62</f>
        <v>3.3</v>
      </c>
      <c r="G62" s="37" t="s">
        <v>613</v>
      </c>
      <c r="H62" s="48">
        <f>ROUND(O62*D62/1000*树脂信息!$D$4,2)</f>
        <v>42.77</v>
      </c>
      <c r="I62" s="49" t="s">
        <v>618</v>
      </c>
      <c r="J62" s="37" t="str">
        <f>TEXT(ROUND(H62*0.97,2),"0.00")&amp;"~"&amp;TEXT(ROUND(H62*1.03,2),"0.00")</f>
        <v>41.49~44.05</v>
      </c>
      <c r="K62" s="57">
        <f>ROUND(H62*0.03,2)</f>
        <v>1.28</v>
      </c>
      <c r="L62" s="28"/>
      <c r="M62" s="43">
        <f>(H62-H62*0.97)+(H62-H62*1.03)</f>
        <v>0</v>
      </c>
      <c r="N62" s="119">
        <v>3.3</v>
      </c>
      <c r="O62" s="58">
        <v>3.3</v>
      </c>
      <c r="P62" s="28"/>
      <c r="Q62" s="50" t="str">
        <f>"Ins "&amp;B62&amp;" The standard batch Qty of "&amp;LEFT(C62,FIND("/",C62,1)-1)&amp;"/操作"&amp;B62&amp;MID(C62,FIND("/",C62,1)+1,100)&amp;"标准投料量"</f>
        <v>Ins 3.13.3 The standard batch Qty of DIC/操作3.13.3N,N'-二异丙基碳二亚胺标准投料量</v>
      </c>
      <c r="R62" s="50" t="s">
        <v>619</v>
      </c>
      <c r="S62" s="50" t="s">
        <v>620</v>
      </c>
      <c r="T62" s="50" t="e">
        <f>R62&amp;#REF!&amp;S62</f>
        <v>#REF!</v>
      </c>
      <c r="U62" s="50">
        <f>COUNTIF($S$9:S62,_xlfn.IFNA(S62,$S$9:S62))+1</f>
        <v>13</v>
      </c>
      <c r="V62" s="50">
        <f>U62-1</f>
        <v>12</v>
      </c>
      <c r="W62" s="50" t="str">
        <f>"Update Ins "&amp;B62&amp;" plan qty of "&amp;LEFT(C62,FIND("/",C62,1)-1)&amp;"/更新操作"&amp;B62&amp;" "&amp;MID(C62,FIND("/",C62,1)+1,100)&amp;"计划量"</f>
        <v>Update Ins 3.13.3 plan qty of DIC/更新操作3.13.3 N,N'-二异丙基碳二亚胺计划量</v>
      </c>
      <c r="X62" s="50" t="s">
        <v>621</v>
      </c>
      <c r="Y62" s="44" t="s">
        <v>661</v>
      </c>
      <c r="Z62" s="50" t="str">
        <f>X62&amp;B62&amp;Y62&amp;U62&amp;" Value})"</f>
        <v>updateWeighingPlanQuantity("3.13.3-3", PH:{Standard batch Qty calculation/标准投料量计算-02}.{13 Value})</v>
      </c>
      <c r="AB62" s="50" t="str">
        <f>"Ins "&amp;B62&amp;" Weighing of "&amp;LEFT(C62,FIND("/",C62,1)-1)&amp;"/"&amp;MID(C62,FIND("/",C62,1)+1,100)&amp;"称重"</f>
        <v>Ins 3.13.3 Weighing of DIC/N,N'-二异丙基碳二亚胺称重</v>
      </c>
    </row>
    <row r="63" spans="1:31" ht="30" customHeight="1">
      <c r="A63" s="33" t="str">
        <f t="shared" si="2"/>
        <v>3.13.10DMF</v>
      </c>
      <c r="B63" s="601" t="s">
        <v>311</v>
      </c>
      <c r="C63" s="601" t="s">
        <v>612</v>
      </c>
      <c r="D63" s="34">
        <v>73.099999999999994</v>
      </c>
      <c r="E63" s="35">
        <v>0.94799999999999995</v>
      </c>
      <c r="F63" s="36" t="s">
        <v>613</v>
      </c>
      <c r="G63" s="37">
        <v>7.58</v>
      </c>
      <c r="H63" s="38" t="str">
        <f>TEXT(ROUND(G63*树脂信息!$C$4,2),"0.00")</f>
        <v>492.70</v>
      </c>
      <c r="I63" s="105" t="s">
        <v>614</v>
      </c>
      <c r="J63" s="37" t="str">
        <f>TEXT(ROUND(H63*0.94,2),"0.00")&amp;"~"&amp;TEXT(ROUND(H63*1.06,2),"0.00")</f>
        <v>463.14~522.26</v>
      </c>
      <c r="K63" s="28"/>
      <c r="L63" s="28" t="s">
        <v>625</v>
      </c>
      <c r="M63" s="39"/>
      <c r="N63" s="39"/>
      <c r="O63" s="39"/>
      <c r="P63" s="40">
        <v>8</v>
      </c>
      <c r="Q63" s="23"/>
    </row>
    <row r="64" spans="1:31" ht="30" customHeight="1">
      <c r="A64" s="33" t="str">
        <f t="shared" si="2"/>
        <v/>
      </c>
      <c r="B64" s="601"/>
      <c r="C64" s="601"/>
      <c r="D64" s="602" t="s">
        <v>626</v>
      </c>
      <c r="E64" s="602"/>
      <c r="F64" s="602"/>
      <c r="G64" s="602"/>
      <c r="H64" s="602"/>
      <c r="I64" s="602"/>
      <c r="J64" s="602"/>
      <c r="K64" s="602"/>
      <c r="L64" s="602"/>
      <c r="M64" s="39"/>
      <c r="N64" s="39"/>
      <c r="O64" s="39"/>
      <c r="P64" s="52"/>
      <c r="Q64" s="23"/>
    </row>
    <row r="65" spans="1:31" ht="30" customHeight="1">
      <c r="A65" s="33" t="str">
        <f t="shared" si="2"/>
        <v/>
      </c>
      <c r="B65" s="45" t="s">
        <v>662</v>
      </c>
      <c r="C65" s="46"/>
      <c r="D65" s="45"/>
      <c r="E65" s="47"/>
      <c r="F65" s="47"/>
      <c r="G65" s="47"/>
      <c r="H65" s="45"/>
      <c r="I65" s="45"/>
      <c r="J65" s="45"/>
      <c r="K65" s="45"/>
      <c r="L65" s="45"/>
      <c r="M65" s="39"/>
      <c r="N65" s="39"/>
      <c r="O65" s="39"/>
      <c r="P65" s="45"/>
      <c r="Q65" s="23"/>
    </row>
    <row r="66" spans="1:31" ht="30" customHeight="1">
      <c r="A66" s="33" t="str">
        <f t="shared" si="2"/>
        <v>3.14.120%piperidinesolution</v>
      </c>
      <c r="B66" s="70" t="s">
        <v>315</v>
      </c>
      <c r="C66" s="70" t="s">
        <v>635</v>
      </c>
      <c r="D66" s="54" t="s">
        <v>613</v>
      </c>
      <c r="E66" s="35">
        <v>0.93100000000000005</v>
      </c>
      <c r="F66" s="36" t="s">
        <v>613</v>
      </c>
      <c r="G66" s="37">
        <v>7.44</v>
      </c>
      <c r="H66" s="38" t="str">
        <f>TEXT(ROUND(G66*树脂信息!$C$4,2),"0.00")</f>
        <v>483.60</v>
      </c>
      <c r="I66" s="105" t="s">
        <v>614</v>
      </c>
      <c r="J66" s="37" t="str">
        <f>TEXT(ROUND(H66*0.94,2),"0.00")&amp;"~"&amp;TEXT(ROUND(H66*1.06,2),"0.00")</f>
        <v>454.58~512.62</v>
      </c>
      <c r="K66" s="28"/>
      <c r="L66" s="28"/>
      <c r="M66" s="39"/>
      <c r="N66" s="39"/>
      <c r="O66" s="39"/>
      <c r="P66" s="40">
        <v>8</v>
      </c>
      <c r="Q66" s="23"/>
    </row>
    <row r="67" spans="1:31" ht="30" customHeight="1">
      <c r="A67" s="33" t="str">
        <f t="shared" si="2"/>
        <v>3.14.4IPAC</v>
      </c>
      <c r="B67" s="601" t="s">
        <v>318</v>
      </c>
      <c r="C67" s="601" t="s">
        <v>637</v>
      </c>
      <c r="D67" s="34"/>
      <c r="E67" s="35">
        <v>0.873</v>
      </c>
      <c r="F67" s="36" t="s">
        <v>613</v>
      </c>
      <c r="G67" s="37">
        <v>6.98</v>
      </c>
      <c r="H67" s="38" t="str">
        <f>TEXT(ROUND(G67*树脂信息!$C$4,2),"0.00")</f>
        <v>453.70</v>
      </c>
      <c r="I67" s="105" t="s">
        <v>614</v>
      </c>
      <c r="J67" s="37" t="str">
        <f>TEXT(ROUND(H67*0.94,2),"0.00")&amp;"~"&amp;TEXT(ROUND(H67*1.06,2),"0.00")</f>
        <v>426.48~480.92</v>
      </c>
      <c r="K67" s="28"/>
      <c r="L67" s="28" t="s">
        <v>625</v>
      </c>
      <c r="M67" s="39"/>
      <c r="N67" s="39"/>
      <c r="O67" s="39"/>
      <c r="P67" s="40">
        <v>8</v>
      </c>
      <c r="Q67" s="23"/>
    </row>
    <row r="68" spans="1:31" ht="30" customHeight="1">
      <c r="A68" s="33" t="str">
        <f t="shared" si="2"/>
        <v/>
      </c>
      <c r="B68" s="601"/>
      <c r="C68" s="601"/>
      <c r="D68" s="602" t="s">
        <v>626</v>
      </c>
      <c r="E68" s="602"/>
      <c r="F68" s="602"/>
      <c r="G68" s="602"/>
      <c r="H68" s="602"/>
      <c r="I68" s="602"/>
      <c r="J68" s="602"/>
      <c r="K68" s="602"/>
      <c r="L68" s="602"/>
      <c r="M68" s="39"/>
      <c r="N68" s="39"/>
      <c r="O68" s="39"/>
      <c r="P68" s="52"/>
      <c r="Q68" s="23"/>
    </row>
    <row r="69" spans="1:31" ht="30" customHeight="1">
      <c r="A69" s="33" t="str">
        <f t="shared" si="2"/>
        <v/>
      </c>
      <c r="B69" s="601"/>
      <c r="C69" s="601"/>
      <c r="D69" s="602" t="s">
        <v>647</v>
      </c>
      <c r="E69" s="602"/>
      <c r="F69" s="602"/>
      <c r="G69" s="602"/>
      <c r="H69" s="602"/>
      <c r="I69" s="602"/>
      <c r="J69" s="602"/>
      <c r="K69" s="602"/>
      <c r="L69" s="602"/>
      <c r="M69" s="39"/>
      <c r="N69" s="39"/>
      <c r="O69" s="39"/>
      <c r="P69" s="52"/>
      <c r="Q69" s="23"/>
    </row>
    <row r="70" spans="1:31" ht="30" customHeight="1">
      <c r="A70" s="33" t="str">
        <f t="shared" si="2"/>
        <v>3.14.5DMF</v>
      </c>
      <c r="B70" s="70" t="s">
        <v>320</v>
      </c>
      <c r="C70" s="70" t="s">
        <v>612</v>
      </c>
      <c r="D70" s="34">
        <v>73.099999999999994</v>
      </c>
      <c r="E70" s="35">
        <v>0.94799999999999995</v>
      </c>
      <c r="F70" s="36" t="s">
        <v>613</v>
      </c>
      <c r="G70" s="37">
        <v>7.58</v>
      </c>
      <c r="H70" s="38" t="str">
        <f>TEXT(ROUND(G70*树脂信息!$C$4,2),"0.00")</f>
        <v>492.70</v>
      </c>
      <c r="I70" s="105" t="s">
        <v>614</v>
      </c>
      <c r="J70" s="37" t="str">
        <f>TEXT(ROUND(H70*0.94,2),"0.00")&amp;"~"&amp;TEXT(ROUND(H70*1.06,2),"0.00")</f>
        <v>463.14~522.26</v>
      </c>
      <c r="K70" s="70"/>
      <c r="L70" s="70"/>
      <c r="M70" s="52"/>
      <c r="N70" s="52"/>
      <c r="O70" s="52"/>
      <c r="P70" s="40">
        <v>8</v>
      </c>
      <c r="Q70" s="23"/>
    </row>
    <row r="71" spans="1:31" ht="30" customHeight="1">
      <c r="A71" s="33" t="str">
        <f t="shared" si="2"/>
        <v>3.14.7DMF</v>
      </c>
      <c r="B71" s="70" t="s">
        <v>322</v>
      </c>
      <c r="C71" s="70" t="s">
        <v>612</v>
      </c>
      <c r="D71" s="34">
        <v>73.099999999999994</v>
      </c>
      <c r="E71" s="35">
        <v>0.94799999999999995</v>
      </c>
      <c r="F71" s="36" t="s">
        <v>613</v>
      </c>
      <c r="G71" s="37">
        <v>7.58</v>
      </c>
      <c r="H71" s="38" t="str">
        <f>TEXT(ROUND(G71*树脂信息!$C$4,2),"0.00")</f>
        <v>492.70</v>
      </c>
      <c r="I71" s="105" t="s">
        <v>614</v>
      </c>
      <c r="J71" s="37" t="str">
        <f>TEXT(ROUND(H71*0.94,2),"0.00")&amp;"~"&amp;TEXT(ROUND(H71*1.06,2),"0.00")</f>
        <v>463.14~522.26</v>
      </c>
      <c r="K71" s="28"/>
      <c r="L71" s="28"/>
      <c r="M71" s="39"/>
      <c r="N71" s="39"/>
      <c r="O71" s="39"/>
      <c r="P71" s="40">
        <v>8</v>
      </c>
      <c r="Q71" s="23"/>
    </row>
    <row r="72" spans="1:31" ht="36.75" customHeight="1">
      <c r="A72" s="85" t="str">
        <f t="shared" si="2"/>
        <v>3.15.1DMF</v>
      </c>
      <c r="B72" s="105" t="s">
        <v>325</v>
      </c>
      <c r="C72" s="105" t="s">
        <v>612</v>
      </c>
      <c r="D72" s="34">
        <v>73.099999999999994</v>
      </c>
      <c r="E72" s="35">
        <v>0.94799999999999995</v>
      </c>
      <c r="F72" s="36" t="s">
        <v>613</v>
      </c>
      <c r="G72" s="37">
        <v>5.69</v>
      </c>
      <c r="H72" s="38" t="str">
        <f>TEXT(ROUND(G72*树脂信息!$C$4,2),"0.00")</f>
        <v>369.85</v>
      </c>
      <c r="I72" s="105" t="s">
        <v>615</v>
      </c>
      <c r="J72" s="37" t="str">
        <f>TEXT(ROUND(H72*0.95,2),"0.00")&amp;"~"&amp;TEXT(ROUND(H72*1.05,2),"0.00")</f>
        <v>351.36~388.34</v>
      </c>
      <c r="K72" s="105"/>
      <c r="L72" s="105"/>
      <c r="M72" s="84"/>
      <c r="N72" s="84"/>
      <c r="O72" s="84"/>
      <c r="P72" s="40">
        <v>6</v>
      </c>
      <c r="Q72" s="23"/>
      <c r="R72" s="73"/>
      <c r="S72" s="73"/>
      <c r="T72" s="73"/>
      <c r="U72" s="73"/>
      <c r="V72" s="73"/>
      <c r="W72" s="73"/>
      <c r="X72" s="73"/>
      <c r="Y72" s="73"/>
      <c r="Z72" s="73"/>
      <c r="AA72" s="73"/>
      <c r="AB72" s="73"/>
      <c r="AC72" s="73"/>
      <c r="AD72" s="73"/>
      <c r="AE72" s="73"/>
    </row>
    <row r="73" spans="1:31" ht="30" customHeight="1">
      <c r="A73" s="33" t="str">
        <f t="shared" si="2"/>
        <v>3.15.2Fmoc-L-Thr(tBu)-OH</v>
      </c>
      <c r="B73" s="28" t="s">
        <v>663</v>
      </c>
      <c r="C73" s="28" t="s">
        <v>640</v>
      </c>
      <c r="D73" s="34">
        <v>397.46</v>
      </c>
      <c r="E73" s="41" t="s">
        <v>613</v>
      </c>
      <c r="F73" s="35">
        <f>O73</f>
        <v>2</v>
      </c>
      <c r="G73" s="37" t="s">
        <v>613</v>
      </c>
      <c r="H73" s="42">
        <f>ROUND(O73*D73/1000*树脂信息!$D$4,2)</f>
        <v>81.64</v>
      </c>
      <c r="I73" s="28" t="s">
        <v>618</v>
      </c>
      <c r="J73" s="37" t="str">
        <f>TEXT(ROUND(H73*0.97,2),"0.00")&amp;"~"&amp;TEXT(ROUND(H73*1.03,2),"0.00")</f>
        <v>79.19~84.09</v>
      </c>
      <c r="K73" s="57">
        <f>ROUND(H73*0.03,2)</f>
        <v>2.4500000000000002</v>
      </c>
      <c r="L73" s="28"/>
      <c r="M73" s="43">
        <f>(H73-H73*0.97)+(H73-H73*1.03)</f>
        <v>0</v>
      </c>
      <c r="N73" s="116">
        <v>2</v>
      </c>
      <c r="O73" s="43">
        <v>2</v>
      </c>
      <c r="P73" s="28"/>
      <c r="Q73" s="50" t="str">
        <f>"Ins "&amp;B73&amp;" The standard batch Qty of "&amp;LEFT(C73,FIND("/",C73,1)-1)&amp;"/操作"&amp;LEFT(B73,FIND("/",B73,1)-1)&amp;"（用于Ins."&amp;MID(B73,FIND("/",B73,1)+1,100)&amp;"）"&amp;MID(C73,FIND("/",C73,1)+1,100)&amp;"标准投料量"</f>
        <v>Ins 1.10/3.15.2 The standard batch Qty of Fmoc-L-Thr(tBu)-OH/操作1.10（用于Ins.3.15.2）芴甲氧羰基-叔丁基-L-苏氨酸标准投料量</v>
      </c>
      <c r="R73" s="50" t="s">
        <v>619</v>
      </c>
      <c r="S73" s="50" t="s">
        <v>620</v>
      </c>
      <c r="T73" s="50" t="e">
        <f>R73&amp;#REF!&amp;S73</f>
        <v>#REF!</v>
      </c>
      <c r="U73" s="50">
        <f>COUNTIF($S$9:S73,_xlfn.IFNA(S73,$S$9:S73))+1</f>
        <v>14</v>
      </c>
      <c r="V73" s="50">
        <f>U73-1</f>
        <v>13</v>
      </c>
      <c r="W73" s="50" t="str">
        <f>"Update Ins "&amp;MID(B73,FIND("/",B73,1)+1,100)&amp;" plan qty of "&amp;LEFT(C73,FIND("/",C73,1)-1)&amp;"/更新操作"&amp;MID(B73,FIND("/",B73,1)+1,100)&amp;" "&amp;MID(C73,FIND("/",C73,1)+1,100)&amp;"计划量"</f>
        <v>Update Ins 3.15.2 plan qty of Fmoc-L-Thr(tBu)-OH/更新操作3.15.2 芴甲氧羰基-叔丁基-L-苏氨酸计划量</v>
      </c>
      <c r="X73" s="50" t="s">
        <v>621</v>
      </c>
      <c r="Y73" s="44" t="s">
        <v>659</v>
      </c>
      <c r="Z73" s="50" t="str">
        <f>X73&amp;MID(B73,FIND("/",B73,1)+1,100)&amp;Y73&amp;U73&amp;" Value})"</f>
        <v>updateWeighingPlanQuantity("3.15.2-1", PH:{Standard batch Qty calculation/标准投料量计算-02}.{14 Value})</v>
      </c>
      <c r="AB73" s="50" t="str">
        <f>"Ins "&amp;LEFT(B73,FIND("/",B73,1)-1)&amp;" Dispense "&amp;LEFT(C73,FIND("/",C73,1)-1)&amp;"/分装"&amp;MID(C73,FIND("/",C73,1)+1,100)</f>
        <v>Ins 1.10 Dispense Fmoc-L-Thr(tBu)-OH/分装芴甲氧羰基-叔丁基-L-苏氨酸</v>
      </c>
      <c r="AC73" s="50" t="str">
        <f>MID(B73,FIND("/",B73,1)+1,100)&amp;" "&amp;C73</f>
        <v>3.15.2 Fmoc-L-Thr(tBu)-OH/芴甲氧羰基-叔丁基-L-苏氨酸</v>
      </c>
    </row>
    <row r="74" spans="1:31" ht="30" customHeight="1">
      <c r="A74" s="33" t="str">
        <f t="shared" si="2"/>
        <v>3.15.4Oxymapure</v>
      </c>
      <c r="B74" s="28" t="s">
        <v>664</v>
      </c>
      <c r="C74" s="28" t="s">
        <v>644</v>
      </c>
      <c r="D74" s="34">
        <v>142.11000000000001</v>
      </c>
      <c r="E74" s="41" t="s">
        <v>613</v>
      </c>
      <c r="F74" s="35">
        <f>O74</f>
        <v>2</v>
      </c>
      <c r="G74" s="37" t="s">
        <v>613</v>
      </c>
      <c r="H74" s="48">
        <f>ROUND(O74*D74/1000*树脂信息!$D$4,2)</f>
        <v>29.19</v>
      </c>
      <c r="I74" s="28" t="s">
        <v>618</v>
      </c>
      <c r="J74" s="37" t="str">
        <f>TEXT(ROUND(H74*0.97,2),"0.00")&amp;"~"&amp;TEXT(ROUND(H74*1.03,2),"0.00")</f>
        <v>28.31~30.07</v>
      </c>
      <c r="K74" s="57">
        <f>ROUND(H74*0.03,2)</f>
        <v>0.88</v>
      </c>
      <c r="L74" s="28"/>
      <c r="M74" s="43">
        <f>(H74-H74*0.97)+(H74-H74*1.03)</f>
        <v>0</v>
      </c>
      <c r="N74" s="119">
        <v>2</v>
      </c>
      <c r="O74" s="43">
        <v>2</v>
      </c>
      <c r="P74" s="28"/>
      <c r="Q74" s="50" t="str">
        <f>"Ins "&amp;B74&amp;" The standard batch Qty of "&amp;LEFT(C74,FIND("/",C74,1)-1)&amp;"/操作"&amp;LEFT(B74,FIND("/",B74,1)-1)&amp;"（用于Ins."&amp;MID(B74,FIND("/",B74,1)+1,100)&amp;"）"&amp;MID(C74,FIND("/",C74,1)+1,100)&amp;"标准投料量"</f>
        <v>Ins 1.11/3.15.4 The standard batch Qty of Oxyma pure/操作1.11（用于Ins.3.15.4）2-肟氰乙酸乙酯标准投料量</v>
      </c>
      <c r="R74" s="50" t="s">
        <v>619</v>
      </c>
      <c r="S74" s="50" t="s">
        <v>620</v>
      </c>
      <c r="T74" s="50" t="e">
        <f>R74&amp;#REF!&amp;S74</f>
        <v>#REF!</v>
      </c>
      <c r="U74" s="50">
        <f>COUNTIF($S$9:S74,_xlfn.IFNA(S74,$S$9:S74))+1</f>
        <v>15</v>
      </c>
      <c r="V74" s="50">
        <f>U74-1</f>
        <v>14</v>
      </c>
      <c r="W74" s="50" t="str">
        <f>"Update Ins "&amp;MID(B74,FIND("/",B74,1)+1,100)&amp;" plan qty of "&amp;LEFT(C74,FIND("/",C74,1)-1)&amp;"/更新操作"&amp;MID(B74,FIND("/",B74,1)+1,100)&amp;" "&amp;MID(C74,FIND("/",C74,1)+1,100)&amp;"计划量"</f>
        <v>Update Ins 3.15.4 plan qty of Oxyma pure/更新操作3.15.4 2-肟氰乙酸乙酯计划量</v>
      </c>
      <c r="X74" s="50" t="s">
        <v>621</v>
      </c>
      <c r="Y74" s="44" t="s">
        <v>659</v>
      </c>
      <c r="Z74" s="50" t="str">
        <f>X74&amp;MID(B74,FIND("/",B74,1)+1,100)&amp;Y74&amp;U74&amp;" Value})"</f>
        <v>updateWeighingPlanQuantity("3.15.4-1", PH:{Standard batch Qty calculation/标准投料量计算-02}.{15 Value})</v>
      </c>
      <c r="AB74" s="50" t="str">
        <f>"Ins "&amp;LEFT(B74,FIND("/",B74,1)-1)&amp;" Dispense "&amp;LEFT(C74,FIND("/",C74,1)-1)&amp;"/分装"&amp;MID(C74,FIND("/",C74,1)+1,100)</f>
        <v>Ins 1.11 Dispense Oxyma pure/分装2-肟氰乙酸乙酯</v>
      </c>
      <c r="AC74" s="50" t="str">
        <f>MID(B74,FIND("/",B74,1)+1,100)&amp;" "&amp;C74</f>
        <v>3.15.4 Oxyma pure/2-肟氰乙酸乙酯</v>
      </c>
    </row>
    <row r="75" spans="1:31" ht="36.75" customHeight="1">
      <c r="A75" s="33" t="str">
        <f t="shared" si="2"/>
        <v>3.15.5DMF</v>
      </c>
      <c r="B75" s="28" t="s">
        <v>327</v>
      </c>
      <c r="C75" s="28" t="s">
        <v>612</v>
      </c>
      <c r="D75" s="34">
        <v>73.099999999999994</v>
      </c>
      <c r="E75" s="35">
        <v>0.94799999999999995</v>
      </c>
      <c r="F75" s="36" t="s">
        <v>613</v>
      </c>
      <c r="G75" s="37">
        <v>0.95</v>
      </c>
      <c r="H75" s="38" t="str">
        <f>TEXT(ROUND(G75*树脂信息!$C$4,2),"0.00")</f>
        <v>61.75</v>
      </c>
      <c r="I75" s="105" t="s">
        <v>614</v>
      </c>
      <c r="J75" s="37" t="str">
        <f>TEXT(ROUND(H75*0.94,2),"0.00")&amp;"~"&amp;TEXT(ROUND(H75*1.06,2),"0.00")</f>
        <v>58.05~65.46</v>
      </c>
      <c r="K75" s="28"/>
      <c r="L75" s="28"/>
      <c r="M75" s="57"/>
      <c r="N75" s="57"/>
      <c r="O75" s="57"/>
      <c r="P75" s="40">
        <v>1</v>
      </c>
      <c r="Q75" s="23"/>
    </row>
    <row r="76" spans="1:31" ht="30" customHeight="1">
      <c r="A76" s="33" t="str">
        <f t="shared" si="2"/>
        <v>3.15.6DIC</v>
      </c>
      <c r="B76" s="28" t="s">
        <v>665</v>
      </c>
      <c r="C76" s="28" t="s">
        <v>653</v>
      </c>
      <c r="D76" s="34">
        <v>126.2</v>
      </c>
      <c r="E76" s="41" t="s">
        <v>613</v>
      </c>
      <c r="F76" s="35">
        <f>O76</f>
        <v>2.2000000000000002</v>
      </c>
      <c r="G76" s="37" t="s">
        <v>613</v>
      </c>
      <c r="H76" s="48">
        <f>ROUND(O76*D76/1000*树脂信息!$D$4,2)</f>
        <v>28.51</v>
      </c>
      <c r="I76" s="49" t="s">
        <v>618</v>
      </c>
      <c r="J76" s="37" t="str">
        <f>TEXT(ROUND(H76*0.97,2),"0.00")&amp;"~"&amp;TEXT(ROUND(H76*1.03,2),"0.00")</f>
        <v>27.65~29.37</v>
      </c>
      <c r="K76" s="57">
        <f>ROUND(H76*0.03,2)</f>
        <v>0.86</v>
      </c>
      <c r="L76" s="28"/>
      <c r="M76" s="43">
        <f>(H76-H76*0.97)+(H76-H76*1.03)</f>
        <v>0</v>
      </c>
      <c r="N76" s="119">
        <v>2.2000000000000002</v>
      </c>
      <c r="O76" s="43">
        <v>2.2000000000000002</v>
      </c>
      <c r="P76" s="28"/>
      <c r="Q76" s="23"/>
    </row>
    <row r="77" spans="1:31" ht="36.75" customHeight="1">
      <c r="A77" s="33" t="str">
        <f t="shared" ref="A77:A108" si="3">IFERROR(SUBSTITUTE(IFERROR(MID(B77,FIND("/",B77,1)+1,LEN(B77)),B77)&amp;LEFT(C77,FIND("/",C77,1)-1)," ",""),"")</f>
        <v>3.16.2DMF</v>
      </c>
      <c r="B77" s="28" t="s">
        <v>329</v>
      </c>
      <c r="C77" s="28" t="s">
        <v>612</v>
      </c>
      <c r="D77" s="34">
        <v>73.099999999999994</v>
      </c>
      <c r="E77" s="35">
        <v>0.94799999999999995</v>
      </c>
      <c r="F77" s="36" t="s">
        <v>613</v>
      </c>
      <c r="G77" s="37">
        <v>0.95</v>
      </c>
      <c r="H77" s="38" t="str">
        <f>TEXT(ROUND(G77*树脂信息!$C$4,2),"0.00")</f>
        <v>61.75</v>
      </c>
      <c r="I77" s="105" t="s">
        <v>614</v>
      </c>
      <c r="J77" s="37" t="str">
        <f>TEXT(ROUND(H77*0.94,2),"0.00")&amp;"~"&amp;TEXT(ROUND(H77*1.06,2),"0.00")</f>
        <v>58.05~65.46</v>
      </c>
      <c r="K77" s="28"/>
      <c r="L77" s="28"/>
      <c r="M77" s="57"/>
      <c r="N77" s="57"/>
      <c r="O77" s="57"/>
      <c r="P77" s="40">
        <v>1</v>
      </c>
      <c r="Q77" s="23"/>
    </row>
    <row r="78" spans="1:31" ht="30" customHeight="1">
      <c r="A78" s="33" t="str">
        <f t="shared" si="3"/>
        <v>3.16.6DMF</v>
      </c>
      <c r="B78" s="601" t="s">
        <v>334</v>
      </c>
      <c r="C78" s="601" t="s">
        <v>612</v>
      </c>
      <c r="D78" s="34">
        <v>73.099999999999994</v>
      </c>
      <c r="E78" s="35">
        <v>0.94799999999999995</v>
      </c>
      <c r="F78" s="36" t="s">
        <v>613</v>
      </c>
      <c r="G78" s="37">
        <v>7.58</v>
      </c>
      <c r="H78" s="38" t="str">
        <f>TEXT(ROUND(G78*树脂信息!$C$4,2),"0.00")</f>
        <v>492.70</v>
      </c>
      <c r="I78" s="105" t="s">
        <v>614</v>
      </c>
      <c r="J78" s="37" t="str">
        <f>TEXT(ROUND(H78*0.94,2),"0.00")&amp;"~"&amp;TEXT(ROUND(H78*1.06,2),"0.00")</f>
        <v>463.14~522.26</v>
      </c>
      <c r="K78" s="28"/>
      <c r="L78" s="28" t="s">
        <v>625</v>
      </c>
      <c r="M78" s="39"/>
      <c r="N78" s="39"/>
      <c r="O78" s="39"/>
      <c r="P78" s="40">
        <v>8</v>
      </c>
      <c r="Q78" s="23"/>
    </row>
    <row r="79" spans="1:31" ht="30" customHeight="1">
      <c r="A79" s="33" t="str">
        <f t="shared" si="3"/>
        <v/>
      </c>
      <c r="B79" s="601"/>
      <c r="C79" s="601"/>
      <c r="D79" s="602" t="s">
        <v>626</v>
      </c>
      <c r="E79" s="602"/>
      <c r="F79" s="602"/>
      <c r="G79" s="602"/>
      <c r="H79" s="602"/>
      <c r="I79" s="602"/>
      <c r="J79" s="602"/>
      <c r="K79" s="602"/>
      <c r="L79" s="602"/>
      <c r="M79" s="39"/>
      <c r="N79" s="39"/>
      <c r="O79" s="39"/>
      <c r="P79" s="52"/>
      <c r="Q79" s="23"/>
    </row>
    <row r="80" spans="1:31" ht="36.75" customHeight="1">
      <c r="A80" s="33" t="str">
        <f t="shared" si="3"/>
        <v/>
      </c>
      <c r="B80" s="45" t="s">
        <v>666</v>
      </c>
      <c r="C80" s="46"/>
      <c r="D80" s="45"/>
      <c r="E80" s="47"/>
      <c r="F80" s="72"/>
      <c r="G80" s="47"/>
      <c r="H80" s="45"/>
      <c r="I80" s="45"/>
      <c r="J80" s="45"/>
      <c r="K80" s="45"/>
      <c r="L80" s="45"/>
      <c r="M80" s="39"/>
      <c r="N80" s="39"/>
      <c r="O80" s="39"/>
      <c r="P80" s="45"/>
      <c r="Q80" s="23"/>
    </row>
    <row r="81" spans="1:31" ht="30" customHeight="1">
      <c r="A81" s="33" t="str">
        <f t="shared" si="3"/>
        <v>3.17.120%piperidinesolution</v>
      </c>
      <c r="B81" s="70" t="s">
        <v>337</v>
      </c>
      <c r="C81" s="70" t="s">
        <v>635</v>
      </c>
      <c r="D81" s="54" t="s">
        <v>613</v>
      </c>
      <c r="E81" s="35">
        <v>0.93100000000000005</v>
      </c>
      <c r="F81" s="36" t="s">
        <v>613</v>
      </c>
      <c r="G81" s="37">
        <v>7.44</v>
      </c>
      <c r="H81" s="38" t="str">
        <f>TEXT(ROUND(G81*树脂信息!$C$4,2),"0.00")</f>
        <v>483.60</v>
      </c>
      <c r="I81" s="105" t="s">
        <v>614</v>
      </c>
      <c r="J81" s="37" t="str">
        <f>TEXT(ROUND(H81*0.94,2),"0.00")&amp;"~"&amp;TEXT(ROUND(H81*1.06,2),"0.00")</f>
        <v>454.58~512.62</v>
      </c>
      <c r="K81" s="28"/>
      <c r="L81" s="28"/>
      <c r="M81" s="39"/>
      <c r="N81" s="39"/>
      <c r="O81" s="39"/>
      <c r="P81" s="40">
        <v>8</v>
      </c>
      <c r="Q81" s="23"/>
    </row>
    <row r="82" spans="1:31" ht="30" customHeight="1">
      <c r="A82" s="33" t="str">
        <f t="shared" si="3"/>
        <v>3.17.4IPAC</v>
      </c>
      <c r="B82" s="601" t="s">
        <v>340</v>
      </c>
      <c r="C82" s="601" t="s">
        <v>637</v>
      </c>
      <c r="D82" s="34"/>
      <c r="E82" s="35">
        <v>0.873</v>
      </c>
      <c r="F82" s="36" t="s">
        <v>613</v>
      </c>
      <c r="G82" s="37">
        <v>6.98</v>
      </c>
      <c r="H82" s="38" t="str">
        <f>TEXT(ROUND(G82*树脂信息!$C$4,2),"0.00")</f>
        <v>453.70</v>
      </c>
      <c r="I82" s="105" t="s">
        <v>614</v>
      </c>
      <c r="J82" s="37" t="str">
        <f>TEXT(ROUND(H82*0.94,2),"0.00")&amp;"~"&amp;TEXT(ROUND(H82*1.06,2),"0.00")</f>
        <v>426.48~480.92</v>
      </c>
      <c r="K82" s="28"/>
      <c r="L82" s="28" t="s">
        <v>625</v>
      </c>
      <c r="M82" s="39"/>
      <c r="N82" s="39"/>
      <c r="O82" s="39"/>
      <c r="P82" s="40">
        <v>8</v>
      </c>
      <c r="Q82" s="23"/>
    </row>
    <row r="83" spans="1:31" ht="30" customHeight="1">
      <c r="A83" s="33" t="str">
        <f t="shared" si="3"/>
        <v/>
      </c>
      <c r="B83" s="601"/>
      <c r="C83" s="601"/>
      <c r="D83" s="602" t="s">
        <v>626</v>
      </c>
      <c r="E83" s="602"/>
      <c r="F83" s="602"/>
      <c r="G83" s="602"/>
      <c r="H83" s="602"/>
      <c r="I83" s="602"/>
      <c r="J83" s="602"/>
      <c r="K83" s="602"/>
      <c r="L83" s="602"/>
      <c r="M83" s="39"/>
      <c r="N83" s="39"/>
      <c r="O83" s="39"/>
      <c r="P83" s="52"/>
      <c r="Q83" s="23"/>
    </row>
    <row r="84" spans="1:31" ht="30" customHeight="1">
      <c r="A84" s="33" t="str">
        <f t="shared" si="3"/>
        <v/>
      </c>
      <c r="B84" s="601"/>
      <c r="C84" s="601"/>
      <c r="D84" s="602" t="s">
        <v>647</v>
      </c>
      <c r="E84" s="602"/>
      <c r="F84" s="602"/>
      <c r="G84" s="602"/>
      <c r="H84" s="602"/>
      <c r="I84" s="602"/>
      <c r="J84" s="602"/>
      <c r="K84" s="602"/>
      <c r="L84" s="602"/>
      <c r="M84" s="39"/>
      <c r="N84" s="39"/>
      <c r="O84" s="39"/>
      <c r="P84" s="52"/>
      <c r="Q84" s="23"/>
    </row>
    <row r="85" spans="1:31" ht="30" customHeight="1">
      <c r="A85" s="33" t="str">
        <f t="shared" si="3"/>
        <v>3.17.5DMF</v>
      </c>
      <c r="B85" s="70" t="s">
        <v>342</v>
      </c>
      <c r="C85" s="70" t="s">
        <v>612</v>
      </c>
      <c r="D85" s="34">
        <v>73.099999999999994</v>
      </c>
      <c r="E85" s="35">
        <v>0.94799999999999995</v>
      </c>
      <c r="F85" s="36" t="s">
        <v>613</v>
      </c>
      <c r="G85" s="37">
        <v>7.58</v>
      </c>
      <c r="H85" s="38" t="str">
        <f>TEXT(ROUND(G85*树脂信息!$C$4,2),"0.00")</f>
        <v>492.70</v>
      </c>
      <c r="I85" s="105" t="s">
        <v>614</v>
      </c>
      <c r="J85" s="37" t="str">
        <f>TEXT(ROUND(H85*0.94,2),"0.00")&amp;"~"&amp;TEXT(ROUND(H85*1.06,2),"0.00")</f>
        <v>463.14~522.26</v>
      </c>
      <c r="K85" s="70"/>
      <c r="L85" s="70"/>
      <c r="M85" s="52"/>
      <c r="N85" s="52"/>
      <c r="O85" s="52"/>
      <c r="P85" s="40">
        <v>8</v>
      </c>
      <c r="Q85" s="23"/>
    </row>
    <row r="86" spans="1:31" ht="30" customHeight="1">
      <c r="A86" s="33" t="str">
        <f t="shared" si="3"/>
        <v>3.17.7DMF</v>
      </c>
      <c r="B86" s="70" t="s">
        <v>344</v>
      </c>
      <c r="C86" s="70" t="s">
        <v>612</v>
      </c>
      <c r="D86" s="34">
        <v>73.099999999999994</v>
      </c>
      <c r="E86" s="35">
        <v>0.94799999999999995</v>
      </c>
      <c r="F86" s="36" t="s">
        <v>613</v>
      </c>
      <c r="G86" s="37">
        <v>7.58</v>
      </c>
      <c r="H86" s="38" t="str">
        <f>TEXT(ROUND(G86*树脂信息!$C$4,2),"0.00")</f>
        <v>492.70</v>
      </c>
      <c r="I86" s="105" t="s">
        <v>614</v>
      </c>
      <c r="J86" s="37" t="str">
        <f>TEXT(ROUND(H86*0.94,2),"0.00")&amp;"~"&amp;TEXT(ROUND(H86*1.06,2),"0.00")</f>
        <v>463.14~522.26</v>
      </c>
      <c r="K86" s="28"/>
      <c r="L86" s="28"/>
      <c r="M86" s="39"/>
      <c r="N86" s="39"/>
      <c r="O86" s="39"/>
      <c r="P86" s="40">
        <v>8</v>
      </c>
      <c r="Q86" s="23"/>
    </row>
    <row r="87" spans="1:31" ht="30" customHeight="1">
      <c r="A87" s="85" t="str">
        <f t="shared" si="3"/>
        <v>3.18.1DMF</v>
      </c>
      <c r="B87" s="105" t="s">
        <v>347</v>
      </c>
      <c r="C87" s="105" t="s">
        <v>612</v>
      </c>
      <c r="D87" s="34">
        <v>73.099999999999994</v>
      </c>
      <c r="E87" s="35">
        <v>0.94799999999999995</v>
      </c>
      <c r="F87" s="36" t="s">
        <v>613</v>
      </c>
      <c r="G87" s="37">
        <v>5.69</v>
      </c>
      <c r="H87" s="38" t="str">
        <f>TEXT(ROUND(G87*树脂信息!$C$4,2),"0.00")</f>
        <v>369.85</v>
      </c>
      <c r="I87" s="105" t="s">
        <v>615</v>
      </c>
      <c r="J87" s="37" t="str">
        <f>TEXT(ROUND(H87*0.95,2),"0.00")&amp;"~"&amp;TEXT(ROUND(H87*1.05,2),"0.00")</f>
        <v>351.36~388.34</v>
      </c>
      <c r="K87" s="105"/>
      <c r="L87" s="105"/>
      <c r="M87" s="84"/>
      <c r="N87" s="84"/>
      <c r="O87" s="84"/>
      <c r="P87" s="40">
        <v>6</v>
      </c>
      <c r="Q87" s="23"/>
      <c r="R87" s="73"/>
      <c r="S87" s="73"/>
      <c r="T87" s="73"/>
      <c r="U87" s="73"/>
      <c r="V87" s="73"/>
      <c r="W87" s="73"/>
      <c r="X87" s="73"/>
      <c r="Y87" s="73"/>
      <c r="Z87" s="73"/>
      <c r="AA87" s="73"/>
      <c r="AB87" s="73"/>
      <c r="AC87" s="73"/>
      <c r="AD87" s="73"/>
      <c r="AE87" s="73"/>
    </row>
    <row r="88" spans="1:31" ht="30" customHeight="1">
      <c r="A88" s="33" t="str">
        <f t="shared" si="3"/>
        <v>3.18.2Fmoc-L-Ala-OH·H2O</v>
      </c>
      <c r="B88" s="28" t="s">
        <v>667</v>
      </c>
      <c r="C88" s="28" t="s">
        <v>650</v>
      </c>
      <c r="D88" s="34">
        <v>329.35</v>
      </c>
      <c r="E88" s="41" t="s">
        <v>613</v>
      </c>
      <c r="F88" s="35">
        <f>O88</f>
        <v>2</v>
      </c>
      <c r="G88" s="37" t="s">
        <v>613</v>
      </c>
      <c r="H88" s="48">
        <f>ROUND(O88*D88/1000*树脂信息!$D$4,2)</f>
        <v>67.650000000000006</v>
      </c>
      <c r="I88" s="28" t="s">
        <v>618</v>
      </c>
      <c r="J88" s="37" t="str">
        <f>TEXT(ROUND(H88*0.97,2),"0.00")&amp;"~"&amp;TEXT(ROUND(H88*1.03,2),"0.00")</f>
        <v>65.62~69.68</v>
      </c>
      <c r="K88" s="57">
        <f>ROUND(H88*0.03,2)</f>
        <v>2.0299999999999998</v>
      </c>
      <c r="L88" s="28"/>
      <c r="M88" s="43">
        <f>(H88-H88*0.97)+(H88-H88*1.03)</f>
        <v>0</v>
      </c>
      <c r="N88" s="119">
        <v>2</v>
      </c>
      <c r="O88" s="43">
        <v>2</v>
      </c>
      <c r="P88" s="28"/>
      <c r="Q88" s="50" t="str">
        <f>"Ins "&amp;B88&amp;" The standard batch Qty of "&amp;LEFT(C88,FIND("/",C88,1)-1)&amp;"/操作"&amp;LEFT(B88,FIND("/",B88,1)-1)&amp;"（用于Ins."&amp;MID(B88,FIND("/",B88,1)+1,100)&amp;"）"&amp;MID(C88,FIND("/",C88,1)+1,100)&amp;"标准投料量"</f>
        <v>Ins 1.12/3.18.2 The standard batch Qty of Fmoc-L-Ala-OH·H2O/操作1.12（用于Ins.3.18.2）芴甲氧羰基-L-丙氨酸一水合物标准投料量</v>
      </c>
      <c r="R88" s="50" t="s">
        <v>619</v>
      </c>
      <c r="S88" s="50" t="s">
        <v>620</v>
      </c>
      <c r="T88" s="50" t="e">
        <f>R88&amp;#REF!&amp;S88</f>
        <v>#REF!</v>
      </c>
      <c r="U88" s="50">
        <f>COUNTIF($S$9:S88,_xlfn.IFNA(S88,$S$9:S88))+1</f>
        <v>16</v>
      </c>
      <c r="V88" s="50">
        <f>U88-1</f>
        <v>15</v>
      </c>
      <c r="W88" s="50" t="str">
        <f>"Update Ins "&amp;MID(B88,FIND("/",B88,1)+1,100)&amp;" plan qty of "&amp;LEFT(C88,FIND("/",C88,1)-1)&amp;"/更新操作"&amp;MID(B88,FIND("/",B88,1)+1,100)&amp;" "&amp;MID(C88,FIND("/",C88,1)+1,100)&amp;"计划量"</f>
        <v>Update Ins 3.18.2 plan qty of Fmoc-L-Ala-OH·H2O/更新操作3.18.2 芴甲氧羰基-L-丙氨酸一水合物计划量</v>
      </c>
      <c r="X88" s="50" t="s">
        <v>621</v>
      </c>
      <c r="Y88" s="44" t="s">
        <v>659</v>
      </c>
      <c r="Z88" s="50" t="str">
        <f>X88&amp;MID(B88,FIND("/",B88,1)+1,100)&amp;Y88&amp;U88&amp;" Value})"</f>
        <v>updateWeighingPlanQuantity("3.18.2-1", PH:{Standard batch Qty calculation/标准投料量计算-02}.{16 Value})</v>
      </c>
      <c r="AB88" s="50" t="str">
        <f>"Ins "&amp;LEFT(B88,FIND("/",B88,1)-1)&amp;" Dispense "&amp;LEFT(C88,FIND("/",C88,1)-1)&amp;"/分装"&amp;MID(C88,FIND("/",C88,1)+1,100)</f>
        <v>Ins 1.12 Dispense Fmoc-L-Ala-OH·H2O/分装芴甲氧羰基-L-丙氨酸一水合物</v>
      </c>
      <c r="AC88" s="50" t="str">
        <f>MID(B88,FIND("/",B88,1)+1,100)&amp;" "&amp;C88</f>
        <v>3.18.2 Fmoc-L-Ala-OH·H2O/芴甲氧羰基-L-丙氨酸一水合物</v>
      </c>
    </row>
    <row r="89" spans="1:31" ht="36.75" customHeight="1">
      <c r="A89" s="33" t="str">
        <f t="shared" si="3"/>
        <v>3.18.4Oxymapure</v>
      </c>
      <c r="B89" s="28" t="s">
        <v>668</v>
      </c>
      <c r="C89" s="28" t="s">
        <v>644</v>
      </c>
      <c r="D89" s="34">
        <v>142.11000000000001</v>
      </c>
      <c r="E89" s="41" t="s">
        <v>613</v>
      </c>
      <c r="F89" s="35">
        <f>O89</f>
        <v>2</v>
      </c>
      <c r="G89" s="37" t="s">
        <v>613</v>
      </c>
      <c r="H89" s="48">
        <f>ROUND(O89*D89/1000*树脂信息!$D$4,2)</f>
        <v>29.19</v>
      </c>
      <c r="I89" s="28" t="s">
        <v>618</v>
      </c>
      <c r="J89" s="37" t="str">
        <f>TEXT(ROUND(H89*0.97,2),"0.00")&amp;"~"&amp;TEXT(ROUND(H89*1.03,2),"0.00")</f>
        <v>28.31~30.07</v>
      </c>
      <c r="K89" s="57">
        <f>ROUND(H89*0.03,2)</f>
        <v>0.88</v>
      </c>
      <c r="L89" s="28"/>
      <c r="M89" s="43">
        <f>(H89-H89*0.97)+(H89-H89*1.03)</f>
        <v>0</v>
      </c>
      <c r="N89" s="119">
        <v>2</v>
      </c>
      <c r="O89" s="43">
        <v>2</v>
      </c>
      <c r="P89" s="28"/>
      <c r="Q89" s="50" t="str">
        <f>"Ins "&amp;B89&amp;" The standard batch Qty of "&amp;LEFT(C89,FIND("/",C89,1)-1)&amp;"/操作"&amp;LEFT(B89,FIND("/",B89,1)-1)&amp;"（用于Ins."&amp;MID(B89,FIND("/",B89,1)+1,100)&amp;"）"&amp;MID(C89,FIND("/",C89,1)+1,100)&amp;"标准投料量"</f>
        <v>Ins 1.13/3.18.4 The standard batch Qty of Oxyma pure/操作1.13（用于Ins.3.18.4）2-肟氰乙酸乙酯标准投料量</v>
      </c>
      <c r="R89" s="50" t="s">
        <v>619</v>
      </c>
      <c r="S89" s="50" t="s">
        <v>620</v>
      </c>
      <c r="T89" s="50" t="e">
        <f>R89&amp;#REF!&amp;S89</f>
        <v>#REF!</v>
      </c>
      <c r="U89" s="50">
        <f>COUNTIF($S$9:S89,_xlfn.IFNA(S89,$S$9:S89))+1</f>
        <v>17</v>
      </c>
      <c r="V89" s="50">
        <f>U89-1</f>
        <v>16</v>
      </c>
      <c r="W89" s="50" t="str">
        <f>"Update Ins "&amp;MID(B89,FIND("/",B89,1)+1,100)&amp;" plan qty of "&amp;LEFT(C89,FIND("/",C89,1)-1)&amp;"/更新操作"&amp;MID(B89,FIND("/",B89,1)+1,100)&amp;" "&amp;MID(C89,FIND("/",C89,1)+1,100)&amp;"计划量"</f>
        <v>Update Ins 3.18.4 plan qty of Oxyma pure/更新操作3.18.4 2-肟氰乙酸乙酯计划量</v>
      </c>
      <c r="X89" s="50" t="s">
        <v>621</v>
      </c>
      <c r="Y89" s="44" t="s">
        <v>659</v>
      </c>
      <c r="Z89" s="50" t="str">
        <f>X89&amp;MID(B89,FIND("/",B89,1)+1,100)&amp;Y89&amp;U89&amp;" Value})"</f>
        <v>updateWeighingPlanQuantity("3.18.4-1", PH:{Standard batch Qty calculation/标准投料量计算-02}.{17 Value})</v>
      </c>
      <c r="AB89" s="50" t="str">
        <f>"Ins "&amp;LEFT(B89,FIND("/",B89,1)-1)&amp;" Dispense "&amp;LEFT(C89,FIND("/",C89,1)-1)&amp;"/分装"&amp;MID(C89,FIND("/",C89,1)+1,100)</f>
        <v>Ins 1.13 Dispense Oxyma pure/分装2-肟氰乙酸乙酯</v>
      </c>
      <c r="AC89" s="50" t="str">
        <f>MID(B89,FIND("/",B89,1)+1,100)&amp;" "&amp;C89</f>
        <v>3.18.4 Oxyma pure/2-肟氰乙酸乙酯</v>
      </c>
    </row>
    <row r="90" spans="1:31" ht="30" customHeight="1">
      <c r="A90" s="33" t="str">
        <f t="shared" si="3"/>
        <v>3.18.5DMF</v>
      </c>
      <c r="B90" s="28" t="s">
        <v>348</v>
      </c>
      <c r="C90" s="28" t="s">
        <v>612</v>
      </c>
      <c r="D90" s="34">
        <v>73.099999999999994</v>
      </c>
      <c r="E90" s="35">
        <v>0.94799999999999995</v>
      </c>
      <c r="F90" s="36" t="s">
        <v>613</v>
      </c>
      <c r="G90" s="37">
        <v>0.95</v>
      </c>
      <c r="H90" s="38" t="str">
        <f>TEXT(ROUND(G90*树脂信息!$C$4,2),"0.00")</f>
        <v>61.75</v>
      </c>
      <c r="I90" s="105" t="s">
        <v>614</v>
      </c>
      <c r="J90" s="37" t="str">
        <f>TEXT(ROUND(H90*0.94,2),"0.00")&amp;"~"&amp;TEXT(ROUND(H90*1.06,2),"0.00")</f>
        <v>58.05~65.46</v>
      </c>
      <c r="K90" s="28"/>
      <c r="L90" s="28"/>
      <c r="M90" s="57"/>
      <c r="N90" s="57"/>
      <c r="O90" s="57"/>
      <c r="P90" s="40">
        <v>1</v>
      </c>
      <c r="Q90" s="23"/>
    </row>
    <row r="91" spans="1:31" ht="36.75" customHeight="1">
      <c r="A91" s="33" t="str">
        <f t="shared" si="3"/>
        <v>3.18.6DIC</v>
      </c>
      <c r="B91" s="28" t="s">
        <v>669</v>
      </c>
      <c r="C91" s="28" t="s">
        <v>670</v>
      </c>
      <c r="D91" s="34">
        <v>126.2</v>
      </c>
      <c r="E91" s="41" t="s">
        <v>613</v>
      </c>
      <c r="F91" s="35">
        <f>O91</f>
        <v>2.2000000000000002</v>
      </c>
      <c r="G91" s="37" t="s">
        <v>613</v>
      </c>
      <c r="H91" s="48">
        <f>ROUND(O91*D91/1000*树脂信息!$D$4,2)</f>
        <v>28.51</v>
      </c>
      <c r="I91" s="49" t="s">
        <v>618</v>
      </c>
      <c r="J91" s="37" t="str">
        <f>TEXT(ROUND(H91*0.97,2),"0.00")&amp;"~"&amp;TEXT(ROUND(H91*1.03,2),"0.00")</f>
        <v>27.65~29.37</v>
      </c>
      <c r="K91" s="57">
        <f>ROUND(H91*0.03,2)</f>
        <v>0.86</v>
      </c>
      <c r="L91" s="28"/>
      <c r="M91" s="43">
        <f>(H91-H91*0.97)+(H91-H91*1.03)</f>
        <v>0</v>
      </c>
      <c r="N91" s="119">
        <v>2.2000000000000002</v>
      </c>
      <c r="O91" s="43">
        <v>2.2000000000000002</v>
      </c>
      <c r="P91" s="28"/>
      <c r="Q91" s="23"/>
    </row>
    <row r="92" spans="1:31" ht="30" customHeight="1">
      <c r="A92" s="33" t="str">
        <f t="shared" si="3"/>
        <v>3.19.2DMF</v>
      </c>
      <c r="B92" s="28" t="s">
        <v>350</v>
      </c>
      <c r="C92" s="28" t="s">
        <v>612</v>
      </c>
      <c r="D92" s="34">
        <v>73.099999999999994</v>
      </c>
      <c r="E92" s="35">
        <v>0.94799999999999995</v>
      </c>
      <c r="F92" s="36" t="s">
        <v>613</v>
      </c>
      <c r="G92" s="37">
        <v>0.95</v>
      </c>
      <c r="H92" s="38" t="str">
        <f>TEXT(ROUND(G92*树脂信息!$C$4,2),"0.00")</f>
        <v>61.75</v>
      </c>
      <c r="I92" s="105" t="s">
        <v>614</v>
      </c>
      <c r="J92" s="37" t="str">
        <f>TEXT(ROUND(H92*0.94,2),"0.00")&amp;"~"&amp;TEXT(ROUND(H92*1.06,2),"0.00")</f>
        <v>58.05~65.46</v>
      </c>
      <c r="K92" s="28"/>
      <c r="L92" s="28"/>
      <c r="M92" s="57"/>
      <c r="N92" s="57"/>
      <c r="O92" s="57"/>
      <c r="P92" s="40">
        <v>1</v>
      </c>
      <c r="Q92" s="23"/>
    </row>
    <row r="93" spans="1:31" ht="30" customHeight="1">
      <c r="A93" s="33" t="str">
        <f t="shared" si="3"/>
        <v>3.19.6DMF</v>
      </c>
      <c r="B93" s="601" t="s">
        <v>356</v>
      </c>
      <c r="C93" s="601" t="s">
        <v>612</v>
      </c>
      <c r="D93" s="34">
        <v>73.099999999999994</v>
      </c>
      <c r="E93" s="35">
        <v>0.94799999999999995</v>
      </c>
      <c r="F93" s="36" t="s">
        <v>613</v>
      </c>
      <c r="G93" s="37">
        <v>9.48</v>
      </c>
      <c r="H93" s="38" t="str">
        <f>TEXT(ROUND(G93*树脂信息!$C$4,2),"0.00")</f>
        <v>616.20</v>
      </c>
      <c r="I93" s="105" t="s">
        <v>614</v>
      </c>
      <c r="J93" s="37" t="str">
        <f>TEXT(ROUND(H93*0.94,2),"0.00")&amp;"~"&amp;TEXT(ROUND(H93*1.06,2),"0.00")</f>
        <v>579.23~653.17</v>
      </c>
      <c r="K93" s="28"/>
      <c r="L93" s="28" t="s">
        <v>625</v>
      </c>
      <c r="M93" s="39"/>
      <c r="N93" s="39"/>
      <c r="O93" s="39"/>
      <c r="P93" s="40">
        <v>10</v>
      </c>
      <c r="Q93" s="23"/>
    </row>
    <row r="94" spans="1:31" ht="36.75" customHeight="1">
      <c r="A94" s="33" t="str">
        <f t="shared" si="3"/>
        <v/>
      </c>
      <c r="B94" s="601"/>
      <c r="C94" s="601"/>
      <c r="D94" s="602" t="s">
        <v>626</v>
      </c>
      <c r="E94" s="602"/>
      <c r="F94" s="602"/>
      <c r="G94" s="602"/>
      <c r="H94" s="602"/>
      <c r="I94" s="602"/>
      <c r="J94" s="602"/>
      <c r="K94" s="602"/>
      <c r="L94" s="602"/>
      <c r="M94" s="39"/>
      <c r="N94" s="39"/>
      <c r="O94" s="39"/>
      <c r="P94" s="52"/>
      <c r="Q94" s="23"/>
    </row>
    <row r="95" spans="1:31" ht="30" customHeight="1">
      <c r="A95" s="33" t="str">
        <f t="shared" si="3"/>
        <v/>
      </c>
      <c r="B95" s="45" t="s">
        <v>671</v>
      </c>
      <c r="C95" s="46"/>
      <c r="D95" s="45"/>
      <c r="E95" s="47"/>
      <c r="F95" s="59"/>
      <c r="G95" s="47"/>
      <c r="H95" s="45"/>
      <c r="I95" s="45"/>
      <c r="J95" s="45"/>
      <c r="K95" s="45"/>
      <c r="L95" s="45"/>
      <c r="M95" s="39"/>
      <c r="N95" s="39"/>
      <c r="O95" s="39"/>
      <c r="P95" s="45"/>
      <c r="Q95" s="23"/>
    </row>
    <row r="96" spans="1:31" ht="30" customHeight="1">
      <c r="A96" s="33" t="str">
        <f t="shared" si="3"/>
        <v>3.20.120%piperidinesolution</v>
      </c>
      <c r="B96" s="69" t="s">
        <v>360</v>
      </c>
      <c r="C96" s="69" t="s">
        <v>635</v>
      </c>
      <c r="D96" s="54" t="s">
        <v>613</v>
      </c>
      <c r="E96" s="35">
        <v>0.93100000000000005</v>
      </c>
      <c r="F96" s="36" t="s">
        <v>613</v>
      </c>
      <c r="G96" s="37">
        <v>7.44</v>
      </c>
      <c r="H96" s="38" t="str">
        <f>TEXT(ROUND(G96*树脂信息!$C$4,2),"0.00")</f>
        <v>483.60</v>
      </c>
      <c r="I96" s="105" t="s">
        <v>614</v>
      </c>
      <c r="J96" s="37" t="str">
        <f>TEXT(ROUND(H96*0.94,2),"0.00")&amp;"~"&amp;TEXT(ROUND(H96*1.06,2),"0.00")</f>
        <v>454.58~512.62</v>
      </c>
      <c r="K96" s="28"/>
      <c r="L96" s="28" t="s">
        <v>625</v>
      </c>
      <c r="M96" s="39"/>
      <c r="N96" s="39"/>
      <c r="O96" s="39"/>
      <c r="P96" s="40">
        <v>8</v>
      </c>
      <c r="Q96" s="23"/>
    </row>
    <row r="97" spans="1:31" ht="30" customHeight="1">
      <c r="A97" s="33" t="str">
        <f t="shared" si="3"/>
        <v>3.20.4IPAC</v>
      </c>
      <c r="B97" s="601" t="s">
        <v>364</v>
      </c>
      <c r="C97" s="601" t="s">
        <v>637</v>
      </c>
      <c r="D97" s="34"/>
      <c r="E97" s="35">
        <v>0.873</v>
      </c>
      <c r="F97" s="36" t="s">
        <v>613</v>
      </c>
      <c r="G97" s="37">
        <v>8.73</v>
      </c>
      <c r="H97" s="38" t="str">
        <f>TEXT(ROUND(G97*树脂信息!$C$4,2),"0.00")</f>
        <v>567.45</v>
      </c>
      <c r="I97" s="105" t="s">
        <v>614</v>
      </c>
      <c r="J97" s="37" t="str">
        <f>TEXT(ROUND(H97*0.94,2),"0.00")&amp;"~"&amp;TEXT(ROUND(H97*1.06,2),"0.00")</f>
        <v>533.40~601.50</v>
      </c>
      <c r="K97" s="28"/>
      <c r="L97" s="28" t="s">
        <v>625</v>
      </c>
      <c r="M97" s="39"/>
      <c r="N97" s="39"/>
      <c r="O97" s="39"/>
      <c r="P97" s="40">
        <v>10</v>
      </c>
      <c r="Q97" s="23"/>
    </row>
    <row r="98" spans="1:31" ht="30" customHeight="1">
      <c r="A98" s="33" t="str">
        <f t="shared" si="3"/>
        <v/>
      </c>
      <c r="B98" s="601"/>
      <c r="C98" s="601"/>
      <c r="D98" s="602" t="s">
        <v>626</v>
      </c>
      <c r="E98" s="602"/>
      <c r="F98" s="602"/>
      <c r="G98" s="602"/>
      <c r="H98" s="602"/>
      <c r="I98" s="602"/>
      <c r="J98" s="602"/>
      <c r="K98" s="602"/>
      <c r="L98" s="602"/>
      <c r="M98" s="39"/>
      <c r="N98" s="39"/>
      <c r="O98" s="39"/>
      <c r="P98" s="52"/>
      <c r="Q98" s="23"/>
    </row>
    <row r="99" spans="1:31" ht="30" customHeight="1">
      <c r="A99" s="33" t="str">
        <f t="shared" si="3"/>
        <v/>
      </c>
      <c r="B99" s="601"/>
      <c r="C99" s="601"/>
      <c r="D99" s="602" t="s">
        <v>647</v>
      </c>
      <c r="E99" s="602"/>
      <c r="F99" s="602"/>
      <c r="G99" s="602"/>
      <c r="H99" s="602"/>
      <c r="I99" s="602"/>
      <c r="J99" s="602"/>
      <c r="K99" s="602"/>
      <c r="L99" s="602"/>
      <c r="M99" s="39"/>
      <c r="N99" s="39"/>
      <c r="O99" s="39"/>
      <c r="P99" s="52"/>
      <c r="Q99" s="23"/>
    </row>
    <row r="100" spans="1:31" ht="30" customHeight="1">
      <c r="A100" s="33" t="str">
        <f t="shared" si="3"/>
        <v>3.20.5DMF</v>
      </c>
      <c r="B100" s="70" t="s">
        <v>368</v>
      </c>
      <c r="C100" s="70" t="s">
        <v>612</v>
      </c>
      <c r="D100" s="34">
        <v>73.099999999999994</v>
      </c>
      <c r="E100" s="35">
        <v>0.94799999999999995</v>
      </c>
      <c r="F100" s="36" t="s">
        <v>613</v>
      </c>
      <c r="G100" s="37">
        <v>9.48</v>
      </c>
      <c r="H100" s="38" t="str">
        <f>TEXT(ROUND(G100*树脂信息!$C$4,2),"0.00")</f>
        <v>616.20</v>
      </c>
      <c r="I100" s="105" t="s">
        <v>614</v>
      </c>
      <c r="J100" s="37" t="str">
        <f>TEXT(ROUND(H100*0.94,2),"0.00")&amp;"~"&amp;TEXT(ROUND(H100*1.06,2),"0.00")</f>
        <v>579.23~653.17</v>
      </c>
      <c r="K100" s="70"/>
      <c r="L100" s="70"/>
      <c r="M100" s="52"/>
      <c r="N100" s="52"/>
      <c r="O100" s="52"/>
      <c r="P100" s="40">
        <v>10</v>
      </c>
      <c r="Q100" s="23"/>
    </row>
    <row r="101" spans="1:31" ht="30" customHeight="1">
      <c r="A101" s="33" t="str">
        <f t="shared" si="3"/>
        <v>3.20.7DMF</v>
      </c>
      <c r="B101" s="70" t="s">
        <v>370</v>
      </c>
      <c r="C101" s="70" t="s">
        <v>612</v>
      </c>
      <c r="D101" s="34">
        <v>73.099999999999994</v>
      </c>
      <c r="E101" s="35">
        <v>0.94799999999999995</v>
      </c>
      <c r="F101" s="36" t="s">
        <v>613</v>
      </c>
      <c r="G101" s="37">
        <v>9.48</v>
      </c>
      <c r="H101" s="38" t="str">
        <f>TEXT(ROUND(G101*树脂信息!$C$4,2),"0.00")</f>
        <v>616.20</v>
      </c>
      <c r="I101" s="105" t="s">
        <v>614</v>
      </c>
      <c r="J101" s="37" t="str">
        <f>TEXT(ROUND(H101*0.94,2),"0.00")&amp;"~"&amp;TEXT(ROUND(H101*1.06,2),"0.00")</f>
        <v>579.23~653.17</v>
      </c>
      <c r="K101" s="28"/>
      <c r="L101" s="28"/>
      <c r="M101" s="39"/>
      <c r="N101" s="39"/>
      <c r="O101" s="39"/>
      <c r="P101" s="40">
        <v>10</v>
      </c>
      <c r="Q101" s="23"/>
    </row>
    <row r="102" spans="1:31" ht="30" customHeight="1">
      <c r="A102" s="85" t="str">
        <f t="shared" si="3"/>
        <v>3.21.1DMF</v>
      </c>
      <c r="B102" s="105" t="s">
        <v>373</v>
      </c>
      <c r="C102" s="105" t="s">
        <v>612</v>
      </c>
      <c r="D102" s="34">
        <v>73.099999999999994</v>
      </c>
      <c r="E102" s="35">
        <v>0.94799999999999995</v>
      </c>
      <c r="F102" s="36" t="s">
        <v>613</v>
      </c>
      <c r="G102" s="37">
        <v>5.69</v>
      </c>
      <c r="H102" s="38" t="str">
        <f>TEXT(ROUND(G102*树脂信息!$C$4,2),"0.00")</f>
        <v>369.85</v>
      </c>
      <c r="I102" s="105" t="s">
        <v>615</v>
      </c>
      <c r="J102" s="37" t="str">
        <f>TEXT(ROUND(H102*0.95,2),"0.00")&amp;"~"&amp;TEXT(ROUND(H102*1.05,2),"0.00")</f>
        <v>351.36~388.34</v>
      </c>
      <c r="K102" s="105"/>
      <c r="L102" s="105"/>
      <c r="M102" s="84"/>
      <c r="N102" s="84"/>
      <c r="O102" s="84"/>
      <c r="P102" s="40">
        <v>6</v>
      </c>
      <c r="Q102" s="23"/>
      <c r="R102" s="73"/>
      <c r="S102" s="73"/>
      <c r="T102" s="73"/>
      <c r="U102" s="73"/>
      <c r="V102" s="73"/>
      <c r="W102" s="73"/>
      <c r="X102" s="73"/>
      <c r="Y102" s="73"/>
      <c r="Z102" s="73"/>
      <c r="AA102" s="73"/>
      <c r="AB102" s="73"/>
      <c r="AC102" s="73"/>
      <c r="AD102" s="73"/>
      <c r="AE102" s="73"/>
    </row>
    <row r="103" spans="1:31" ht="36.75" customHeight="1">
      <c r="A103" s="33" t="str">
        <f t="shared" si="3"/>
        <v>3.21.2Fmoc-L-Thr(tBu)-OH</v>
      </c>
      <c r="B103" s="28" t="s">
        <v>672</v>
      </c>
      <c r="C103" s="28" t="s">
        <v>640</v>
      </c>
      <c r="D103" s="34">
        <v>397.46</v>
      </c>
      <c r="E103" s="41" t="s">
        <v>613</v>
      </c>
      <c r="F103" s="35">
        <f>O103</f>
        <v>2</v>
      </c>
      <c r="G103" s="37" t="s">
        <v>613</v>
      </c>
      <c r="H103" s="42">
        <f>ROUND(O103*D103/1000*树脂信息!$D$4,2)</f>
        <v>81.64</v>
      </c>
      <c r="I103" s="28" t="s">
        <v>618</v>
      </c>
      <c r="J103" s="37" t="str">
        <f>TEXT(ROUND(H103*0.97,2),"0.00")&amp;"~"&amp;TEXT(ROUND(H103*1.03,2),"0.00")</f>
        <v>79.19~84.09</v>
      </c>
      <c r="K103" s="57">
        <f>ROUND(H103*0.03,2)</f>
        <v>2.4500000000000002</v>
      </c>
      <c r="L103" s="28"/>
      <c r="M103" s="43">
        <f>(H103-H103*0.97)+(H103-H103*1.03)</f>
        <v>0</v>
      </c>
      <c r="N103" s="116">
        <v>2</v>
      </c>
      <c r="O103" s="43">
        <v>2</v>
      </c>
      <c r="P103" s="28"/>
      <c r="Q103" s="50" t="str">
        <f>"Ins "&amp;B103&amp;" The standard batch Qty of "&amp;LEFT(C103,FIND("/",C103,1)-1)&amp;"/操作"&amp;LEFT(B103,FIND("/",B103,1)-1)&amp;"（用于Ins."&amp;MID(B103,FIND("/",B103,1)+1,100)&amp;"）"&amp;MID(C103,FIND("/",C103,1)+1,100)&amp;"标准投料量"</f>
        <v>Ins 1.14/3.21.2 The standard batch Qty of Fmoc-L-Thr(tBu)-OH/操作1.14（用于Ins.3.21.2）芴甲氧羰基-叔丁基-L-苏氨酸标准投料量</v>
      </c>
      <c r="R103" s="50" t="s">
        <v>619</v>
      </c>
      <c r="S103" s="50" t="s">
        <v>620</v>
      </c>
      <c r="T103" s="50" t="e">
        <f>R103&amp;#REF!&amp;S103</f>
        <v>#REF!</v>
      </c>
      <c r="U103" s="50">
        <f>COUNTIF($S$9:S103,_xlfn.IFNA(S103,$S$9:S103))+1</f>
        <v>18</v>
      </c>
      <c r="V103" s="50">
        <f>U103-1</f>
        <v>17</v>
      </c>
      <c r="W103" s="50" t="str">
        <f>"Update Ins "&amp;MID(B103,FIND("/",B103,1)+1,100)&amp;" plan qty of "&amp;LEFT(C103,FIND("/",C103,1)-1)&amp;"/更新操作"&amp;MID(B103,FIND("/",B103,1)+1,100)&amp;" "&amp;MID(C103,FIND("/",C103,1)+1,100)&amp;"计划量"</f>
        <v>Update Ins 3.21.2 plan qty of Fmoc-L-Thr(tBu)-OH/更新操作3.21.2 芴甲氧羰基-叔丁基-L-苏氨酸计划量</v>
      </c>
      <c r="X103" s="50" t="s">
        <v>621</v>
      </c>
      <c r="Y103" s="44" t="s">
        <v>659</v>
      </c>
      <c r="Z103" s="50" t="str">
        <f>X103&amp;MID(B103,FIND("/",B103,1)+1,100)&amp;Y103&amp;U103&amp;" Value})"</f>
        <v>updateWeighingPlanQuantity("3.21.2-1", PH:{Standard batch Qty calculation/标准投料量计算-02}.{18 Value})</v>
      </c>
      <c r="AB103" s="50" t="str">
        <f>"Ins "&amp;LEFT(B103,FIND("/",B103,1)-1)&amp;" Dispense "&amp;LEFT(C103,FIND("/",C103,1)-1)&amp;"/分装"&amp;MID(C103,FIND("/",C103,1)+1,100)</f>
        <v>Ins 1.14 Dispense Fmoc-L-Thr(tBu)-OH/分装芴甲氧羰基-叔丁基-L-苏氨酸</v>
      </c>
      <c r="AC103" s="50" t="str">
        <f>MID(B103,FIND("/",B103,1)+1,100)&amp;" "&amp;C103</f>
        <v>3.21.2 Fmoc-L-Thr(tBu)-OH/芴甲氧羰基-叔丁基-L-苏氨酸</v>
      </c>
    </row>
    <row r="104" spans="1:31" ht="30" customHeight="1">
      <c r="A104" s="33" t="str">
        <f t="shared" si="3"/>
        <v>3.21.4Oxymapure</v>
      </c>
      <c r="B104" s="28" t="s">
        <v>673</v>
      </c>
      <c r="C104" s="28" t="s">
        <v>644</v>
      </c>
      <c r="D104" s="34">
        <v>142.11000000000001</v>
      </c>
      <c r="E104" s="41" t="s">
        <v>613</v>
      </c>
      <c r="F104" s="35">
        <f>O104</f>
        <v>2</v>
      </c>
      <c r="G104" s="37" t="s">
        <v>613</v>
      </c>
      <c r="H104" s="48">
        <f>ROUND(O104*D104/1000*树脂信息!$D$4,2)</f>
        <v>29.19</v>
      </c>
      <c r="I104" s="28" t="s">
        <v>618</v>
      </c>
      <c r="J104" s="37" t="str">
        <f>TEXT(ROUND(H104*0.97,2),"0.00")&amp;"~"&amp;TEXT(ROUND(H104*1.03,2),"0.00")</f>
        <v>28.31~30.07</v>
      </c>
      <c r="K104" s="57">
        <f>ROUND(H104*0.03,2)</f>
        <v>0.88</v>
      </c>
      <c r="L104" s="28"/>
      <c r="M104" s="43">
        <f>(H104-H104*0.97)+(H104-H104*1.03)</f>
        <v>0</v>
      </c>
      <c r="N104" s="119">
        <v>2</v>
      </c>
      <c r="O104" s="43">
        <v>2</v>
      </c>
      <c r="P104" s="28"/>
      <c r="Q104" s="50" t="str">
        <f>"Ins "&amp;B104&amp;" The standard batch Qty of "&amp;LEFT(C104,FIND("/",C104,1)-1)&amp;"/操作"&amp;LEFT(B104,FIND("/",B104,1)-1)&amp;"（用于Ins."&amp;MID(B104,FIND("/",B104,1)+1,100)&amp;"）"&amp;MID(C104,FIND("/",C104,1)+1,100)&amp;"标准投料量"</f>
        <v>Ins 1.15/3.21.4 The standard batch Qty of Oxyma pure/操作1.15（用于Ins.3.21.4）2-肟氰乙酸乙酯标准投料量</v>
      </c>
      <c r="R104" s="50" t="s">
        <v>619</v>
      </c>
      <c r="S104" s="50" t="s">
        <v>620</v>
      </c>
      <c r="T104" s="50" t="e">
        <f>R104&amp;#REF!&amp;S104</f>
        <v>#REF!</v>
      </c>
      <c r="U104" s="50">
        <f>COUNTIF($S$9:S104,_xlfn.IFNA(S104,$S$9:S104))+1</f>
        <v>19</v>
      </c>
      <c r="V104" s="50">
        <f>U104-1</f>
        <v>18</v>
      </c>
      <c r="W104" s="50" t="str">
        <f>"Update Ins "&amp;MID(B104,FIND("/",B104,1)+1,100)&amp;" plan qty of "&amp;LEFT(C104,FIND("/",C104,1)-1)&amp;"/更新操作"&amp;MID(B104,FIND("/",B104,1)+1,100)&amp;" "&amp;MID(C104,FIND("/",C104,1)+1,100)&amp;"计划量"</f>
        <v>Update Ins 3.21.4 plan qty of Oxyma pure/更新操作3.21.4 2-肟氰乙酸乙酯计划量</v>
      </c>
      <c r="X104" s="50" t="s">
        <v>621</v>
      </c>
      <c r="Y104" s="44" t="s">
        <v>659</v>
      </c>
      <c r="Z104" s="50" t="str">
        <f>X104&amp;MID(B104,FIND("/",B104,1)+1,100)&amp;Y104&amp;U104&amp;" Value})"</f>
        <v>updateWeighingPlanQuantity("3.21.4-1", PH:{Standard batch Qty calculation/标准投料量计算-02}.{19 Value})</v>
      </c>
      <c r="AB104" s="50" t="str">
        <f>"Ins "&amp;LEFT(B104,FIND("/",B104,1)-1)&amp;" Dispense "&amp;LEFT(C104,FIND("/",C104,1)-1)&amp;"/分装"&amp;MID(C104,FIND("/",C104,1)+1,100)</f>
        <v>Ins 1.15 Dispense Oxyma pure/分装2-肟氰乙酸乙酯</v>
      </c>
      <c r="AC104" s="50" t="str">
        <f>MID(B104,FIND("/",B104,1)+1,100)&amp;" "&amp;C104</f>
        <v>3.21.4 Oxyma pure/2-肟氰乙酸乙酯</v>
      </c>
    </row>
    <row r="105" spans="1:31" ht="36.75" customHeight="1">
      <c r="A105" s="33" t="str">
        <f t="shared" si="3"/>
        <v>3.21.5DMF</v>
      </c>
      <c r="B105" s="28" t="s">
        <v>374</v>
      </c>
      <c r="C105" s="28" t="s">
        <v>612</v>
      </c>
      <c r="D105" s="34">
        <v>73.099999999999994</v>
      </c>
      <c r="E105" s="35">
        <v>0.94799999999999995</v>
      </c>
      <c r="F105" s="36" t="s">
        <v>613</v>
      </c>
      <c r="G105" s="37">
        <v>0.95</v>
      </c>
      <c r="H105" s="38" t="str">
        <f>TEXT(ROUND(G105*树脂信息!$C$4,2),"0.00")</f>
        <v>61.75</v>
      </c>
      <c r="I105" s="105" t="s">
        <v>614</v>
      </c>
      <c r="J105" s="37" t="str">
        <f>TEXT(ROUND(H105*0.94,2),"0.00")&amp;"~"&amp;TEXT(ROUND(H105*1.06,2),"0.00")</f>
        <v>58.05~65.46</v>
      </c>
      <c r="K105" s="28"/>
      <c r="L105" s="28"/>
      <c r="M105" s="57"/>
      <c r="N105" s="57"/>
      <c r="O105" s="57"/>
      <c r="P105" s="40">
        <v>1</v>
      </c>
      <c r="Q105" s="23"/>
    </row>
    <row r="106" spans="1:31" ht="30" customHeight="1">
      <c r="A106" s="33" t="str">
        <f t="shared" si="3"/>
        <v>3.21.6DIC</v>
      </c>
      <c r="B106" s="28" t="s">
        <v>674</v>
      </c>
      <c r="C106" s="28" t="s">
        <v>653</v>
      </c>
      <c r="D106" s="34">
        <v>126.2</v>
      </c>
      <c r="E106" s="41" t="s">
        <v>613</v>
      </c>
      <c r="F106" s="35">
        <f>O106</f>
        <v>2.2000000000000002</v>
      </c>
      <c r="G106" s="37" t="s">
        <v>613</v>
      </c>
      <c r="H106" s="48">
        <f>ROUND(O106*D106/1000*树脂信息!$D$4,2)</f>
        <v>28.51</v>
      </c>
      <c r="I106" s="49" t="s">
        <v>618</v>
      </c>
      <c r="J106" s="37" t="str">
        <f>TEXT(ROUND(H106*0.97,2),"0.00")&amp;"~"&amp;TEXT(ROUND(H106*1.03,2),"0.00")</f>
        <v>27.65~29.37</v>
      </c>
      <c r="K106" s="57">
        <f>ROUND(H106*0.03,2)</f>
        <v>0.86</v>
      </c>
      <c r="L106" s="28"/>
      <c r="M106" s="43">
        <f>(H106-H106*0.97)+(H106-H106*1.03)</f>
        <v>0</v>
      </c>
      <c r="N106" s="119">
        <v>2.2000000000000002</v>
      </c>
      <c r="O106" s="43">
        <v>2.2000000000000002</v>
      </c>
      <c r="P106" s="28"/>
      <c r="Q106" s="23"/>
    </row>
    <row r="107" spans="1:31" ht="30" customHeight="1">
      <c r="A107" s="33" t="str">
        <f t="shared" si="3"/>
        <v>3.22.2DMF</v>
      </c>
      <c r="B107" s="28" t="s">
        <v>376</v>
      </c>
      <c r="C107" s="28" t="s">
        <v>612</v>
      </c>
      <c r="D107" s="34">
        <v>73.099999999999994</v>
      </c>
      <c r="E107" s="35">
        <v>0.94799999999999995</v>
      </c>
      <c r="F107" s="36" t="s">
        <v>613</v>
      </c>
      <c r="G107" s="37">
        <v>0.95</v>
      </c>
      <c r="H107" s="38" t="str">
        <f>TEXT(ROUND(G107*树脂信息!$C$4,2),"0.00")</f>
        <v>61.75</v>
      </c>
      <c r="I107" s="105" t="s">
        <v>614</v>
      </c>
      <c r="J107" s="37" t="str">
        <f>TEXT(ROUND(H107*0.94,2),"0.00")&amp;"~"&amp;TEXT(ROUND(H107*1.06,2),"0.00")</f>
        <v>58.05~65.46</v>
      </c>
      <c r="K107" s="28"/>
      <c r="L107" s="28"/>
      <c r="M107" s="57"/>
      <c r="N107" s="57"/>
      <c r="O107" s="57"/>
      <c r="P107" s="40">
        <v>1</v>
      </c>
      <c r="Q107" s="23"/>
    </row>
    <row r="108" spans="1:31" ht="36.75" customHeight="1">
      <c r="A108" s="33" t="str">
        <f t="shared" si="3"/>
        <v>3.22.6DMF</v>
      </c>
      <c r="B108" s="601" t="s">
        <v>380</v>
      </c>
      <c r="C108" s="601" t="s">
        <v>612</v>
      </c>
      <c r="D108" s="34">
        <v>73.099999999999994</v>
      </c>
      <c r="E108" s="35">
        <v>0.94799999999999995</v>
      </c>
      <c r="F108" s="36" t="s">
        <v>613</v>
      </c>
      <c r="G108" s="37">
        <v>9.48</v>
      </c>
      <c r="H108" s="38" t="str">
        <f>TEXT(ROUND(G108*树脂信息!$C$4,2),"0.00")</f>
        <v>616.20</v>
      </c>
      <c r="I108" s="105" t="s">
        <v>614</v>
      </c>
      <c r="J108" s="37" t="str">
        <f>TEXT(ROUND(H108*0.94,2),"0.00")&amp;"~"&amp;TEXT(ROUND(H108*1.06,2),"0.00")</f>
        <v>579.23~653.17</v>
      </c>
      <c r="K108" s="28"/>
      <c r="L108" s="28" t="s">
        <v>625</v>
      </c>
      <c r="M108" s="39"/>
      <c r="N108" s="39"/>
      <c r="O108" s="39"/>
      <c r="P108" s="40">
        <v>10</v>
      </c>
      <c r="Q108" s="23"/>
    </row>
    <row r="109" spans="1:31" ht="30" customHeight="1">
      <c r="A109" s="33" t="str">
        <f t="shared" ref="A109:A140" si="4">IFERROR(SUBSTITUTE(IFERROR(MID(B109,FIND("/",B109,1)+1,LEN(B109)),B109)&amp;LEFT(C109,FIND("/",C109,1)-1)," ",""),"")</f>
        <v/>
      </c>
      <c r="B109" s="601"/>
      <c r="C109" s="601"/>
      <c r="D109" s="602" t="s">
        <v>626</v>
      </c>
      <c r="E109" s="602"/>
      <c r="F109" s="602"/>
      <c r="G109" s="602"/>
      <c r="H109" s="602"/>
      <c r="I109" s="602"/>
      <c r="J109" s="602"/>
      <c r="K109" s="602"/>
      <c r="L109" s="602"/>
      <c r="M109" s="39"/>
      <c r="N109" s="39"/>
      <c r="O109" s="39"/>
      <c r="P109" s="52"/>
      <c r="Q109" s="23"/>
    </row>
    <row r="110" spans="1:31" ht="30" customHeight="1">
      <c r="A110" s="33" t="str">
        <f t="shared" si="4"/>
        <v/>
      </c>
      <c r="B110" s="45" t="s">
        <v>675</v>
      </c>
      <c r="C110" s="46"/>
      <c r="D110" s="45"/>
      <c r="E110" s="47"/>
      <c r="F110" s="72"/>
      <c r="G110" s="47"/>
      <c r="H110" s="45"/>
      <c r="I110" s="45"/>
      <c r="J110" s="45"/>
      <c r="K110" s="45"/>
      <c r="L110" s="45"/>
      <c r="M110" s="39"/>
      <c r="N110" s="39"/>
      <c r="O110" s="39"/>
      <c r="P110" s="45"/>
      <c r="Q110" s="23"/>
    </row>
    <row r="111" spans="1:31" ht="30" customHeight="1">
      <c r="A111" s="33" t="str">
        <f t="shared" si="4"/>
        <v>3.23.120%piperidinesolution</v>
      </c>
      <c r="B111" s="70" t="s">
        <v>384</v>
      </c>
      <c r="C111" s="70" t="s">
        <v>635</v>
      </c>
      <c r="D111" s="54" t="s">
        <v>613</v>
      </c>
      <c r="E111" s="35">
        <v>0.93100000000000005</v>
      </c>
      <c r="F111" s="36" t="s">
        <v>613</v>
      </c>
      <c r="G111" s="37">
        <v>7.44</v>
      </c>
      <c r="H111" s="38" t="str">
        <f>TEXT(ROUND(G111*树脂信息!$C$4,2),"0.00")</f>
        <v>483.60</v>
      </c>
      <c r="I111" s="105" t="s">
        <v>614</v>
      </c>
      <c r="J111" s="37" t="str">
        <f>TEXT(ROUND(H111*0.94,2),"0.00")&amp;"~"&amp;TEXT(ROUND(H111*1.06,2),"0.00")</f>
        <v>454.58~512.62</v>
      </c>
      <c r="K111" s="28"/>
      <c r="L111" s="28" t="s">
        <v>625</v>
      </c>
      <c r="M111" s="39"/>
      <c r="N111" s="39"/>
      <c r="O111" s="39"/>
      <c r="P111" s="40">
        <v>8</v>
      </c>
      <c r="Q111" s="23"/>
    </row>
    <row r="112" spans="1:31" ht="30" customHeight="1">
      <c r="A112" s="33" t="str">
        <f t="shared" si="4"/>
        <v>3.23.4IPAC</v>
      </c>
      <c r="B112" s="601" t="s">
        <v>387</v>
      </c>
      <c r="C112" s="601" t="s">
        <v>637</v>
      </c>
      <c r="D112" s="34"/>
      <c r="E112" s="35">
        <v>0.873</v>
      </c>
      <c r="F112" s="36" t="s">
        <v>613</v>
      </c>
      <c r="G112" s="37">
        <v>8.73</v>
      </c>
      <c r="H112" s="38" t="str">
        <f>TEXT(ROUND(G112*树脂信息!$C$4,2),"0.00")</f>
        <v>567.45</v>
      </c>
      <c r="I112" s="105" t="s">
        <v>614</v>
      </c>
      <c r="J112" s="37" t="str">
        <f>TEXT(ROUND(H112*0.94,2),"0.00")&amp;"~"&amp;TEXT(ROUND(H112*1.06,2),"0.00")</f>
        <v>533.40~601.50</v>
      </c>
      <c r="K112" s="28"/>
      <c r="L112" s="28" t="s">
        <v>625</v>
      </c>
      <c r="M112" s="39"/>
      <c r="N112" s="39"/>
      <c r="O112" s="39"/>
      <c r="P112" s="40">
        <v>10</v>
      </c>
      <c r="Q112" s="23"/>
    </row>
    <row r="113" spans="1:31" ht="30" customHeight="1">
      <c r="A113" s="33" t="str">
        <f t="shared" si="4"/>
        <v/>
      </c>
      <c r="B113" s="601"/>
      <c r="C113" s="601"/>
      <c r="D113" s="602" t="s">
        <v>626</v>
      </c>
      <c r="E113" s="602"/>
      <c r="F113" s="602"/>
      <c r="G113" s="602"/>
      <c r="H113" s="602"/>
      <c r="I113" s="602"/>
      <c r="J113" s="602"/>
      <c r="K113" s="602"/>
      <c r="L113" s="602"/>
      <c r="M113" s="39"/>
      <c r="N113" s="39"/>
      <c r="O113" s="39"/>
      <c r="P113" s="52"/>
      <c r="Q113" s="23"/>
    </row>
    <row r="114" spans="1:31" ht="30" customHeight="1">
      <c r="A114" s="33" t="str">
        <f t="shared" si="4"/>
        <v/>
      </c>
      <c r="B114" s="601"/>
      <c r="C114" s="601"/>
      <c r="D114" s="602" t="s">
        <v>647</v>
      </c>
      <c r="E114" s="602"/>
      <c r="F114" s="602"/>
      <c r="G114" s="602"/>
      <c r="H114" s="602"/>
      <c r="I114" s="602"/>
      <c r="J114" s="602"/>
      <c r="K114" s="602"/>
      <c r="L114" s="602"/>
      <c r="M114" s="39"/>
      <c r="N114" s="39"/>
      <c r="O114" s="39"/>
      <c r="P114" s="52"/>
      <c r="Q114" s="23"/>
    </row>
    <row r="115" spans="1:31" ht="30" customHeight="1">
      <c r="A115" s="33" t="str">
        <f t="shared" si="4"/>
        <v>3.23.5DMF</v>
      </c>
      <c r="B115" s="70" t="s">
        <v>389</v>
      </c>
      <c r="C115" s="70" t="s">
        <v>612</v>
      </c>
      <c r="D115" s="34">
        <v>73.099999999999994</v>
      </c>
      <c r="E115" s="35">
        <v>0.94799999999999995</v>
      </c>
      <c r="F115" s="36" t="s">
        <v>613</v>
      </c>
      <c r="G115" s="37">
        <v>9.48</v>
      </c>
      <c r="H115" s="38" t="str">
        <f>TEXT(ROUND(G115*树脂信息!$C$4,2),"0.00")</f>
        <v>616.20</v>
      </c>
      <c r="I115" s="105" t="s">
        <v>614</v>
      </c>
      <c r="J115" s="37" t="str">
        <f>TEXT(ROUND(H115*0.94,2),"0.00")&amp;"~"&amp;TEXT(ROUND(H115*1.06,2),"0.00")</f>
        <v>579.23~653.17</v>
      </c>
      <c r="K115" s="28"/>
      <c r="L115" s="28"/>
      <c r="M115" s="39"/>
      <c r="N115" s="39"/>
      <c r="O115" s="39"/>
      <c r="P115" s="40">
        <v>10</v>
      </c>
      <c r="Q115" s="23"/>
    </row>
    <row r="116" spans="1:31" ht="36.75" customHeight="1">
      <c r="A116" s="33" t="str">
        <f t="shared" si="4"/>
        <v>3.23.7DMF</v>
      </c>
      <c r="B116" s="70" t="s">
        <v>391</v>
      </c>
      <c r="C116" s="70" t="s">
        <v>612</v>
      </c>
      <c r="D116" s="34">
        <v>73.099999999999994</v>
      </c>
      <c r="E116" s="35">
        <v>0.94799999999999995</v>
      </c>
      <c r="F116" s="36" t="s">
        <v>613</v>
      </c>
      <c r="G116" s="37">
        <v>9.48</v>
      </c>
      <c r="H116" s="38" t="str">
        <f>TEXT(ROUND(G116*树脂信息!$C$4,2),"0.00")</f>
        <v>616.20</v>
      </c>
      <c r="I116" s="105" t="s">
        <v>614</v>
      </c>
      <c r="J116" s="37" t="str">
        <f>TEXT(ROUND(H116*0.94,2),"0.00")&amp;"~"&amp;TEXT(ROUND(H116*1.06,2),"0.00")</f>
        <v>579.23~653.17</v>
      </c>
      <c r="K116" s="70"/>
      <c r="L116" s="70"/>
      <c r="M116" s="52"/>
      <c r="N116" s="52"/>
      <c r="O116" s="52"/>
      <c r="P116" s="40">
        <v>10</v>
      </c>
      <c r="Q116" s="23"/>
    </row>
    <row r="117" spans="1:31" ht="30" customHeight="1">
      <c r="A117" s="85" t="str">
        <f t="shared" si="4"/>
        <v>3.24.1DMF</v>
      </c>
      <c r="B117" s="105" t="s">
        <v>394</v>
      </c>
      <c r="C117" s="105" t="s">
        <v>612</v>
      </c>
      <c r="D117" s="34">
        <v>73.099999999999994</v>
      </c>
      <c r="E117" s="35">
        <v>0.94799999999999995</v>
      </c>
      <c r="F117" s="36" t="s">
        <v>613</v>
      </c>
      <c r="G117" s="37">
        <v>5.69</v>
      </c>
      <c r="H117" s="38" t="str">
        <f>TEXT(ROUND(G117*树脂信息!$C$4,2),"0.00")</f>
        <v>369.85</v>
      </c>
      <c r="I117" s="105" t="s">
        <v>615</v>
      </c>
      <c r="J117" s="37" t="str">
        <f>TEXT(ROUND(H117*0.95,2),"0.00")&amp;"~"&amp;TEXT(ROUND(H117*1.05,2),"0.00")</f>
        <v>351.36~388.34</v>
      </c>
      <c r="K117" s="105"/>
      <c r="L117" s="105"/>
      <c r="M117" s="84"/>
      <c r="N117" s="84"/>
      <c r="O117" s="84"/>
      <c r="P117" s="40">
        <v>6</v>
      </c>
      <c r="Q117" s="23"/>
      <c r="R117" s="73"/>
      <c r="S117" s="73"/>
      <c r="T117" s="73"/>
      <c r="U117" s="73"/>
      <c r="V117" s="73"/>
      <c r="W117" s="73"/>
      <c r="X117" s="73"/>
      <c r="Y117" s="73"/>
      <c r="Z117" s="73"/>
      <c r="AA117" s="73"/>
      <c r="AB117" s="73"/>
      <c r="AC117" s="73"/>
      <c r="AD117" s="73"/>
      <c r="AE117" s="73"/>
    </row>
    <row r="118" spans="1:31" ht="30" customHeight="1">
      <c r="A118" s="33" t="str">
        <f t="shared" si="4"/>
        <v>3.24.2Fmoc-L-Asn(Trt)-OH</v>
      </c>
      <c r="B118" s="28" t="s">
        <v>676</v>
      </c>
      <c r="C118" s="60" t="s">
        <v>677</v>
      </c>
      <c r="D118" s="34">
        <v>596.66999999999996</v>
      </c>
      <c r="E118" s="41" t="s">
        <v>613</v>
      </c>
      <c r="F118" s="35">
        <f>O118</f>
        <v>2</v>
      </c>
      <c r="G118" s="37" t="s">
        <v>613</v>
      </c>
      <c r="H118" s="48">
        <f>ROUND(O118*D118/1000*树脂信息!$D$4,2)</f>
        <v>122.56</v>
      </c>
      <c r="I118" s="28" t="s">
        <v>618</v>
      </c>
      <c r="J118" s="37" t="str">
        <f>TEXT(ROUND(H118*0.97,2),"0.00")&amp;"~"&amp;TEXT(ROUND(H118*1.03,2),"0.00")</f>
        <v>118.88~126.24</v>
      </c>
      <c r="K118" s="57">
        <f>ROUND(H118*0.03,2)</f>
        <v>3.68</v>
      </c>
      <c r="L118" s="28"/>
      <c r="M118" s="43">
        <f>(H118-H118*0.97)+(H118-H118*1.03)</f>
        <v>0</v>
      </c>
      <c r="N118" s="116">
        <v>2</v>
      </c>
      <c r="O118" s="43">
        <v>2</v>
      </c>
      <c r="P118" s="28"/>
      <c r="Q118" s="50" t="str">
        <f>"Ins "&amp;B118&amp;" The standard batch Qty of "&amp;LEFT(C118,FIND("/",C118,1)-1)&amp;"/操作"&amp;LEFT(B118,FIND("/",B118,1)-1)&amp;"（用于Ins."&amp;MID(B118,FIND("/",B118,1)+1,100)&amp;"）"&amp;MID(C118,FIND("/",C118,1)+1,100)&amp;"标准投料量"</f>
        <v>Ins 1.16/3.24.2 The standard batch Qty of Fmoc-L-Asn(Trt)-OH/操作1.16（用于Ins.3.24.2）Fmoc-N-三苯甲基-L-天冬酰胺标准投料量</v>
      </c>
      <c r="R118" s="50" t="s">
        <v>619</v>
      </c>
      <c r="S118" s="50" t="s">
        <v>620</v>
      </c>
      <c r="T118" s="50" t="e">
        <f>R118&amp;#REF!&amp;S118</f>
        <v>#REF!</v>
      </c>
      <c r="U118" s="50">
        <f>COUNTIF($S$9:S118,_xlfn.IFNA(S118,$S$9:S118))+1</f>
        <v>20</v>
      </c>
      <c r="V118" s="50">
        <f>U118-1</f>
        <v>19</v>
      </c>
      <c r="W118" s="50" t="str">
        <f>"Update Ins "&amp;MID(B118,FIND("/",B118,1)+1,100)&amp;" plan qty of "&amp;LEFT(C118,FIND("/",C118,1)-1)&amp;"/更新操作"&amp;MID(B118,FIND("/",B118,1)+1,100)&amp;" "&amp;MID(C118,FIND("/",C118,1)+1,100)&amp;"计划量"</f>
        <v>Update Ins 3.24.2 plan qty of Fmoc-L-Asn(Trt)-OH/更新操作3.24.2 Fmoc-N-三苯甲基-L-天冬酰胺计划量</v>
      </c>
      <c r="X118" s="50" t="s">
        <v>621</v>
      </c>
      <c r="Y118" s="44" t="s">
        <v>659</v>
      </c>
      <c r="Z118" s="50" t="str">
        <f>X118&amp;MID(B118,FIND("/",B118,1)+1,100)&amp;Y118&amp;U118&amp;" Value})"</f>
        <v>updateWeighingPlanQuantity("3.24.2-1", PH:{Standard batch Qty calculation/标准投料量计算-02}.{20 Value})</v>
      </c>
      <c r="AB118" s="50" t="str">
        <f>"Ins "&amp;LEFT(B118,FIND("/",B118,1)-1)&amp;" Dispense "&amp;LEFT(C118,FIND("/",C118,1)-1)&amp;"/分装"&amp;MID(C118,FIND("/",C118,1)+1,100)</f>
        <v>Ins 1.16 Dispense Fmoc-L-Asn(Trt)-OH/分装Fmoc-N-三苯甲基-L-天冬酰胺</v>
      </c>
      <c r="AC118" s="50" t="str">
        <f>MID(B118,FIND("/",B118,1)+1,100)&amp;" "&amp;C118</f>
        <v>3.24.2 Fmoc-L-Asn(Trt)-OH/Fmoc-N-三苯甲基-L-天冬酰胺</v>
      </c>
    </row>
    <row r="119" spans="1:31" ht="36.75" customHeight="1">
      <c r="A119" s="33" t="str">
        <f t="shared" si="4"/>
        <v>3.24.4Oxymapure</v>
      </c>
      <c r="B119" s="28" t="s">
        <v>678</v>
      </c>
      <c r="C119" s="28" t="s">
        <v>644</v>
      </c>
      <c r="D119" s="34">
        <v>142.11000000000001</v>
      </c>
      <c r="E119" s="41" t="s">
        <v>613</v>
      </c>
      <c r="F119" s="35">
        <f>O119</f>
        <v>2</v>
      </c>
      <c r="G119" s="37" t="s">
        <v>613</v>
      </c>
      <c r="H119" s="48">
        <f>ROUND(O119*D119/1000*树脂信息!$D$4,2)</f>
        <v>29.19</v>
      </c>
      <c r="I119" s="28" t="s">
        <v>618</v>
      </c>
      <c r="J119" s="37" t="str">
        <f>TEXT(ROUND(H119*0.97,2),"0.00")&amp;"~"&amp;TEXT(ROUND(H119*1.03,2),"0.00")</f>
        <v>28.31~30.07</v>
      </c>
      <c r="K119" s="57">
        <f>ROUND(H119*0.03,2)</f>
        <v>0.88</v>
      </c>
      <c r="L119" s="28"/>
      <c r="M119" s="43">
        <f>(H119-H119*0.97)+(H119-H119*1.03)</f>
        <v>0</v>
      </c>
      <c r="N119" s="119">
        <v>2</v>
      </c>
      <c r="O119" s="43">
        <v>2</v>
      </c>
      <c r="P119" s="28"/>
      <c r="Q119" s="50" t="str">
        <f>"Ins "&amp;B119&amp;" The standard batch Qty of "&amp;LEFT(C119,FIND("/",C119,1)-1)&amp;"/操作"&amp;LEFT(B119,FIND("/",B119,1)-1)&amp;"（用于Ins."&amp;MID(B119,FIND("/",B119,1)+1,100)&amp;"）"&amp;MID(C119,FIND("/",C119,1)+1,100)&amp;"标准投料量"</f>
        <v>Ins 1.17/3.24.4 The standard batch Qty of Oxyma pure/操作1.17（用于Ins.3.24.4）2-肟氰乙酸乙酯标准投料量</v>
      </c>
      <c r="R119" s="50" t="s">
        <v>619</v>
      </c>
      <c r="S119" s="50" t="s">
        <v>620</v>
      </c>
      <c r="T119" s="50" t="e">
        <f>R119&amp;#REF!&amp;S119</f>
        <v>#REF!</v>
      </c>
      <c r="U119" s="50">
        <f>COUNTIF($S$9:S119,_xlfn.IFNA(S119,$S$9:S119))+1</f>
        <v>21</v>
      </c>
      <c r="V119" s="50">
        <f>U119-1</f>
        <v>20</v>
      </c>
      <c r="W119" s="50" t="str">
        <f>"Update Ins "&amp;MID(B119,FIND("/",B119,1)+1,100)&amp;" plan qty of "&amp;LEFT(C119,FIND("/",C119,1)-1)&amp;"/更新操作"&amp;MID(B119,FIND("/",B119,1)+1,100)&amp;" "&amp;MID(C119,FIND("/",C119,1)+1,100)&amp;"计划量"</f>
        <v>Update Ins 3.24.4 plan qty of Oxyma pure/更新操作3.24.4 2-肟氰乙酸乙酯计划量</v>
      </c>
      <c r="X119" s="50" t="s">
        <v>621</v>
      </c>
      <c r="Y119" s="44" t="s">
        <v>659</v>
      </c>
      <c r="Z119" s="50" t="str">
        <f>X119&amp;MID(B119,FIND("/",B119,1)+1,100)&amp;Y119&amp;U119&amp;" Value})"</f>
        <v>updateWeighingPlanQuantity("3.24.4-1", PH:{Standard batch Qty calculation/标准投料量计算-02}.{21 Value})</v>
      </c>
      <c r="AB119" s="50" t="str">
        <f>"Ins "&amp;LEFT(B119,FIND("/",B119,1)-1)&amp;" Dispense "&amp;LEFT(C119,FIND("/",C119,1)-1)&amp;"/分装"&amp;MID(C119,FIND("/",C119,1)+1,100)</f>
        <v>Ins 1.17 Dispense Oxyma pure/分装2-肟氰乙酸乙酯</v>
      </c>
      <c r="AC119" s="50" t="str">
        <f>MID(B119,FIND("/",B119,1)+1,100)&amp;" "&amp;C119</f>
        <v>3.24.4 Oxyma pure/2-肟氰乙酸乙酯</v>
      </c>
    </row>
    <row r="120" spans="1:31" ht="30" customHeight="1">
      <c r="A120" s="33" t="str">
        <f t="shared" si="4"/>
        <v>3.24.5DMF</v>
      </c>
      <c r="B120" s="28" t="s">
        <v>397</v>
      </c>
      <c r="C120" s="28" t="s">
        <v>612</v>
      </c>
      <c r="D120" s="34">
        <v>73.099999999999994</v>
      </c>
      <c r="E120" s="35">
        <v>0.94799999999999995</v>
      </c>
      <c r="F120" s="36" t="s">
        <v>613</v>
      </c>
      <c r="G120" s="37">
        <v>0.95</v>
      </c>
      <c r="H120" s="38" t="str">
        <f>TEXT(ROUND(G120*树脂信息!$C$4,2),"0.00")</f>
        <v>61.75</v>
      </c>
      <c r="I120" s="105" t="s">
        <v>614</v>
      </c>
      <c r="J120" s="37" t="str">
        <f>TEXT(ROUND(H120*0.94,2),"0.00")&amp;"~"&amp;TEXT(ROUND(H120*1.06,2),"0.00")</f>
        <v>58.05~65.46</v>
      </c>
      <c r="K120" s="28"/>
      <c r="L120" s="28"/>
      <c r="M120" s="57"/>
      <c r="N120" s="57"/>
      <c r="O120" s="57"/>
      <c r="P120" s="40">
        <v>1</v>
      </c>
      <c r="Q120" s="23"/>
    </row>
    <row r="121" spans="1:31" ht="30" customHeight="1">
      <c r="A121" s="33" t="str">
        <f t="shared" si="4"/>
        <v>3.24.6DIC</v>
      </c>
      <c r="B121" s="28" t="s">
        <v>679</v>
      </c>
      <c r="C121" s="28" t="s">
        <v>653</v>
      </c>
      <c r="D121" s="34">
        <v>126.2</v>
      </c>
      <c r="E121" s="41" t="s">
        <v>613</v>
      </c>
      <c r="F121" s="35">
        <f>O121</f>
        <v>2.2000000000000002</v>
      </c>
      <c r="G121" s="37" t="s">
        <v>613</v>
      </c>
      <c r="H121" s="48">
        <f>ROUND(O121*D121/1000*树脂信息!$D$4,2)</f>
        <v>28.51</v>
      </c>
      <c r="I121" s="49" t="s">
        <v>618</v>
      </c>
      <c r="J121" s="37" t="str">
        <f>TEXT(ROUND(H121*0.97,2),"0.00")&amp;"~"&amp;TEXT(ROUND(H121*1.03,2),"0.00")</f>
        <v>27.65~29.37</v>
      </c>
      <c r="K121" s="57">
        <f>ROUND(H121*0.03,2)</f>
        <v>0.86</v>
      </c>
      <c r="L121" s="28"/>
      <c r="M121" s="43">
        <f>(H121-H121*0.97)+(H121-H121*1.03)</f>
        <v>0</v>
      </c>
      <c r="N121" s="119">
        <v>2.2000000000000002</v>
      </c>
      <c r="O121" s="43">
        <v>2.2000000000000002</v>
      </c>
      <c r="P121" s="28"/>
      <c r="Q121" s="23"/>
    </row>
    <row r="122" spans="1:31" ht="30" customHeight="1">
      <c r="A122" s="33" t="str">
        <f t="shared" si="4"/>
        <v>3.25.2DMF</v>
      </c>
      <c r="B122" s="28" t="s">
        <v>399</v>
      </c>
      <c r="C122" s="28" t="s">
        <v>612</v>
      </c>
      <c r="D122" s="34">
        <v>73.099999999999994</v>
      </c>
      <c r="E122" s="35">
        <v>0.94799999999999995</v>
      </c>
      <c r="F122" s="36" t="s">
        <v>613</v>
      </c>
      <c r="G122" s="37">
        <v>0.95</v>
      </c>
      <c r="H122" s="38" t="str">
        <f>TEXT(ROUND(G122*树脂信息!$C$4,2),"0.00")</f>
        <v>61.75</v>
      </c>
      <c r="I122" s="105" t="s">
        <v>614</v>
      </c>
      <c r="J122" s="37" t="str">
        <f>TEXT(ROUND(H122*0.94,2),"0.00")&amp;"~"&amp;TEXT(ROUND(H122*1.06,2),"0.00")</f>
        <v>58.05~65.46</v>
      </c>
      <c r="K122" s="28"/>
      <c r="L122" s="28"/>
      <c r="M122" s="57"/>
      <c r="N122" s="57"/>
      <c r="O122" s="57"/>
      <c r="P122" s="40">
        <v>1</v>
      </c>
      <c r="Q122" s="23"/>
    </row>
    <row r="123" spans="1:31" ht="30" customHeight="1">
      <c r="A123" s="33" t="str">
        <f t="shared" si="4"/>
        <v>3.25.6DMF</v>
      </c>
      <c r="B123" s="601" t="s">
        <v>404</v>
      </c>
      <c r="C123" s="601" t="s">
        <v>612</v>
      </c>
      <c r="D123" s="34">
        <v>73.099999999999994</v>
      </c>
      <c r="E123" s="35">
        <v>0.94799999999999995</v>
      </c>
      <c r="F123" s="36" t="s">
        <v>613</v>
      </c>
      <c r="G123" s="37">
        <v>9.48</v>
      </c>
      <c r="H123" s="38" t="str">
        <f>TEXT(ROUND(G123*树脂信息!$C$4,2),"0.00")</f>
        <v>616.20</v>
      </c>
      <c r="I123" s="105" t="s">
        <v>614</v>
      </c>
      <c r="J123" s="37" t="str">
        <f>TEXT(ROUND(H123*0.94,2),"0.00")&amp;"~"&amp;TEXT(ROUND(H123*1.06,2),"0.00")</f>
        <v>579.23~653.17</v>
      </c>
      <c r="K123" s="28"/>
      <c r="L123" s="28" t="s">
        <v>625</v>
      </c>
      <c r="M123" s="39"/>
      <c r="N123" s="39"/>
      <c r="O123" s="39"/>
      <c r="P123" s="40">
        <v>10</v>
      </c>
      <c r="Q123" s="23"/>
    </row>
    <row r="124" spans="1:31" ht="30" customHeight="1">
      <c r="A124" s="33" t="str">
        <f t="shared" si="4"/>
        <v/>
      </c>
      <c r="B124" s="601"/>
      <c r="C124" s="601"/>
      <c r="D124" s="602" t="s">
        <v>626</v>
      </c>
      <c r="E124" s="602"/>
      <c r="F124" s="602"/>
      <c r="G124" s="602"/>
      <c r="H124" s="602"/>
      <c r="I124" s="602"/>
      <c r="J124" s="602"/>
      <c r="K124" s="602"/>
      <c r="L124" s="602"/>
      <c r="M124" s="39"/>
      <c r="N124" s="39"/>
      <c r="O124" s="39"/>
      <c r="P124" s="52"/>
      <c r="Q124" s="23"/>
    </row>
    <row r="125" spans="1:31" ht="30" customHeight="1">
      <c r="A125" s="33" t="str">
        <f t="shared" si="4"/>
        <v/>
      </c>
      <c r="B125" s="45" t="s">
        <v>680</v>
      </c>
      <c r="C125" s="46"/>
      <c r="D125" s="45"/>
      <c r="E125" s="47"/>
      <c r="F125" s="72"/>
      <c r="G125" s="47"/>
      <c r="H125" s="45"/>
      <c r="I125" s="45"/>
      <c r="J125" s="45"/>
      <c r="K125" s="45"/>
      <c r="L125" s="45"/>
      <c r="M125" s="39"/>
      <c r="N125" s="39"/>
      <c r="O125" s="39"/>
      <c r="P125" s="45"/>
      <c r="Q125" s="23"/>
    </row>
    <row r="126" spans="1:31" ht="30" customHeight="1">
      <c r="A126" s="33" t="str">
        <f t="shared" si="4"/>
        <v>3.26.120%piperidinesolution</v>
      </c>
      <c r="B126" s="70" t="s">
        <v>408</v>
      </c>
      <c r="C126" s="70" t="s">
        <v>635</v>
      </c>
      <c r="D126" s="54" t="s">
        <v>613</v>
      </c>
      <c r="E126" s="35">
        <v>0.93100000000000005</v>
      </c>
      <c r="F126" s="36" t="s">
        <v>613</v>
      </c>
      <c r="G126" s="37">
        <v>7.44</v>
      </c>
      <c r="H126" s="38" t="str">
        <f>TEXT(ROUND(G126*树脂信息!$C$4,2),"0.00")</f>
        <v>483.60</v>
      </c>
      <c r="I126" s="105" t="s">
        <v>614</v>
      </c>
      <c r="J126" s="37" t="str">
        <f>TEXT(ROUND(H126*0.94,2),"0.00")&amp;"~"&amp;TEXT(ROUND(H126*1.06,2),"0.00")</f>
        <v>454.58~512.62</v>
      </c>
      <c r="K126" s="28"/>
      <c r="L126" s="28" t="s">
        <v>625</v>
      </c>
      <c r="M126" s="39"/>
      <c r="N126" s="39"/>
      <c r="O126" s="39"/>
      <c r="P126" s="40">
        <v>8</v>
      </c>
      <c r="Q126" s="23"/>
    </row>
    <row r="127" spans="1:31" ht="30" customHeight="1">
      <c r="A127" s="33" t="str">
        <f t="shared" si="4"/>
        <v>3.26.4IPAC</v>
      </c>
      <c r="B127" s="601" t="s">
        <v>411</v>
      </c>
      <c r="C127" s="601" t="s">
        <v>637</v>
      </c>
      <c r="D127" s="34"/>
      <c r="E127" s="35">
        <v>0.873</v>
      </c>
      <c r="F127" s="36" t="s">
        <v>613</v>
      </c>
      <c r="G127" s="37">
        <v>8.73</v>
      </c>
      <c r="H127" s="38" t="str">
        <f>TEXT(ROUND(G127*树脂信息!$C$4,2),"0.00")</f>
        <v>567.45</v>
      </c>
      <c r="I127" s="105" t="s">
        <v>614</v>
      </c>
      <c r="J127" s="37" t="str">
        <f>TEXT(ROUND(H127*0.94,2),"0.00")&amp;"~"&amp;TEXT(ROUND(H127*1.06,2),"0.00")</f>
        <v>533.40~601.50</v>
      </c>
      <c r="K127" s="28"/>
      <c r="L127" s="28" t="s">
        <v>625</v>
      </c>
      <c r="M127" s="39"/>
      <c r="N127" s="39"/>
      <c r="O127" s="39"/>
      <c r="P127" s="40">
        <v>10</v>
      </c>
      <c r="Q127" s="23"/>
    </row>
    <row r="128" spans="1:31" ht="30" customHeight="1">
      <c r="A128" s="33" t="str">
        <f t="shared" si="4"/>
        <v/>
      </c>
      <c r="B128" s="601"/>
      <c r="C128" s="601"/>
      <c r="D128" s="602" t="s">
        <v>626</v>
      </c>
      <c r="E128" s="602"/>
      <c r="F128" s="602"/>
      <c r="G128" s="602"/>
      <c r="H128" s="602"/>
      <c r="I128" s="602"/>
      <c r="J128" s="602"/>
      <c r="K128" s="602"/>
      <c r="L128" s="602"/>
      <c r="M128" s="39"/>
      <c r="N128" s="39"/>
      <c r="O128" s="39"/>
      <c r="P128" s="52"/>
      <c r="Q128" s="23"/>
    </row>
    <row r="129" spans="1:31" ht="30" customHeight="1">
      <c r="A129" s="33" t="str">
        <f t="shared" si="4"/>
        <v/>
      </c>
      <c r="B129" s="601"/>
      <c r="C129" s="601"/>
      <c r="D129" s="602" t="s">
        <v>647</v>
      </c>
      <c r="E129" s="602"/>
      <c r="F129" s="602"/>
      <c r="G129" s="602"/>
      <c r="H129" s="602"/>
      <c r="I129" s="602"/>
      <c r="J129" s="602"/>
      <c r="K129" s="602"/>
      <c r="L129" s="602"/>
      <c r="M129" s="39"/>
      <c r="N129" s="39"/>
      <c r="O129" s="39"/>
      <c r="P129" s="52"/>
      <c r="Q129" s="23"/>
    </row>
    <row r="130" spans="1:31" ht="30" customHeight="1">
      <c r="A130" s="33" t="str">
        <f t="shared" si="4"/>
        <v>3.26.5DMF</v>
      </c>
      <c r="B130" s="70" t="s">
        <v>413</v>
      </c>
      <c r="C130" s="70" t="s">
        <v>612</v>
      </c>
      <c r="D130" s="34">
        <v>73.099999999999994</v>
      </c>
      <c r="E130" s="35">
        <v>0.94799999999999995</v>
      </c>
      <c r="F130" s="36" t="s">
        <v>613</v>
      </c>
      <c r="G130" s="37">
        <v>9.48</v>
      </c>
      <c r="H130" s="38" t="str">
        <f>TEXT(ROUND(G130*树脂信息!$C$4,2),"0.00")</f>
        <v>616.20</v>
      </c>
      <c r="I130" s="105" t="s">
        <v>614</v>
      </c>
      <c r="J130" s="37" t="str">
        <f>TEXT(ROUND(H130*0.94,2),"0.00")&amp;"~"&amp;TEXT(ROUND(H130*1.06,2),"0.00")</f>
        <v>579.23~653.17</v>
      </c>
      <c r="K130" s="70"/>
      <c r="L130" s="70" t="s">
        <v>625</v>
      </c>
      <c r="M130" s="52"/>
      <c r="N130" s="52"/>
      <c r="O130" s="52"/>
      <c r="P130" s="40">
        <v>10</v>
      </c>
      <c r="Q130" s="23"/>
    </row>
    <row r="131" spans="1:31" ht="36.75" customHeight="1">
      <c r="A131" s="33" t="str">
        <f t="shared" si="4"/>
        <v>3.26.7DMF</v>
      </c>
      <c r="B131" s="70" t="s">
        <v>681</v>
      </c>
      <c r="C131" s="70" t="s">
        <v>612</v>
      </c>
      <c r="D131" s="34">
        <v>73.099999999999994</v>
      </c>
      <c r="E131" s="35">
        <v>0.94799999999999995</v>
      </c>
      <c r="F131" s="36" t="s">
        <v>613</v>
      </c>
      <c r="G131" s="37">
        <v>9.48</v>
      </c>
      <c r="H131" s="38" t="str">
        <f>TEXT(ROUND(G131*树脂信息!$C$4,2),"0.00")</f>
        <v>616.20</v>
      </c>
      <c r="I131" s="105" t="s">
        <v>614</v>
      </c>
      <c r="J131" s="37" t="str">
        <f>TEXT(ROUND(H131*0.94,2),"0.00")&amp;"~"&amp;TEXT(ROUND(H131*1.06,2),"0.00")</f>
        <v>579.23~653.17</v>
      </c>
      <c r="K131" s="28"/>
      <c r="L131" s="28" t="s">
        <v>625</v>
      </c>
      <c r="M131" s="39"/>
      <c r="N131" s="39"/>
      <c r="O131" s="39"/>
      <c r="P131" s="40">
        <v>10</v>
      </c>
      <c r="Q131" s="23"/>
    </row>
    <row r="132" spans="1:31" ht="30" customHeight="1">
      <c r="A132" s="85" t="str">
        <f t="shared" si="4"/>
        <v>3.27.1DMF</v>
      </c>
      <c r="B132" s="105" t="s">
        <v>417</v>
      </c>
      <c r="C132" s="105" t="s">
        <v>612</v>
      </c>
      <c r="D132" s="34">
        <v>73.099999999999994</v>
      </c>
      <c r="E132" s="35">
        <v>0.94799999999999995</v>
      </c>
      <c r="F132" s="36" t="s">
        <v>613</v>
      </c>
      <c r="G132" s="37">
        <v>5.69</v>
      </c>
      <c r="H132" s="38" t="str">
        <f>TEXT(ROUND(G132*树脂信息!$C$4,2),"0.00")</f>
        <v>369.85</v>
      </c>
      <c r="I132" s="105" t="s">
        <v>615</v>
      </c>
      <c r="J132" s="37" t="str">
        <f>TEXT(ROUND(H132*0.95,2),"0.00")&amp;"~"&amp;TEXT(ROUND(H132*1.05,2),"0.00")</f>
        <v>351.36~388.34</v>
      </c>
      <c r="K132" s="105"/>
      <c r="L132" s="105"/>
      <c r="M132" s="84"/>
      <c r="N132" s="84"/>
      <c r="O132" s="84"/>
      <c r="P132" s="40">
        <v>6</v>
      </c>
      <c r="Q132" s="23"/>
      <c r="R132" s="73"/>
      <c r="S132" s="73"/>
      <c r="T132" s="73"/>
      <c r="U132" s="73"/>
      <c r="V132" s="73"/>
      <c r="W132" s="73"/>
      <c r="X132" s="73"/>
      <c r="Y132" s="73"/>
      <c r="Z132" s="73"/>
      <c r="AA132" s="73"/>
      <c r="AB132" s="73"/>
      <c r="AC132" s="73"/>
      <c r="AD132" s="73"/>
      <c r="AE132" s="73"/>
    </row>
    <row r="133" spans="1:31" ht="30" customHeight="1">
      <c r="A133" s="33" t="str">
        <f t="shared" si="4"/>
        <v>3.27.2Fmoc-L-Cys(Trt)-OH</v>
      </c>
      <c r="B133" s="49" t="s">
        <v>682</v>
      </c>
      <c r="C133" s="49" t="s">
        <v>656</v>
      </c>
      <c r="D133" s="34">
        <v>585.71</v>
      </c>
      <c r="E133" s="41" t="s">
        <v>613</v>
      </c>
      <c r="F133" s="35">
        <f>O133</f>
        <v>2</v>
      </c>
      <c r="G133" s="37" t="s">
        <v>613</v>
      </c>
      <c r="H133" s="48">
        <f>ROUND(O133*D133/1000*树脂信息!$D$4,2)</f>
        <v>120.3</v>
      </c>
      <c r="I133" s="28" t="s">
        <v>618</v>
      </c>
      <c r="J133" s="37" t="str">
        <f>TEXT(ROUND(H133*0.97,2),"0.00")&amp;"~"&amp;TEXT(ROUND(H133*1.03,2),"0.00")</f>
        <v>116.69~123.91</v>
      </c>
      <c r="K133" s="57">
        <f>ROUND(H133*0.03,2)</f>
        <v>3.61</v>
      </c>
      <c r="L133" s="28"/>
      <c r="M133" s="43">
        <f>(H133-H133*0.97)+(H133-H133*1.03)</f>
        <v>0</v>
      </c>
      <c r="N133" s="116">
        <v>2</v>
      </c>
      <c r="O133" s="43">
        <v>2</v>
      </c>
      <c r="P133" s="28"/>
      <c r="Q133" s="50" t="str">
        <f>"Ins "&amp;B133&amp;" The standard batch Qty of "&amp;LEFT(C133,FIND("/",C133,1)-1)&amp;"/操作"&amp;LEFT(B133,FIND("/",B133,1)-1)&amp;"（用于Ins."&amp;MID(B133,FIND("/",B133,1)+1,100)&amp;"）"&amp;MID(C133,FIND("/",C133,1)+1,100)&amp;"标准投料量"</f>
        <v>Ins 1.18/3.27.2 The standard batch Qty of Fmoc-L-Cys(Trt)-OH/操作1.18（用于Ins.3.27.2）Fmoc-S-三苯甲基-L-半胱氨酸标准投料量</v>
      </c>
      <c r="R133" s="50" t="s">
        <v>619</v>
      </c>
      <c r="S133" s="50" t="s">
        <v>620</v>
      </c>
      <c r="T133" s="50" t="e">
        <f>R133&amp;#REF!&amp;S133</f>
        <v>#REF!</v>
      </c>
      <c r="U133" s="50">
        <f>COUNTIF($S$9:S133,_xlfn.IFNA(S133,$S$9:S133))+1</f>
        <v>22</v>
      </c>
      <c r="V133" s="50">
        <f>U133-1</f>
        <v>21</v>
      </c>
      <c r="W133" s="50" t="str">
        <f>"Update Ins "&amp;MID(B133,FIND("/",B133,1)+1,100)&amp;" plan qty of "&amp;LEFT(C133,FIND("/",C133,1)-1)&amp;"/更新操作"&amp;MID(B133,FIND("/",B133,1)+1,100)&amp;" "&amp;MID(C133,FIND("/",C133,1)+1,100)&amp;"计划量"</f>
        <v>Update Ins 3.27.2 plan qty of Fmoc-L-Cys(Trt)-OH/更新操作3.27.2 Fmoc-S-三苯甲基-L-半胱氨酸计划量</v>
      </c>
      <c r="X133" s="50" t="s">
        <v>621</v>
      </c>
      <c r="Y133" s="44" t="s">
        <v>683</v>
      </c>
      <c r="Z133" s="50" t="str">
        <f>X133&amp;MID(B133,FIND("/",B133,1)+1,100)&amp;Y133&amp;U133&amp;" Value})"</f>
        <v>updateWeighingPlanQuantity("3.27.2-1", PH:{Standard batch Qty calculation/标准投料量计算-03}.{22 Value})</v>
      </c>
      <c r="AB133" s="50" t="str">
        <f>"Ins "&amp;LEFT(B133,FIND("/",B133,1)-1)&amp;" Dispense "&amp;LEFT(C133,FIND("/",C133,1)-1)&amp;"/分装"&amp;MID(C133,FIND("/",C133,1)+1,100)</f>
        <v>Ins 1.18 Dispense Fmoc-L-Cys(Trt)-OH/分装Fmoc-S-三苯甲基-L-半胱氨酸</v>
      </c>
      <c r="AC133" s="50" t="str">
        <f>MID(B133,FIND("/",B133,1)+1,100)&amp;" "&amp;C133</f>
        <v>3.27.2 Fmoc-L-Cys(Trt)-OH/Fmoc-S-三苯甲基-L-半胱氨酸</v>
      </c>
    </row>
    <row r="134" spans="1:31" ht="36.75" customHeight="1">
      <c r="A134" s="33" t="str">
        <f t="shared" si="4"/>
        <v>3.27.3Oxymapure</v>
      </c>
      <c r="B134" s="49" t="s">
        <v>684</v>
      </c>
      <c r="C134" s="49" t="s">
        <v>658</v>
      </c>
      <c r="D134" s="34">
        <v>142.11000000000001</v>
      </c>
      <c r="E134" s="41" t="s">
        <v>613</v>
      </c>
      <c r="F134" s="35">
        <f>O134</f>
        <v>3</v>
      </c>
      <c r="G134" s="37" t="s">
        <v>613</v>
      </c>
      <c r="H134" s="48">
        <f>ROUND(O134*D134/1000*树脂信息!$D$4,2)</f>
        <v>43.78</v>
      </c>
      <c r="I134" s="28" t="s">
        <v>618</v>
      </c>
      <c r="J134" s="37" t="str">
        <f>TEXT(ROUND(H134*0.97,2),"0.00")&amp;"~"&amp;TEXT(ROUND(H134*1.03,2),"0.00")</f>
        <v>42.47~45.09</v>
      </c>
      <c r="K134" s="57">
        <f>ROUND(H134*0.03,2)</f>
        <v>1.31</v>
      </c>
      <c r="L134" s="28"/>
      <c r="M134" s="43">
        <f>(H134-H134*0.97)+(H134-H134*1.03)</f>
        <v>0</v>
      </c>
      <c r="N134" s="119">
        <v>3</v>
      </c>
      <c r="O134" s="58">
        <v>3</v>
      </c>
      <c r="P134" s="28"/>
      <c r="Q134" s="50" t="str">
        <f>"Ins "&amp;B134&amp;" The standard batch Qty of "&amp;LEFT(C134,FIND("/",C134,1)-1)&amp;"/操作"&amp;LEFT(B134,FIND("/",B134,1)-1)&amp;"（用于Ins."&amp;MID(B134,FIND("/",B134,1)+1,100)&amp;"）"&amp;MID(C134,FIND("/",C134,1)+1,100)&amp;"标准投料量"</f>
        <v>Ins 1.19/3.27.3 The standard batch Qty of Oxyma pure/操作1.19（用于Ins.3.27.3）2-肟氰乙酸乙酯标准投料量</v>
      </c>
      <c r="R134" s="50" t="s">
        <v>619</v>
      </c>
      <c r="S134" s="50" t="s">
        <v>620</v>
      </c>
      <c r="T134" s="50" t="e">
        <f>R134&amp;#REF!&amp;S134</f>
        <v>#REF!</v>
      </c>
      <c r="U134" s="50">
        <f>COUNTIF($S$9:S134,_xlfn.IFNA(S134,$S$9:S134))+1</f>
        <v>23</v>
      </c>
      <c r="V134" s="50">
        <f>U134-1</f>
        <v>22</v>
      </c>
      <c r="W134" s="50" t="str">
        <f>"Update Ins "&amp;MID(B134,FIND("/",B134,1)+1,100)&amp;" plan qty of "&amp;LEFT(C134,FIND("/",C134,1)-1)&amp;"/更新操作"&amp;MID(B134,FIND("/",B134,1)+1,100)&amp;" "&amp;MID(C134,FIND("/",C134,1)+1,100)&amp;"计划量"</f>
        <v>Update Ins 3.27.3 plan qty of Oxyma pure/更新操作3.27.3 2-肟氰乙酸乙酯计划量</v>
      </c>
      <c r="X134" s="50" t="s">
        <v>621</v>
      </c>
      <c r="Y134" s="44" t="s">
        <v>683</v>
      </c>
      <c r="Z134" s="50" t="str">
        <f>X134&amp;MID(B134,FIND("/",B134,1)+1,100)&amp;Y134&amp;U134&amp;" Value})"</f>
        <v>updateWeighingPlanQuantity("3.27.3-1", PH:{Standard batch Qty calculation/标准投料量计算-03}.{23 Value})</v>
      </c>
      <c r="AB134" s="50" t="str">
        <f>"Ins "&amp;LEFT(B134,FIND("/",B134,1)-1)&amp;" Dispense "&amp;LEFT(C134,FIND("/",C134,1)-1)&amp;"/分装"&amp;MID(C134,FIND("/",C134,1)+1,100)</f>
        <v>Ins 1.19 Dispense Oxyma pure/分装2-肟氰乙酸乙酯</v>
      </c>
      <c r="AC134" s="50" t="str">
        <f>MID(B134,FIND("/",B134,1)+1,100)&amp;" "&amp;C134</f>
        <v>3.27.3 Oxyma pure/2-肟氰乙酸乙酯</v>
      </c>
    </row>
    <row r="135" spans="1:31" ht="30" customHeight="1">
      <c r="A135" s="33" t="str">
        <f t="shared" si="4"/>
        <v>3.27.4DMF</v>
      </c>
      <c r="B135" s="28" t="s">
        <v>420</v>
      </c>
      <c r="C135" s="28" t="s">
        <v>612</v>
      </c>
      <c r="D135" s="34">
        <v>73.099999999999994</v>
      </c>
      <c r="E135" s="35">
        <v>0.94799999999999995</v>
      </c>
      <c r="F135" s="36" t="s">
        <v>613</v>
      </c>
      <c r="G135" s="37">
        <v>0.95</v>
      </c>
      <c r="H135" s="38" t="str">
        <f>TEXT(ROUND(G135*树脂信息!$C$4,2),"0.00")</f>
        <v>61.75</v>
      </c>
      <c r="I135" s="105" t="s">
        <v>614</v>
      </c>
      <c r="J135" s="37" t="str">
        <f>TEXT(ROUND(H135*0.94,2),"0.00")&amp;"~"&amp;TEXT(ROUND(H135*1.06,2),"0.00")</f>
        <v>58.05~65.46</v>
      </c>
      <c r="K135" s="28"/>
      <c r="L135" s="28"/>
      <c r="M135" s="57"/>
      <c r="N135" s="57"/>
      <c r="O135" s="57"/>
      <c r="P135" s="40">
        <v>1</v>
      </c>
      <c r="Y135" s="44"/>
    </row>
    <row r="136" spans="1:31" ht="30" customHeight="1">
      <c r="A136" s="33" t="str">
        <f t="shared" si="4"/>
        <v>3.28.2DMF</v>
      </c>
      <c r="B136" s="28" t="s">
        <v>422</v>
      </c>
      <c r="C136" s="28" t="s">
        <v>612</v>
      </c>
      <c r="D136" s="34">
        <v>73.099999999999994</v>
      </c>
      <c r="E136" s="35">
        <v>0.94799999999999995</v>
      </c>
      <c r="F136" s="36" t="s">
        <v>613</v>
      </c>
      <c r="G136" s="37">
        <v>0.95</v>
      </c>
      <c r="H136" s="38" t="str">
        <f>TEXT(ROUND(G136*树脂信息!$C$4,2),"0.00")</f>
        <v>61.75</v>
      </c>
      <c r="I136" s="105" t="s">
        <v>614</v>
      </c>
      <c r="J136" s="37" t="str">
        <f>TEXT(ROUND(H136*0.94,2),"0.00")&amp;"~"&amp;TEXT(ROUND(H136*1.06,2),"0.00")</f>
        <v>58.05~65.46</v>
      </c>
      <c r="K136" s="28"/>
      <c r="L136" s="28"/>
      <c r="M136" s="57"/>
      <c r="N136" s="57"/>
      <c r="O136" s="57"/>
      <c r="P136" s="40">
        <v>1</v>
      </c>
      <c r="Q136" s="23"/>
    </row>
    <row r="137" spans="1:31" ht="30" customHeight="1">
      <c r="A137" s="33" t="str">
        <f t="shared" si="4"/>
        <v>3.28.3DMF</v>
      </c>
      <c r="B137" s="49" t="s">
        <v>426</v>
      </c>
      <c r="C137" s="49" t="s">
        <v>612</v>
      </c>
      <c r="D137" s="34">
        <v>73.099999999999994</v>
      </c>
      <c r="E137" s="35">
        <v>0.94799999999999995</v>
      </c>
      <c r="F137" s="36" t="s">
        <v>613</v>
      </c>
      <c r="G137" s="37">
        <v>0.95</v>
      </c>
      <c r="H137" s="38" t="str">
        <f>TEXT(ROUND(G137*树脂信息!$C$4,2),"0.00")</f>
        <v>61.75</v>
      </c>
      <c r="I137" s="105" t="s">
        <v>614</v>
      </c>
      <c r="J137" s="37" t="str">
        <f>TEXT(ROUND(H137*0.94,2),"0.00")&amp;"~"&amp;TEXT(ROUND(H137*1.06,2),"0.00")</f>
        <v>58.05~65.46</v>
      </c>
      <c r="K137" s="28"/>
      <c r="L137" s="28"/>
      <c r="M137" s="57"/>
      <c r="N137" s="57"/>
      <c r="O137" s="57"/>
      <c r="P137" s="40">
        <v>1</v>
      </c>
      <c r="Q137" s="50" t="str">
        <f>"Ins "&amp;B137&amp;" The standard batch Qty of "&amp;LEFT(C137,FIND("/",C137,1)-1)&amp;"/操作"&amp;B137&amp;MID(C137,FIND("/",C137,1)+1,100)&amp;"标准投料量"</f>
        <v>Ins 3.28.3 The standard batch Qty of DMF/操作3.28.3N, N-二甲基甲酰胺标准投料量</v>
      </c>
      <c r="R137" s="50" t="s">
        <v>619</v>
      </c>
      <c r="S137" s="50" t="s">
        <v>620</v>
      </c>
      <c r="T137" s="50" t="e">
        <f>R137&amp;#REF!&amp;S137</f>
        <v>#REF!</v>
      </c>
      <c r="U137" s="50">
        <f>COUNTIF($S$9:S137,_xlfn.IFNA(S137,$S$9:S137))+1</f>
        <v>24</v>
      </c>
      <c r="V137" s="50">
        <f>U137-1</f>
        <v>23</v>
      </c>
      <c r="W137" s="50" t="str">
        <f>"Update Ins "&amp;B137&amp;" plan qty of "&amp;LEFT(C137,FIND("/",C137,1)-1)&amp;"/更新操作"&amp;B137&amp;" "&amp;MID(C137,FIND("/",C137,1)+1,100)&amp;"计划量"</f>
        <v>Update Ins 3.28.3 plan qty of DMF/更新操作3.28.3 N, N-二甲基甲酰胺计划量</v>
      </c>
      <c r="X137" s="50" t="s">
        <v>621</v>
      </c>
      <c r="Y137" s="44" t="s">
        <v>683</v>
      </c>
      <c r="Z137" s="50" t="str">
        <f>X137&amp;B137&amp;Y137&amp;U137&amp;" Value})"</f>
        <v>updateWeighingPlanQuantity("3.28.3-1", PH:{Standard batch Qty calculation/标准投料量计算-03}.{24 Value})</v>
      </c>
      <c r="AB137" s="50" t="str">
        <f>"Ins "&amp;B137&amp;" Weighing of "&amp;LEFT(C137,FIND("/",C137,1)-1)&amp;"/"&amp;MID(C137,FIND("/",C137,1)+1,100)&amp;"称重"</f>
        <v>Ins 3.28.3 Weighing of DMF/N, N-二甲基甲酰胺称重</v>
      </c>
    </row>
    <row r="138" spans="1:31" ht="36.75" customHeight="1">
      <c r="A138" s="33" t="str">
        <f t="shared" si="4"/>
        <v>3.28.3DIC</v>
      </c>
      <c r="B138" s="49" t="s">
        <v>426</v>
      </c>
      <c r="C138" s="49" t="s">
        <v>660</v>
      </c>
      <c r="D138" s="34">
        <v>126.2</v>
      </c>
      <c r="E138" s="41" t="s">
        <v>613</v>
      </c>
      <c r="F138" s="35">
        <f>O138</f>
        <v>3.3</v>
      </c>
      <c r="G138" s="37" t="s">
        <v>613</v>
      </c>
      <c r="H138" s="48">
        <f>ROUND(O138*D138/1000*树脂信息!$D$4,2)</f>
        <v>42.77</v>
      </c>
      <c r="I138" s="49" t="s">
        <v>618</v>
      </c>
      <c r="J138" s="37" t="str">
        <f>TEXT(ROUND(H138*0.97,2),"0.00")&amp;"~"&amp;TEXT(ROUND(H138*1.03,2),"0.00")</f>
        <v>41.49~44.05</v>
      </c>
      <c r="K138" s="57">
        <f>ROUND(H138*0.03,2)</f>
        <v>1.28</v>
      </c>
      <c r="L138" s="28"/>
      <c r="M138" s="43">
        <f>(H138-H138*0.97)+(H138-H138*1.03)</f>
        <v>0</v>
      </c>
      <c r="N138" s="119">
        <v>3.3</v>
      </c>
      <c r="O138" s="58">
        <v>3.3</v>
      </c>
      <c r="P138" s="28"/>
      <c r="Q138" s="50" t="str">
        <f>"Ins "&amp;B138&amp;" The standard batch Qty of "&amp;LEFT(C138,FIND("/",C138,1)-1)&amp;"/操作"&amp;B138&amp;MID(C138,FIND("/",C138,1)+1,100)&amp;"标准投料量"</f>
        <v>Ins 3.28.3 The standard batch Qty of DIC/操作3.28.3N,N'-二异丙基碳二亚胺标准投料量</v>
      </c>
      <c r="R138" s="50" t="s">
        <v>619</v>
      </c>
      <c r="S138" s="50" t="s">
        <v>620</v>
      </c>
      <c r="T138" s="50" t="e">
        <f>R138&amp;#REF!&amp;S138</f>
        <v>#REF!</v>
      </c>
      <c r="U138" s="50">
        <f>COUNTIF($S$9:S138,_xlfn.IFNA(S138,$S$9:S138))+1</f>
        <v>25</v>
      </c>
      <c r="V138" s="50">
        <f>U138-1</f>
        <v>24</v>
      </c>
      <c r="W138" s="50" t="str">
        <f>"Update Ins "&amp;B138&amp;" plan qty of "&amp;LEFT(C138,FIND("/",C138,1)-1)&amp;"/更新操作"&amp;B138&amp;" "&amp;MID(C138,FIND("/",C138,1)+1,100)&amp;"计划量"</f>
        <v>Update Ins 3.28.3 plan qty of DIC/更新操作3.28.3 N,N'-二异丙基碳二亚胺计划量</v>
      </c>
      <c r="X138" s="50" t="s">
        <v>621</v>
      </c>
      <c r="Y138" s="44" t="s">
        <v>685</v>
      </c>
      <c r="Z138" s="50" t="str">
        <f>X138&amp;B138&amp;Y138&amp;U138&amp;" Value})"</f>
        <v>updateWeighingPlanQuantity("3.28.3-3", PH:{Standard batch Qty calculation/标准投料量计算-03}.{25 Value})</v>
      </c>
      <c r="AB138" s="50" t="str">
        <f>"Ins "&amp;B138&amp;" Weighing of "&amp;LEFT(C138,FIND("/",C138,1)-1)&amp;"/"&amp;MID(C138,FIND("/",C138,1)+1,100)&amp;"称重"</f>
        <v>Ins 3.28.3 Weighing of DIC/N,N'-二异丙基碳二亚胺称重</v>
      </c>
    </row>
    <row r="139" spans="1:31" ht="30" customHeight="1">
      <c r="A139" s="33" t="str">
        <f t="shared" si="4"/>
        <v>3.28.10DMF</v>
      </c>
      <c r="B139" s="601" t="s">
        <v>431</v>
      </c>
      <c r="C139" s="601" t="s">
        <v>612</v>
      </c>
      <c r="D139" s="34">
        <v>73.099999999999994</v>
      </c>
      <c r="E139" s="35">
        <v>0.94799999999999995</v>
      </c>
      <c r="F139" s="36" t="s">
        <v>613</v>
      </c>
      <c r="G139" s="37">
        <v>9.48</v>
      </c>
      <c r="H139" s="38" t="str">
        <f>TEXT(ROUND(G139*树脂信息!$C$4,2),"0.00")</f>
        <v>616.20</v>
      </c>
      <c r="I139" s="105" t="s">
        <v>614</v>
      </c>
      <c r="J139" s="37" t="str">
        <f>TEXT(ROUND(H139*0.94,2),"0.00")&amp;"~"&amp;TEXT(ROUND(H139*1.06,2),"0.00")</f>
        <v>579.23~653.17</v>
      </c>
      <c r="K139" s="28"/>
      <c r="L139" s="28" t="s">
        <v>625</v>
      </c>
      <c r="M139" s="39"/>
      <c r="N139" s="39"/>
      <c r="O139" s="39"/>
      <c r="P139" s="40">
        <v>10</v>
      </c>
      <c r="Q139" s="23"/>
    </row>
    <row r="140" spans="1:31" ht="30" customHeight="1">
      <c r="A140" s="33" t="str">
        <f t="shared" si="4"/>
        <v/>
      </c>
      <c r="B140" s="601"/>
      <c r="C140" s="601"/>
      <c r="D140" s="602" t="s">
        <v>626</v>
      </c>
      <c r="E140" s="602"/>
      <c r="F140" s="602"/>
      <c r="G140" s="602"/>
      <c r="H140" s="602"/>
      <c r="I140" s="602"/>
      <c r="J140" s="602"/>
      <c r="K140" s="602"/>
      <c r="L140" s="602"/>
      <c r="M140" s="39"/>
      <c r="N140" s="39"/>
      <c r="O140" s="39"/>
      <c r="P140" s="52"/>
      <c r="Q140" s="23"/>
    </row>
    <row r="141" spans="1:31" ht="30" customHeight="1">
      <c r="A141" s="33" t="str">
        <f t="shared" ref="A141:A172" si="5">IFERROR(SUBSTITUTE(IFERROR(MID(B141,FIND("/",B141,1)+1,LEN(B141)),B141)&amp;LEFT(C141,FIND("/",C141,1)-1)," ",""),"")</f>
        <v/>
      </c>
      <c r="B141" s="45" t="s">
        <v>686</v>
      </c>
      <c r="C141" s="46"/>
      <c r="D141" s="45"/>
      <c r="E141" s="47"/>
      <c r="F141" s="72"/>
      <c r="G141" s="47"/>
      <c r="H141" s="45"/>
      <c r="I141" s="45"/>
      <c r="J141" s="45"/>
      <c r="K141" s="45"/>
      <c r="L141" s="45"/>
      <c r="M141" s="39"/>
      <c r="N141" s="39"/>
      <c r="O141" s="39"/>
      <c r="P141" s="45"/>
      <c r="Q141" s="23"/>
    </row>
    <row r="142" spans="1:31" ht="30" customHeight="1">
      <c r="A142" s="33" t="str">
        <f t="shared" si="5"/>
        <v>3.29.120%piperidinesolution</v>
      </c>
      <c r="B142" s="70" t="s">
        <v>435</v>
      </c>
      <c r="C142" s="70" t="s">
        <v>635</v>
      </c>
      <c r="D142" s="54" t="s">
        <v>613</v>
      </c>
      <c r="E142" s="35">
        <v>0.93100000000000005</v>
      </c>
      <c r="F142" s="36" t="s">
        <v>613</v>
      </c>
      <c r="G142" s="37">
        <v>7.44</v>
      </c>
      <c r="H142" s="38" t="str">
        <f>TEXT(ROUND(G142*树脂信息!$C$4,2),"0.00")</f>
        <v>483.60</v>
      </c>
      <c r="I142" s="105" t="s">
        <v>614</v>
      </c>
      <c r="J142" s="37" t="str">
        <f>TEXT(ROUND(H142*0.94,2),"0.00")&amp;"~"&amp;TEXT(ROUND(H142*1.06,2),"0.00")</f>
        <v>454.58~512.62</v>
      </c>
      <c r="K142" s="28"/>
      <c r="L142" s="28" t="s">
        <v>625</v>
      </c>
      <c r="M142" s="39"/>
      <c r="N142" s="39"/>
      <c r="O142" s="39"/>
      <c r="P142" s="40">
        <v>8</v>
      </c>
      <c r="Q142" s="23"/>
    </row>
    <row r="143" spans="1:31" ht="30" customHeight="1">
      <c r="A143" s="33" t="str">
        <f t="shared" si="5"/>
        <v>3.29.4IPAC</v>
      </c>
      <c r="B143" s="601" t="s">
        <v>438</v>
      </c>
      <c r="C143" s="601" t="s">
        <v>637</v>
      </c>
      <c r="D143" s="34"/>
      <c r="E143" s="35">
        <v>0.873</v>
      </c>
      <c r="F143" s="36" t="s">
        <v>613</v>
      </c>
      <c r="G143" s="37">
        <v>8.73</v>
      </c>
      <c r="H143" s="38" t="str">
        <f>TEXT(ROUND(G143*树脂信息!$C$4,2),"0.00")</f>
        <v>567.45</v>
      </c>
      <c r="I143" s="105" t="s">
        <v>614</v>
      </c>
      <c r="J143" s="37" t="str">
        <f>TEXT(ROUND(H143*0.94,2),"0.00")&amp;"~"&amp;TEXT(ROUND(H143*1.06,2),"0.00")</f>
        <v>533.40~601.50</v>
      </c>
      <c r="K143" s="28"/>
      <c r="L143" s="28" t="s">
        <v>625</v>
      </c>
      <c r="M143" s="39"/>
      <c r="N143" s="39"/>
      <c r="O143" s="39"/>
      <c r="P143" s="40">
        <v>10</v>
      </c>
      <c r="Q143" s="23"/>
    </row>
    <row r="144" spans="1:31" ht="30" customHeight="1">
      <c r="A144" s="33" t="str">
        <f t="shared" si="5"/>
        <v/>
      </c>
      <c r="B144" s="601"/>
      <c r="C144" s="601"/>
      <c r="D144" s="602" t="s">
        <v>626</v>
      </c>
      <c r="E144" s="602"/>
      <c r="F144" s="602"/>
      <c r="G144" s="602"/>
      <c r="H144" s="602"/>
      <c r="I144" s="602"/>
      <c r="J144" s="602"/>
      <c r="K144" s="602"/>
      <c r="L144" s="602"/>
      <c r="M144" s="39"/>
      <c r="N144" s="39"/>
      <c r="O144" s="39"/>
      <c r="P144" s="52"/>
      <c r="Q144" s="23"/>
    </row>
    <row r="145" spans="1:31" ht="30" customHeight="1">
      <c r="A145" s="33" t="str">
        <f t="shared" si="5"/>
        <v/>
      </c>
      <c r="B145" s="601"/>
      <c r="C145" s="601"/>
      <c r="D145" s="602" t="s">
        <v>647</v>
      </c>
      <c r="E145" s="602"/>
      <c r="F145" s="602"/>
      <c r="G145" s="602"/>
      <c r="H145" s="602"/>
      <c r="I145" s="602"/>
      <c r="J145" s="602"/>
      <c r="K145" s="602"/>
      <c r="L145" s="602"/>
      <c r="M145" s="39"/>
      <c r="N145" s="39"/>
      <c r="O145" s="39"/>
      <c r="P145" s="52"/>
      <c r="Q145" s="23"/>
    </row>
    <row r="146" spans="1:31" ht="30" customHeight="1">
      <c r="A146" s="33" t="str">
        <f t="shared" si="5"/>
        <v>3.29.5DMF</v>
      </c>
      <c r="B146" s="70" t="s">
        <v>440</v>
      </c>
      <c r="C146" s="70" t="s">
        <v>612</v>
      </c>
      <c r="D146" s="34">
        <v>73.099999999999994</v>
      </c>
      <c r="E146" s="35">
        <v>0.94799999999999995</v>
      </c>
      <c r="F146" s="36" t="s">
        <v>613</v>
      </c>
      <c r="G146" s="37">
        <v>9.48</v>
      </c>
      <c r="H146" s="38" t="str">
        <f>TEXT(ROUND(G146*树脂信息!$C$4,2),"0.00")</f>
        <v>616.20</v>
      </c>
      <c r="I146" s="105" t="s">
        <v>614</v>
      </c>
      <c r="J146" s="37" t="str">
        <f>TEXT(ROUND(H146*0.94,2),"0.00")&amp;"~"&amp;TEXT(ROUND(H146*1.06,2),"0.00")</f>
        <v>579.23~653.17</v>
      </c>
      <c r="K146" s="70"/>
      <c r="L146" s="70" t="s">
        <v>625</v>
      </c>
      <c r="M146" s="52"/>
      <c r="N146" s="52"/>
      <c r="O146" s="52"/>
      <c r="P146" s="40">
        <v>10</v>
      </c>
      <c r="Q146" s="23"/>
    </row>
    <row r="147" spans="1:31" ht="30" customHeight="1">
      <c r="A147" s="33" t="str">
        <f t="shared" si="5"/>
        <v>3.29.7DMF</v>
      </c>
      <c r="B147" s="70" t="s">
        <v>442</v>
      </c>
      <c r="C147" s="70" t="s">
        <v>612</v>
      </c>
      <c r="D147" s="34">
        <v>73.099999999999994</v>
      </c>
      <c r="E147" s="35">
        <v>0.94799999999999995</v>
      </c>
      <c r="F147" s="36" t="s">
        <v>613</v>
      </c>
      <c r="G147" s="37">
        <v>9.48</v>
      </c>
      <c r="H147" s="38" t="str">
        <f>TEXT(ROUND(G147*树脂信息!$C$4,2),"0.00")</f>
        <v>616.20</v>
      </c>
      <c r="I147" s="105" t="s">
        <v>614</v>
      </c>
      <c r="J147" s="37" t="str">
        <f>TEXT(ROUND(H147*0.94,2),"0.00")&amp;"~"&amp;TEXT(ROUND(H147*1.06,2),"0.00")</f>
        <v>579.23~653.17</v>
      </c>
      <c r="K147" s="28"/>
      <c r="L147" s="28" t="s">
        <v>625</v>
      </c>
      <c r="M147" s="39"/>
      <c r="N147" s="39"/>
      <c r="O147" s="39"/>
      <c r="P147" s="40">
        <v>10</v>
      </c>
      <c r="Q147" s="23"/>
    </row>
    <row r="148" spans="1:31" ht="30" customHeight="1">
      <c r="A148" s="85" t="str">
        <f t="shared" si="5"/>
        <v>3.30.1DMF</v>
      </c>
      <c r="B148" s="105" t="s">
        <v>445</v>
      </c>
      <c r="C148" s="105" t="s">
        <v>612</v>
      </c>
      <c r="D148" s="34">
        <v>73.099999999999994</v>
      </c>
      <c r="E148" s="35">
        <v>0.94799999999999995</v>
      </c>
      <c r="F148" s="36" t="s">
        <v>613</v>
      </c>
      <c r="G148" s="37">
        <v>5.69</v>
      </c>
      <c r="H148" s="38" t="str">
        <f>TEXT(ROUND(G148*树脂信息!$C$4,2),"0.00")</f>
        <v>369.85</v>
      </c>
      <c r="I148" s="105" t="s">
        <v>615</v>
      </c>
      <c r="J148" s="37" t="str">
        <f>TEXT(ROUND(H148*0.95,2),"0.00")&amp;"~"&amp;TEXT(ROUND(H148*1.05,2),"0.00")</f>
        <v>351.36~388.34</v>
      </c>
      <c r="K148" s="105"/>
      <c r="L148" s="105"/>
      <c r="M148" s="84"/>
      <c r="N148" s="84"/>
      <c r="O148" s="84"/>
      <c r="P148" s="40">
        <v>6</v>
      </c>
      <c r="Q148" s="23"/>
      <c r="R148" s="73"/>
      <c r="S148" s="73"/>
      <c r="T148" s="73"/>
      <c r="U148" s="73"/>
      <c r="V148" s="73"/>
      <c r="W148" s="73"/>
      <c r="X148" s="73"/>
      <c r="Y148" s="73"/>
      <c r="Z148" s="73"/>
      <c r="AA148" s="73"/>
      <c r="AB148" s="73"/>
      <c r="AC148" s="73"/>
      <c r="AD148" s="73"/>
      <c r="AE148" s="73"/>
    </row>
    <row r="149" spans="1:31" ht="30" customHeight="1">
      <c r="A149" s="33" t="str">
        <f t="shared" si="5"/>
        <v>3.30.2Boc-L-Glu-OtBu</v>
      </c>
      <c r="B149" s="28" t="s">
        <v>687</v>
      </c>
      <c r="C149" s="28" t="s">
        <v>688</v>
      </c>
      <c r="D149" s="34">
        <v>303.35000000000002</v>
      </c>
      <c r="E149" s="41" t="s">
        <v>613</v>
      </c>
      <c r="F149" s="35">
        <f>O149</f>
        <v>2</v>
      </c>
      <c r="G149" s="37" t="s">
        <v>613</v>
      </c>
      <c r="H149" s="48">
        <f>ROUND(O149*D149/1000*树脂信息!$D$4,2)</f>
        <v>62.31</v>
      </c>
      <c r="I149" s="28" t="s">
        <v>618</v>
      </c>
      <c r="J149" s="37" t="str">
        <f>TEXT(ROUND(H149*0.97,2),"0.00")&amp;"~"&amp;TEXT(ROUND(H149*1.03,2),"0.00")</f>
        <v>60.44~64.18</v>
      </c>
      <c r="K149" s="57">
        <f>ROUND(H149*0.03,2)</f>
        <v>1.87</v>
      </c>
      <c r="L149" s="28"/>
      <c r="M149" s="43">
        <f>(H149-H149*0.97)+(H149-H149*1.03)</f>
        <v>7.1054273576010019E-15</v>
      </c>
      <c r="N149" s="119">
        <v>2</v>
      </c>
      <c r="O149" s="43">
        <v>2</v>
      </c>
      <c r="P149" s="28"/>
      <c r="Q149" s="50" t="str">
        <f>"Ins "&amp;B149&amp;" The standard batch Qty of "&amp;LEFT(C149,FIND("/",C149,1)-1)&amp;"/操作"&amp;LEFT(B149,FIND("/",B149,1)-1)&amp;"（用于Ins."&amp;MID(B149,FIND("/",B149,1)+1,100)&amp;"）"&amp;MID(C149,FIND("/",C149,1)+1,100)&amp;"标准投料量"</f>
        <v>Ins 1.20/3.30.2 The standard batch Qty of Boc-L-Glu-OtBu/操作1.20（用于Ins.3.30.2）Boc-L-谷氨酸-1-叔丁酯标准投料量</v>
      </c>
      <c r="R149" s="50" t="s">
        <v>619</v>
      </c>
      <c r="S149" s="50" t="s">
        <v>620</v>
      </c>
      <c r="T149" s="50" t="e">
        <f>R149&amp;#REF!&amp;S149</f>
        <v>#REF!</v>
      </c>
      <c r="U149" s="50">
        <f>COUNTIF($S$9:S149,_xlfn.IFNA(S149,$S$9:S149))+1</f>
        <v>26</v>
      </c>
      <c r="V149" s="50">
        <f>U149-1</f>
        <v>25</v>
      </c>
      <c r="W149" s="50" t="str">
        <f>"Update Ins "&amp;MID(B149,FIND("/",B149,1)+1,100)&amp;" plan qty of "&amp;LEFT(C149,FIND("/",C149,1)-1)&amp;"/更新操作"&amp;MID(B149,FIND("/",B149,1)+1,100)&amp;" "&amp;MID(C149,FIND("/",C149,1)+1,100)&amp;"计划量"</f>
        <v>Update Ins 3.30.2 plan qty of Boc-L-Glu-OtBu/更新操作3.30.2 Boc-L-谷氨酸-1-叔丁酯计划量</v>
      </c>
      <c r="X149" s="50" t="s">
        <v>621</v>
      </c>
      <c r="Y149" s="44" t="s">
        <v>683</v>
      </c>
      <c r="Z149" s="50" t="str">
        <f>X149&amp;MID(B149,FIND("/",B149,1)+1,100)&amp;Y149&amp;U149&amp;" Value})"</f>
        <v>updateWeighingPlanQuantity("3.30.2-1", PH:{Standard batch Qty calculation/标准投料量计算-03}.{26 Value})</v>
      </c>
      <c r="AB149" s="50" t="str">
        <f>"Ins "&amp;LEFT(B149,FIND("/",B149,1)-1)&amp;" Dispense "&amp;LEFT(C149,FIND("/",C149,1)-1)&amp;"/分装"&amp;MID(C149,FIND("/",C149,1)+1,100)</f>
        <v>Ins 1.20 Dispense Boc-L-Glu-OtBu/分装Boc-L-谷氨酸-1-叔丁酯</v>
      </c>
      <c r="AC149" s="50" t="str">
        <f>MID(B149,FIND("/",B149,1)+1,100)&amp;" "&amp;C149</f>
        <v>3.30.2 Boc-L-Glu-OtBu/Boc-L-谷氨酸-1-叔丁酯</v>
      </c>
    </row>
    <row r="150" spans="1:31" ht="30" customHeight="1">
      <c r="A150" s="33" t="str">
        <f t="shared" si="5"/>
        <v>3.30.4PyBOP</v>
      </c>
      <c r="B150" s="28" t="s">
        <v>689</v>
      </c>
      <c r="C150" s="28" t="s">
        <v>642</v>
      </c>
      <c r="D150" s="34">
        <v>520.39</v>
      </c>
      <c r="E150" s="41" t="s">
        <v>613</v>
      </c>
      <c r="F150" s="35">
        <f>O150</f>
        <v>2</v>
      </c>
      <c r="G150" s="37" t="s">
        <v>613</v>
      </c>
      <c r="H150" s="48">
        <f>ROUND(O150*D150/1000*树脂信息!$D$4,2)</f>
        <v>106.89</v>
      </c>
      <c r="I150" s="28" t="s">
        <v>618</v>
      </c>
      <c r="J150" s="37" t="str">
        <f>TEXT(ROUND(H150*0.97,2),"0.00")&amp;"~"&amp;TEXT(ROUND(H150*1.03,2),"0.00")</f>
        <v>103.68~110.10</v>
      </c>
      <c r="K150" s="57">
        <f>ROUND(H150*0.03,2)</f>
        <v>3.21</v>
      </c>
      <c r="L150" s="28"/>
      <c r="M150" s="43">
        <f>(H150-H150*0.97)+(H150-H150*1.03)</f>
        <v>0</v>
      </c>
      <c r="N150" s="119">
        <v>2</v>
      </c>
      <c r="O150" s="43">
        <v>2</v>
      </c>
      <c r="P150" s="28"/>
      <c r="Q150" s="50" t="str">
        <f>"Ins "&amp;B150&amp;" The standard batch Qty of "&amp;LEFT(C150,FIND("/",C150,1)-1)&amp;"/操作"&amp;LEFT(B150,FIND("/",B150,1)-1)&amp;"（用于Ins."&amp;MID(B150,FIND("/",B150,1)+1,100)&amp;"）"&amp;MID(C150,FIND("/",C150,1)+1,100)&amp;"标准投料量"</f>
        <v>Ins 1.21/3.30.4 The standard batch Qty of PyBOP/操作1.21（用于Ins.3.30.4）1H-苯并三唑-1-基氧三吡咯烷基六氟磷酸盐标准投料量</v>
      </c>
      <c r="R150" s="50" t="s">
        <v>619</v>
      </c>
      <c r="S150" s="50" t="s">
        <v>620</v>
      </c>
      <c r="T150" s="50" t="e">
        <f>R150&amp;#REF!&amp;S150</f>
        <v>#REF!</v>
      </c>
      <c r="U150" s="50">
        <f>COUNTIF($S$9:S150,_xlfn.IFNA(S150,$S$9:S150))+1</f>
        <v>27</v>
      </c>
      <c r="V150" s="50">
        <f>U150-1</f>
        <v>26</v>
      </c>
      <c r="W150" s="50" t="str">
        <f>"Update Ins "&amp;MID(B150,FIND("/",B150,1)+1,100)&amp;" plan qty of "&amp;LEFT(C150,FIND("/",C150,1)-1)&amp;"/更新操作"&amp;MID(B150,FIND("/",B150,1)+1,100)&amp;" "&amp;MID(C150,FIND("/",C150,1)+1,100)&amp;"计划量"</f>
        <v>Update Ins 3.30.4 plan qty of PyBOP/更新操作3.30.4 1H-苯并三唑-1-基氧三吡咯烷基六氟磷酸盐计划量</v>
      </c>
      <c r="X150" s="50" t="s">
        <v>621</v>
      </c>
      <c r="Y150" s="44" t="s">
        <v>683</v>
      </c>
      <c r="Z150" s="50" t="str">
        <f>X150&amp;MID(B150,FIND("/",B150,1)+1,100)&amp;Y150&amp;U150&amp;" Value})"</f>
        <v>updateWeighingPlanQuantity("3.30.4-1", PH:{Standard batch Qty calculation/标准投料量计算-03}.{27 Value})</v>
      </c>
      <c r="AB150" s="50" t="str">
        <f>"Ins "&amp;LEFT(B150,FIND("/",B150,1)-1)&amp;" Dispense "&amp;LEFT(C150,FIND("/",C150,1)-1)&amp;"/分装"&amp;MID(C150,FIND("/",C150,1)+1,100)</f>
        <v>Ins 1.21 Dispense PyBOP/分装1H-苯并三唑-1-基氧三吡咯烷基六氟磷酸盐</v>
      </c>
      <c r="AC150" s="50" t="str">
        <f>MID(B150,FIND("/",B150,1)+1,100)&amp;" "&amp;C150</f>
        <v>3.30.4 PyBOP/1H-苯并三唑-1-基氧三吡咯烷基六氟磷酸盐</v>
      </c>
    </row>
    <row r="151" spans="1:31" ht="30" customHeight="1">
      <c r="A151" s="33" t="str">
        <f t="shared" si="5"/>
        <v>3.30.5Oxymapure</v>
      </c>
      <c r="B151" s="28" t="s">
        <v>690</v>
      </c>
      <c r="C151" s="28" t="s">
        <v>644</v>
      </c>
      <c r="D151" s="34">
        <v>142.11000000000001</v>
      </c>
      <c r="E151" s="41" t="s">
        <v>613</v>
      </c>
      <c r="F151" s="35">
        <f>O151</f>
        <v>2</v>
      </c>
      <c r="G151" s="37" t="s">
        <v>613</v>
      </c>
      <c r="H151" s="48">
        <f>ROUND(O151*D151/1000*树脂信息!$D$4,2)</f>
        <v>29.19</v>
      </c>
      <c r="I151" s="28" t="s">
        <v>618</v>
      </c>
      <c r="J151" s="37" t="str">
        <f>TEXT(ROUND(H151*0.97,2),"0.00")&amp;"~"&amp;TEXT(ROUND(H151*1.03,2),"0.00")</f>
        <v>28.31~30.07</v>
      </c>
      <c r="K151" s="57">
        <f>ROUND(H151*0.03,2)</f>
        <v>0.88</v>
      </c>
      <c r="L151" s="28"/>
      <c r="M151" s="43">
        <f>(H151-H151*0.97)+(H151-H151*1.03)</f>
        <v>0</v>
      </c>
      <c r="N151" s="119">
        <v>2</v>
      </c>
      <c r="O151" s="43">
        <v>2</v>
      </c>
      <c r="P151" s="28"/>
      <c r="Q151" s="50" t="str">
        <f>"Ins "&amp;B151&amp;" The standard batch Qty of "&amp;LEFT(C151,FIND("/",C151,1)-1)&amp;"/操作"&amp;LEFT(B151,FIND("/",B151,1)-1)&amp;"（用于Ins."&amp;MID(B151,FIND("/",B151,1)+1,100)&amp;"）"&amp;MID(C151,FIND("/",C151,1)+1,100)&amp;"标准投料量"</f>
        <v>Ins 1.22/3.30.5 The standard batch Qty of Oxyma pure/操作1.22（用于Ins.3.30.5）2-肟氰乙酸乙酯标准投料量</v>
      </c>
      <c r="R151" s="50" t="s">
        <v>619</v>
      </c>
      <c r="S151" s="50" t="s">
        <v>620</v>
      </c>
      <c r="T151" s="50" t="e">
        <f>R151&amp;#REF!&amp;S151</f>
        <v>#REF!</v>
      </c>
      <c r="U151" s="50">
        <f>COUNTIF($S$9:S151,_xlfn.IFNA(S151,$S$9:S151))+1</f>
        <v>28</v>
      </c>
      <c r="V151" s="50">
        <f>U151-1</f>
        <v>27</v>
      </c>
      <c r="W151" s="50" t="str">
        <f>"Update Ins "&amp;MID(B151,FIND("/",B151,1)+1,100)&amp;" plan qty of "&amp;LEFT(C151,FIND("/",C151,1)-1)&amp;"/更新操作"&amp;MID(B151,FIND("/",B151,1)+1,100)&amp;" "&amp;MID(C151,FIND("/",C151,1)+1,100)&amp;"计划量"</f>
        <v>Update Ins 3.30.5 plan qty of Oxyma pure/更新操作3.30.5 2-肟氰乙酸乙酯计划量</v>
      </c>
      <c r="X151" s="50" t="s">
        <v>621</v>
      </c>
      <c r="Y151" s="44" t="s">
        <v>685</v>
      </c>
      <c r="Z151" s="50" t="str">
        <f>X151&amp;MID(B151,FIND("/",B151,1)+1,100)&amp;Y151&amp;U151&amp;" Value})"</f>
        <v>updateWeighingPlanQuantity("3.30.5-3", PH:{Standard batch Qty calculation/标准投料量计算-03}.{28 Value})</v>
      </c>
      <c r="AB151" s="50" t="str">
        <f>"Ins "&amp;LEFT(B151,FIND("/",B151,1)-1)&amp;" Dispense "&amp;LEFT(C151,FIND("/",C151,1)-1)&amp;"/分装"&amp;MID(C151,FIND("/",C151,1)+1,100)</f>
        <v>Ins 1.22 Dispense Oxyma pure/分装2-肟氰乙酸乙酯</v>
      </c>
      <c r="AC151" s="50" t="str">
        <f>MID(B151,FIND("/",B151,1)+1,100)&amp;" "&amp;C151</f>
        <v>3.30.5 Oxyma pure/2-肟氰乙酸乙酯</v>
      </c>
    </row>
    <row r="152" spans="1:31" ht="30" customHeight="1">
      <c r="A152" s="33" t="str">
        <f t="shared" si="5"/>
        <v>3.30.6DMF</v>
      </c>
      <c r="B152" s="28" t="s">
        <v>449</v>
      </c>
      <c r="C152" s="28" t="s">
        <v>612</v>
      </c>
      <c r="D152" s="34">
        <v>73.099999999999994</v>
      </c>
      <c r="E152" s="35">
        <v>0.94799999999999995</v>
      </c>
      <c r="F152" s="36" t="s">
        <v>613</v>
      </c>
      <c r="G152" s="37">
        <v>0.95</v>
      </c>
      <c r="H152" s="38" t="str">
        <f>TEXT(ROUND(G152*树脂信息!$C$4,2),"0.00")</f>
        <v>61.75</v>
      </c>
      <c r="I152" s="105" t="s">
        <v>614</v>
      </c>
      <c r="J152" s="37" t="str">
        <f>TEXT(ROUND(H152*0.94,2),"0.00")&amp;"~"&amp;TEXT(ROUND(H152*1.06,2),"0.00")</f>
        <v>58.05~65.46</v>
      </c>
      <c r="K152" s="28"/>
      <c r="L152" s="28"/>
      <c r="M152" s="57"/>
      <c r="N152" s="57"/>
      <c r="O152" s="57"/>
      <c r="P152" s="40">
        <v>1</v>
      </c>
      <c r="Q152" s="23"/>
    </row>
    <row r="153" spans="1:31" ht="30" customHeight="1">
      <c r="A153" s="33" t="str">
        <f t="shared" si="5"/>
        <v>3.30.7DIPEA</v>
      </c>
      <c r="B153" s="28" t="s">
        <v>691</v>
      </c>
      <c r="C153" s="28" t="s">
        <v>624</v>
      </c>
      <c r="D153" s="34">
        <v>129.24</v>
      </c>
      <c r="E153" s="41" t="s">
        <v>613</v>
      </c>
      <c r="F153" s="35">
        <f>O153</f>
        <v>3</v>
      </c>
      <c r="G153" s="37" t="s">
        <v>613</v>
      </c>
      <c r="H153" s="48">
        <f>ROUND(O153*D153/1000*树脂信息!$D$4,2)</f>
        <v>39.82</v>
      </c>
      <c r="I153" s="49" t="s">
        <v>618</v>
      </c>
      <c r="J153" s="37" t="str">
        <f>TEXT(ROUND(H153*0.97,2),"0.00")&amp;"~"&amp;TEXT(ROUND(H153*1.03,2),"0.00")</f>
        <v>38.63~41.01</v>
      </c>
      <c r="K153" s="57">
        <f>ROUND(H153*0.03,2)</f>
        <v>1.19</v>
      </c>
      <c r="L153" s="28"/>
      <c r="M153" s="43">
        <f>(H153-H153*0.97)+(H153-H153*1.03)</f>
        <v>0</v>
      </c>
      <c r="N153" s="119">
        <v>3</v>
      </c>
      <c r="O153" s="43">
        <v>3</v>
      </c>
      <c r="P153" s="28"/>
      <c r="Q153" s="23"/>
    </row>
    <row r="154" spans="1:31" ht="30" customHeight="1">
      <c r="A154" s="33" t="str">
        <f t="shared" si="5"/>
        <v>3.31.2DMF</v>
      </c>
      <c r="B154" s="28" t="s">
        <v>454</v>
      </c>
      <c r="C154" s="28" t="s">
        <v>612</v>
      </c>
      <c r="D154" s="34">
        <v>73.099999999999994</v>
      </c>
      <c r="E154" s="35">
        <v>0.94799999999999995</v>
      </c>
      <c r="F154" s="36" t="s">
        <v>613</v>
      </c>
      <c r="G154" s="37">
        <v>0.95</v>
      </c>
      <c r="H154" s="38" t="str">
        <f>TEXT(ROUND(G154*树脂信息!$C$4,2),"0.00")</f>
        <v>61.75</v>
      </c>
      <c r="I154" s="105" t="s">
        <v>614</v>
      </c>
      <c r="J154" s="37" t="str">
        <f>TEXT(ROUND(H154*0.94,2),"0.00")&amp;"~"&amp;TEXT(ROUND(H154*1.06,2),"0.00")</f>
        <v>58.05~65.46</v>
      </c>
      <c r="K154" s="28"/>
      <c r="L154" s="28"/>
      <c r="M154" s="57"/>
      <c r="N154" s="57"/>
      <c r="O154" s="57"/>
      <c r="P154" s="40">
        <v>1</v>
      </c>
      <c r="Q154" s="23"/>
    </row>
    <row r="155" spans="1:31" ht="30" customHeight="1">
      <c r="A155" s="33" t="str">
        <f t="shared" si="5"/>
        <v>3.31.6DMF</v>
      </c>
      <c r="B155" s="601" t="s">
        <v>458</v>
      </c>
      <c r="C155" s="601" t="s">
        <v>612</v>
      </c>
      <c r="D155" s="34">
        <v>73.099999999999994</v>
      </c>
      <c r="E155" s="35">
        <v>0.94799999999999995</v>
      </c>
      <c r="F155" s="36" t="s">
        <v>613</v>
      </c>
      <c r="G155" s="37">
        <v>9.48</v>
      </c>
      <c r="H155" s="38" t="str">
        <f>TEXT(ROUND(G155*树脂信息!$C$4,2),"0.00")</f>
        <v>616.20</v>
      </c>
      <c r="I155" s="105" t="s">
        <v>614</v>
      </c>
      <c r="J155" s="37" t="str">
        <f>TEXT(ROUND(H155*0.94,2),"0.00")&amp;"~"&amp;TEXT(ROUND(H155*1.06,2),"0.00")</f>
        <v>579.23~653.17</v>
      </c>
      <c r="K155" s="28"/>
      <c r="L155" s="28" t="s">
        <v>625</v>
      </c>
      <c r="M155" s="39"/>
      <c r="N155" s="39"/>
      <c r="O155" s="39"/>
      <c r="P155" s="40">
        <v>10</v>
      </c>
      <c r="Q155" s="23"/>
    </row>
    <row r="156" spans="1:31" ht="30" customHeight="1">
      <c r="A156" s="33" t="str">
        <f t="shared" si="5"/>
        <v/>
      </c>
      <c r="B156" s="601"/>
      <c r="C156" s="601"/>
      <c r="D156" s="602" t="s">
        <v>626</v>
      </c>
      <c r="E156" s="602"/>
      <c r="F156" s="602"/>
      <c r="G156" s="602"/>
      <c r="H156" s="602"/>
      <c r="I156" s="602"/>
      <c r="J156" s="602"/>
      <c r="K156" s="602"/>
      <c r="L156" s="602"/>
      <c r="M156" s="39"/>
      <c r="N156" s="39"/>
      <c r="O156" s="39"/>
      <c r="P156" s="52"/>
      <c r="Q156" s="23"/>
    </row>
    <row r="157" spans="1:31" ht="30" customHeight="1">
      <c r="A157" s="33"/>
      <c r="B157" s="61" t="s">
        <v>692</v>
      </c>
      <c r="C157" s="28"/>
      <c r="D157" s="62"/>
      <c r="E157" s="62"/>
      <c r="F157" s="63"/>
      <c r="G157" s="63"/>
      <c r="H157" s="63"/>
      <c r="I157" s="62"/>
      <c r="J157" s="63"/>
      <c r="K157" s="62"/>
      <c r="L157" s="62"/>
      <c r="M157" s="39"/>
      <c r="N157" s="39"/>
      <c r="O157" s="39"/>
      <c r="P157" s="52"/>
      <c r="Q157" s="23"/>
    </row>
    <row r="158" spans="1:31" ht="30" customHeight="1">
      <c r="A158" s="33" t="str">
        <f t="shared" ref="A158:A165" si="6">SUBSTITUTE(IFERROR(B158&amp;LEFT(C158,FIND("/",C158)-1),"")," ","")</f>
        <v>3.32.1DMF</v>
      </c>
      <c r="B158" s="28" t="s">
        <v>462</v>
      </c>
      <c r="C158" s="28" t="s">
        <v>612</v>
      </c>
      <c r="D158" s="34">
        <v>73.099999999999994</v>
      </c>
      <c r="E158" s="35">
        <v>0.94799999999999995</v>
      </c>
      <c r="F158" s="36" t="s">
        <v>613</v>
      </c>
      <c r="G158" s="37">
        <v>3.79</v>
      </c>
      <c r="H158" s="38" t="str">
        <f>TEXT(ROUND(G158*树脂信息!$C$4,2),"0.00")</f>
        <v>246.35</v>
      </c>
      <c r="I158" s="105" t="s">
        <v>614</v>
      </c>
      <c r="J158" s="37" t="str">
        <f>TEXT(ROUND(H158*0.94,2),"0.00")&amp;"~"&amp;TEXT(ROUND(H158*1.06,2),"0.00")</f>
        <v>231.57~261.13</v>
      </c>
      <c r="K158" s="28"/>
      <c r="L158" s="28"/>
      <c r="M158" s="57"/>
      <c r="N158" s="57"/>
      <c r="O158" s="57"/>
      <c r="P158" s="40">
        <v>4</v>
      </c>
      <c r="Q158" s="23"/>
    </row>
    <row r="159" spans="1:31" ht="30" customHeight="1">
      <c r="A159" s="33" t="str">
        <f t="shared" si="6"/>
        <v>3.32.3Iodine</v>
      </c>
      <c r="B159" s="28" t="s">
        <v>694</v>
      </c>
      <c r="C159" s="64" t="s">
        <v>695</v>
      </c>
      <c r="D159" s="65">
        <v>253.81</v>
      </c>
      <c r="E159" s="35" t="s">
        <v>613</v>
      </c>
      <c r="F159" s="35">
        <f>O159</f>
        <v>5</v>
      </c>
      <c r="G159" s="37" t="s">
        <v>613</v>
      </c>
      <c r="H159" s="48">
        <f>ROUND(O159*D159/1000*树脂信息!$D$4,2)</f>
        <v>130.33000000000001</v>
      </c>
      <c r="I159" s="49" t="s">
        <v>618</v>
      </c>
      <c r="J159" s="37" t="str">
        <f>TEXT(ROUND(H159*0.97,2),"0.00")&amp;"~"&amp;TEXT(ROUND(H159*1.03,2),"0.00")</f>
        <v>126.42~134.24</v>
      </c>
      <c r="K159" s="57">
        <f>ROUND(H159*0.03,2)</f>
        <v>3.91</v>
      </c>
      <c r="L159" s="28"/>
      <c r="M159" s="43">
        <f>(H159-H159*0.97)+(H159-H159*1.03)</f>
        <v>1.4210854715202004E-14</v>
      </c>
      <c r="N159" s="119">
        <v>5</v>
      </c>
      <c r="O159" s="43">
        <v>5</v>
      </c>
      <c r="P159" s="66"/>
      <c r="Q159" s="50" t="e">
        <f>"Ins "&amp;B159&amp;" The standard batch Qty of "&amp;LEFT(C159,FIND("/",C159,1)-1)&amp;"/操作"&amp;LEFT(B159,FIND("/",B159,1)-1)&amp;"（用于Ins."&amp;MID(B159,FIND("/",B159,1)+1,100)&amp;"）"&amp;MID(C159,FIND("/",C159,1)+1,100)&amp;"标准投料量"</f>
        <v>#VALUE!</v>
      </c>
      <c r="R159" s="50" t="s">
        <v>619</v>
      </c>
      <c r="S159" s="50" t="s">
        <v>620</v>
      </c>
      <c r="T159" s="50" t="e">
        <f>R159&amp;#REF!&amp;S159</f>
        <v>#REF!</v>
      </c>
      <c r="U159" s="50">
        <f>COUNTIF($S$9:S156,_xlfn.IFNA(S159,$S$9:S156))+1</f>
        <v>28</v>
      </c>
      <c r="V159" s="50">
        <f>U159-1</f>
        <v>27</v>
      </c>
      <c r="W159" s="50" t="e">
        <f>"Update Ins "&amp;MID(B159,FIND("/",B159,1)+1,100)&amp;" plan qty of "&amp;LEFT(C159,FIND("/",C159,1)-1)&amp;"/更新操作"&amp;MID(B159,FIND("/",B159,1)+1,100)&amp;" "&amp;MID(C159,FIND("/",C159,1)+1,100)&amp;"计划量"</f>
        <v>#VALUE!</v>
      </c>
      <c r="X159" s="50" t="s">
        <v>621</v>
      </c>
      <c r="Y159" s="44" t="s">
        <v>683</v>
      </c>
      <c r="Z159" s="50" t="e">
        <f>X159&amp;MID(B159,FIND("/",B159,1)+1,100)&amp;Y159&amp;U159&amp;" Value})"</f>
        <v>#VALUE!</v>
      </c>
      <c r="AB159" s="50" t="e">
        <f>"Ins "&amp;LEFT(B159,FIND("/",B159,1)-1)&amp;" Dispense "&amp;LEFT(C159,FIND("/",C159,1)-1)&amp;"/分装"&amp;MID(C159,FIND("/",C159,1)+1,100)</f>
        <v>#VALUE!</v>
      </c>
      <c r="AC159" s="50" t="e">
        <f>MID(B159,FIND("/",B159,1)+1,100)&amp;" "&amp;C159</f>
        <v>#VALUE!</v>
      </c>
    </row>
    <row r="160" spans="1:31" ht="30" customHeight="1">
      <c r="A160" s="33" t="str">
        <f t="shared" si="6"/>
        <v>3.32.5DMF</v>
      </c>
      <c r="B160" s="28" t="s">
        <v>466</v>
      </c>
      <c r="C160" s="28" t="s">
        <v>612</v>
      </c>
      <c r="D160" s="34">
        <v>73.099999999999994</v>
      </c>
      <c r="E160" s="35">
        <v>0.94799999999999995</v>
      </c>
      <c r="F160" s="36" t="s">
        <v>613</v>
      </c>
      <c r="G160" s="37">
        <v>11.37</v>
      </c>
      <c r="H160" s="38" t="str">
        <f>TEXT(ROUND(G160*树脂信息!$C$4,2),"0.00")</f>
        <v>739.05</v>
      </c>
      <c r="I160" s="105" t="s">
        <v>614</v>
      </c>
      <c r="J160" s="37" t="str">
        <f>TEXT(ROUND(H160*0.94,2),"0.00")&amp;"~"&amp;TEXT(ROUND(H160*1.06,2),"0.00")</f>
        <v>694.71~783.39</v>
      </c>
      <c r="K160" s="28"/>
      <c r="L160" s="28"/>
      <c r="M160" s="57"/>
      <c r="N160" s="57"/>
      <c r="O160" s="57"/>
      <c r="P160" s="40">
        <v>12</v>
      </c>
      <c r="Q160" s="23"/>
    </row>
    <row r="161" spans="1:29" ht="30" customHeight="1">
      <c r="A161" s="33" t="str">
        <f t="shared" si="6"/>
        <v>3.32.9DMF</v>
      </c>
      <c r="B161" s="601" t="s">
        <v>485</v>
      </c>
      <c r="C161" s="601" t="s">
        <v>612</v>
      </c>
      <c r="D161" s="34">
        <v>73.099999999999994</v>
      </c>
      <c r="E161" s="35">
        <v>0.94799999999999995</v>
      </c>
      <c r="F161" s="36" t="s">
        <v>613</v>
      </c>
      <c r="G161" s="37">
        <v>9.48</v>
      </c>
      <c r="H161" s="38" t="str">
        <f>TEXT(ROUND(G161*树脂信息!$C$4,2),"0.00")</f>
        <v>616.20</v>
      </c>
      <c r="I161" s="105" t="s">
        <v>614</v>
      </c>
      <c r="J161" s="37" t="str">
        <f>TEXT(ROUND(H161*0.94,2),"0.00")&amp;"~"&amp;TEXT(ROUND(H161*1.06,2),"0.00")</f>
        <v>579.23~653.17</v>
      </c>
      <c r="K161" s="28"/>
      <c r="L161" s="28" t="s">
        <v>625</v>
      </c>
      <c r="M161" s="39"/>
      <c r="N161" s="39"/>
      <c r="O161" s="39"/>
      <c r="P161" s="40">
        <v>10</v>
      </c>
      <c r="Q161" s="23"/>
    </row>
    <row r="162" spans="1:29" ht="30" customHeight="1">
      <c r="A162" s="33" t="str">
        <f t="shared" si="6"/>
        <v/>
      </c>
      <c r="B162" s="601"/>
      <c r="C162" s="601"/>
      <c r="D162" s="602" t="s">
        <v>696</v>
      </c>
      <c r="E162" s="602"/>
      <c r="F162" s="602"/>
      <c r="G162" s="602"/>
      <c r="H162" s="602"/>
      <c r="I162" s="602"/>
      <c r="J162" s="602"/>
      <c r="K162" s="602"/>
      <c r="L162" s="602"/>
      <c r="M162" s="52"/>
      <c r="N162" s="52"/>
      <c r="O162" s="52"/>
      <c r="P162" s="52"/>
      <c r="Q162" s="23"/>
    </row>
    <row r="163" spans="1:29" ht="30" customHeight="1">
      <c r="A163" s="33" t="str">
        <f t="shared" si="6"/>
        <v>3.32.10DMF</v>
      </c>
      <c r="B163" s="601" t="s">
        <v>697</v>
      </c>
      <c r="C163" s="601" t="s">
        <v>612</v>
      </c>
      <c r="D163" s="34">
        <v>73.099999999999994</v>
      </c>
      <c r="E163" s="35">
        <v>0.94799999999999995</v>
      </c>
      <c r="F163" s="36" t="s">
        <v>613</v>
      </c>
      <c r="G163" s="37">
        <v>9.48</v>
      </c>
      <c r="H163" s="38" t="str">
        <f>TEXT(ROUND(G163*树脂信息!$C$4,2),"0.00")</f>
        <v>616.20</v>
      </c>
      <c r="I163" s="105" t="s">
        <v>614</v>
      </c>
      <c r="J163" s="37" t="str">
        <f>TEXT(ROUND(H163*0.94,2),"0.00")&amp;"~"&amp;TEXT(ROUND(H163*1.06,2),"0.00")</f>
        <v>579.23~653.17</v>
      </c>
      <c r="K163" s="28"/>
      <c r="L163" s="28" t="s">
        <v>625</v>
      </c>
      <c r="M163" s="39"/>
      <c r="N163" s="39"/>
      <c r="O163" s="39"/>
      <c r="P163" s="40">
        <v>10</v>
      </c>
      <c r="Q163" s="23"/>
    </row>
    <row r="164" spans="1:29" ht="30" customHeight="1">
      <c r="A164" s="33" t="str">
        <f t="shared" si="6"/>
        <v/>
      </c>
      <c r="B164" s="601"/>
      <c r="C164" s="601"/>
      <c r="D164" s="602" t="s">
        <v>626</v>
      </c>
      <c r="E164" s="602"/>
      <c r="F164" s="602"/>
      <c r="G164" s="602"/>
      <c r="H164" s="602"/>
      <c r="I164" s="602"/>
      <c r="J164" s="602"/>
      <c r="K164" s="602"/>
      <c r="L164" s="602"/>
      <c r="M164" s="39"/>
      <c r="N164" s="39"/>
      <c r="O164" s="39"/>
      <c r="P164" s="52"/>
      <c r="Q164" s="23"/>
    </row>
    <row r="165" spans="1:29" ht="30" customHeight="1">
      <c r="A165" s="33" t="str">
        <f t="shared" si="6"/>
        <v/>
      </c>
      <c r="B165" s="601"/>
      <c r="C165" s="601"/>
      <c r="D165" s="602" t="s">
        <v>647</v>
      </c>
      <c r="E165" s="602"/>
      <c r="F165" s="602"/>
      <c r="G165" s="602"/>
      <c r="H165" s="602"/>
      <c r="I165" s="602"/>
      <c r="J165" s="602"/>
      <c r="K165" s="602"/>
      <c r="L165" s="602"/>
      <c r="M165" s="39"/>
      <c r="N165" s="39"/>
      <c r="O165" s="39"/>
      <c r="P165" s="52"/>
      <c r="Q165" s="23"/>
    </row>
    <row r="166" spans="1:29" ht="30" customHeight="1">
      <c r="A166" s="33"/>
      <c r="B166" s="61" t="s">
        <v>698</v>
      </c>
      <c r="C166" s="28"/>
      <c r="D166" s="62"/>
      <c r="E166" s="62"/>
      <c r="F166" s="63"/>
      <c r="G166" s="63"/>
      <c r="H166" s="63"/>
      <c r="I166" s="62"/>
      <c r="J166" s="63"/>
      <c r="K166" s="62"/>
      <c r="L166" s="62"/>
      <c r="M166" s="39"/>
      <c r="N166" s="39"/>
      <c r="O166" s="39"/>
      <c r="P166" s="52"/>
      <c r="Q166" s="23"/>
    </row>
    <row r="167" spans="1:29" ht="30" customHeight="1">
      <c r="A167" s="33" t="str">
        <f t="shared" ref="A167:A179" si="7">SUBSTITUTE(IFERROR(B167&amp;LEFT(C167,FIND("/",C167)-1),"")," ","")</f>
        <v>3.33.1DMF</v>
      </c>
      <c r="B167" s="28" t="s">
        <v>525</v>
      </c>
      <c r="C167" s="28" t="s">
        <v>612</v>
      </c>
      <c r="D167" s="34">
        <v>73.099999999999994</v>
      </c>
      <c r="E167" s="35">
        <v>0.94799999999999995</v>
      </c>
      <c r="F167" s="36" t="s">
        <v>613</v>
      </c>
      <c r="G167" s="37">
        <v>3.79</v>
      </c>
      <c r="H167" s="38" t="str">
        <f>TEXT(ROUND(G167*树脂信息!$C$4,2),"0.00")</f>
        <v>246.35</v>
      </c>
      <c r="I167" s="105" t="s">
        <v>614</v>
      </c>
      <c r="J167" s="37" t="str">
        <f>TEXT(ROUND(H167*0.94,2),"0.00")&amp;"~"&amp;TEXT(ROUND(H167*1.06,2),"0.00")</f>
        <v>231.57~261.13</v>
      </c>
      <c r="K167" s="28"/>
      <c r="L167" s="28"/>
      <c r="M167" s="57"/>
      <c r="N167" s="57"/>
      <c r="O167" s="57"/>
      <c r="P167" s="40">
        <v>4</v>
      </c>
      <c r="Q167" s="23"/>
    </row>
    <row r="168" spans="1:29" ht="30" customHeight="1">
      <c r="A168" s="33" t="str">
        <f t="shared" si="7"/>
        <v>3.33.3Iodine</v>
      </c>
      <c r="B168" s="28" t="s">
        <v>699</v>
      </c>
      <c r="C168" s="64" t="s">
        <v>695</v>
      </c>
      <c r="D168" s="65">
        <v>253.81</v>
      </c>
      <c r="E168" s="35" t="s">
        <v>613</v>
      </c>
      <c r="F168" s="35">
        <f>O168</f>
        <v>5</v>
      </c>
      <c r="G168" s="37" t="s">
        <v>613</v>
      </c>
      <c r="H168" s="48">
        <f>ROUND(O168*D168/1000*树脂信息!$D$4,2)</f>
        <v>130.33000000000001</v>
      </c>
      <c r="I168" s="49" t="s">
        <v>618</v>
      </c>
      <c r="J168" s="37" t="str">
        <f>TEXT(ROUND(H168*0.97,2),"0.00")&amp;"~"&amp;TEXT(ROUND(H168*1.03,2),"0.00")</f>
        <v>126.42~134.24</v>
      </c>
      <c r="K168" s="57">
        <f>ROUND(H168*0.03,2)</f>
        <v>3.91</v>
      </c>
      <c r="L168" s="28"/>
      <c r="M168" s="43">
        <f>(H168-H168*0.97)+(H168-H168*1.03)</f>
        <v>1.4210854715202004E-14</v>
      </c>
      <c r="N168" s="119">
        <v>5</v>
      </c>
      <c r="O168" s="43">
        <v>5</v>
      </c>
      <c r="P168" s="66"/>
      <c r="Q168" s="50" t="e">
        <f>"Ins "&amp;B168&amp;" The standard batch Qty of "&amp;LEFT(C168,FIND("/",C168,1)-1)&amp;"/操作"&amp;LEFT(B168,FIND("/",B168,1)-1)&amp;"（用于Ins."&amp;MID(B168,FIND("/",B168,1)+1,100)&amp;"）"&amp;MID(C168,FIND("/",C168,1)+1,100)&amp;"标准投料量"</f>
        <v>#VALUE!</v>
      </c>
      <c r="R168" s="50" t="s">
        <v>619</v>
      </c>
      <c r="S168" s="50" t="s">
        <v>620</v>
      </c>
      <c r="T168" s="50" t="e">
        <f>R168&amp;#REF!&amp;S168</f>
        <v>#REF!</v>
      </c>
      <c r="U168" s="50">
        <f>COUNTIF($S$9:S164,_xlfn.IFNA(S168,$S$9:S164))+1</f>
        <v>29</v>
      </c>
      <c r="V168" s="50">
        <f>U168-1</f>
        <v>28</v>
      </c>
      <c r="W168" s="50" t="e">
        <f>"Update Ins "&amp;MID(B168,FIND("/",B168,1)+1,100)&amp;" plan qty of "&amp;LEFT(C168,FIND("/",C168,1)-1)&amp;"/更新操作"&amp;MID(B168,FIND("/",B168,1)+1,100)&amp;" "&amp;MID(C168,FIND("/",C168,1)+1,100)&amp;"计划量"</f>
        <v>#VALUE!</v>
      </c>
      <c r="X168" s="50" t="s">
        <v>621</v>
      </c>
      <c r="Y168" s="44" t="s">
        <v>683</v>
      </c>
      <c r="Z168" s="50" t="e">
        <f>X168&amp;MID(B168,FIND("/",B168,1)+1,100)&amp;Y168&amp;U168&amp;" Value})"</f>
        <v>#VALUE!</v>
      </c>
      <c r="AB168" s="50" t="e">
        <f>"Ins "&amp;LEFT(B168,FIND("/",B168,1)-1)&amp;" Dispense "&amp;LEFT(C168,FIND("/",C168,1)-1)&amp;"/分装"&amp;MID(C168,FIND("/",C168,1)+1,100)</f>
        <v>#VALUE!</v>
      </c>
      <c r="AC168" s="50" t="e">
        <f>MID(B168,FIND("/",B168,1)+1,100)&amp;" "&amp;C168</f>
        <v>#VALUE!</v>
      </c>
    </row>
    <row r="169" spans="1:29" ht="18" customHeight="1">
      <c r="A169" s="33" t="str">
        <f t="shared" si="7"/>
        <v>3.33.5DMF</v>
      </c>
      <c r="B169" s="28" t="s">
        <v>527</v>
      </c>
      <c r="C169" s="28" t="s">
        <v>612</v>
      </c>
      <c r="D169" s="34">
        <v>73.099999999999994</v>
      </c>
      <c r="E169" s="35">
        <v>0.94799999999999995</v>
      </c>
      <c r="F169" s="36" t="s">
        <v>613</v>
      </c>
      <c r="G169" s="37">
        <v>11.37</v>
      </c>
      <c r="H169" s="38" t="str">
        <f>TEXT(ROUND(G169*树脂信息!$C$4,2),"0.00")</f>
        <v>739.05</v>
      </c>
      <c r="I169" s="105" t="s">
        <v>614</v>
      </c>
      <c r="J169" s="37" t="str">
        <f>TEXT(ROUND(H169*0.94,2),"0.00")&amp;"~"&amp;TEXT(ROUND(H169*1.06,2),"0.00")</f>
        <v>694.71~783.39</v>
      </c>
      <c r="K169" s="28"/>
      <c r="L169" s="28"/>
      <c r="M169" s="57"/>
      <c r="N169" s="57"/>
      <c r="O169" s="57"/>
      <c r="P169" s="40">
        <v>12</v>
      </c>
      <c r="Q169" s="23"/>
    </row>
    <row r="170" spans="1:29" ht="15.75" customHeight="1">
      <c r="A170" s="33" t="str">
        <f t="shared" si="7"/>
        <v>3.33.9DMF</v>
      </c>
      <c r="B170" s="601" t="s">
        <v>529</v>
      </c>
      <c r="C170" s="601" t="s">
        <v>612</v>
      </c>
      <c r="D170" s="34">
        <v>73.099999999999994</v>
      </c>
      <c r="E170" s="35">
        <v>0.94799999999999995</v>
      </c>
      <c r="F170" s="36" t="s">
        <v>613</v>
      </c>
      <c r="G170" s="37">
        <v>9.48</v>
      </c>
      <c r="H170" s="38" t="str">
        <f>TEXT(ROUND(G170*树脂信息!$C$4,2),"0.00")</f>
        <v>616.20</v>
      </c>
      <c r="I170" s="105" t="s">
        <v>614</v>
      </c>
      <c r="J170" s="37" t="str">
        <f>TEXT(ROUND(H170*0.94,2),"0.00")&amp;"~"&amp;TEXT(ROUND(H170*1.06,2),"0.00")</f>
        <v>579.23~653.17</v>
      </c>
      <c r="K170" s="28"/>
      <c r="L170" s="28" t="s">
        <v>625</v>
      </c>
      <c r="M170" s="39"/>
      <c r="N170" s="39"/>
      <c r="O170" s="39"/>
      <c r="P170" s="40">
        <v>10</v>
      </c>
      <c r="Q170" s="23"/>
    </row>
    <row r="171" spans="1:29" ht="15.75" customHeight="1">
      <c r="A171" s="33" t="str">
        <f t="shared" si="7"/>
        <v/>
      </c>
      <c r="B171" s="601"/>
      <c r="C171" s="601"/>
      <c r="D171" s="602" t="s">
        <v>696</v>
      </c>
      <c r="E171" s="602"/>
      <c r="F171" s="602"/>
      <c r="G171" s="602"/>
      <c r="H171" s="602"/>
      <c r="I171" s="602"/>
      <c r="J171" s="602"/>
      <c r="K171" s="602"/>
      <c r="L171" s="602"/>
      <c r="M171" s="39"/>
      <c r="N171" s="39"/>
      <c r="O171" s="39"/>
      <c r="P171" s="52"/>
      <c r="Q171" s="23"/>
    </row>
    <row r="172" spans="1:29" ht="15.75" customHeight="1">
      <c r="A172" s="33" t="str">
        <f t="shared" si="7"/>
        <v>3.33.10DMF</v>
      </c>
      <c r="B172" s="601" t="s">
        <v>700</v>
      </c>
      <c r="C172" s="601" t="s">
        <v>612</v>
      </c>
      <c r="D172" s="34">
        <v>73.099999999999994</v>
      </c>
      <c r="E172" s="35">
        <v>0.94799999999999995</v>
      </c>
      <c r="F172" s="36" t="s">
        <v>613</v>
      </c>
      <c r="G172" s="37">
        <v>9.48</v>
      </c>
      <c r="H172" s="38" t="str">
        <f>TEXT(ROUND(G172*树脂信息!$C$4,2),"0.00")</f>
        <v>616.20</v>
      </c>
      <c r="I172" s="105" t="s">
        <v>614</v>
      </c>
      <c r="J172" s="37" t="str">
        <f>TEXT(ROUND(H172*0.94,2),"0.00")&amp;"~"&amp;TEXT(ROUND(H172*1.06,2),"0.00")</f>
        <v>579.23~653.17</v>
      </c>
      <c r="K172" s="28"/>
      <c r="L172" s="28" t="s">
        <v>625</v>
      </c>
      <c r="M172" s="39"/>
      <c r="N172" s="39"/>
      <c r="O172" s="39"/>
      <c r="P172" s="40">
        <v>10</v>
      </c>
      <c r="Q172" s="23"/>
    </row>
    <row r="173" spans="1:29" ht="15.75" customHeight="1">
      <c r="A173" s="33" t="str">
        <f t="shared" si="7"/>
        <v/>
      </c>
      <c r="B173" s="601"/>
      <c r="C173" s="601"/>
      <c r="D173" s="602" t="s">
        <v>626</v>
      </c>
      <c r="E173" s="602"/>
      <c r="F173" s="602"/>
      <c r="G173" s="602"/>
      <c r="H173" s="602"/>
      <c r="I173" s="602"/>
      <c r="J173" s="602"/>
      <c r="K173" s="602"/>
      <c r="L173" s="602"/>
      <c r="M173" s="39"/>
      <c r="N173" s="39"/>
      <c r="O173" s="39"/>
      <c r="P173" s="52"/>
      <c r="Q173" s="23"/>
    </row>
    <row r="174" spans="1:29" ht="15.75" customHeight="1">
      <c r="A174" s="33" t="str">
        <f t="shared" si="7"/>
        <v/>
      </c>
      <c r="B174" s="601"/>
      <c r="C174" s="601"/>
      <c r="D174" s="602" t="s">
        <v>647</v>
      </c>
      <c r="E174" s="602"/>
      <c r="F174" s="602"/>
      <c r="G174" s="602"/>
      <c r="H174" s="602"/>
      <c r="I174" s="602"/>
      <c r="J174" s="602"/>
      <c r="K174" s="602"/>
      <c r="L174" s="602"/>
      <c r="M174" s="39"/>
      <c r="N174" s="39"/>
      <c r="O174" s="39"/>
      <c r="P174" s="52"/>
      <c r="Q174" s="23"/>
    </row>
    <row r="175" spans="1:29" ht="15.75" customHeight="1">
      <c r="A175" s="33" t="str">
        <f t="shared" si="7"/>
        <v>3.34.1IPAC</v>
      </c>
      <c r="B175" s="601" t="s">
        <v>540</v>
      </c>
      <c r="C175" s="601" t="s">
        <v>637</v>
      </c>
      <c r="D175" s="34">
        <v>102.13</v>
      </c>
      <c r="E175" s="35">
        <v>0.873</v>
      </c>
      <c r="F175" s="36" t="s">
        <v>613</v>
      </c>
      <c r="G175" s="37">
        <v>8.73</v>
      </c>
      <c r="H175" s="38" t="str">
        <f>TEXT(ROUND(G175*树脂信息!$C$4,2),"0.00")</f>
        <v>567.45</v>
      </c>
      <c r="I175" s="105" t="s">
        <v>614</v>
      </c>
      <c r="J175" s="37" t="str">
        <f>TEXT(ROUND(H175*0.94,2),"0.00")&amp;"~"&amp;TEXT(ROUND(H175*1.06,2),"0.00")</f>
        <v>533.40~601.50</v>
      </c>
      <c r="K175" s="28"/>
      <c r="L175" s="28" t="s">
        <v>625</v>
      </c>
      <c r="M175" s="39"/>
      <c r="N175" s="39"/>
      <c r="O175" s="39"/>
      <c r="P175" s="40">
        <v>10</v>
      </c>
      <c r="Q175" s="23"/>
    </row>
    <row r="176" spans="1:29" ht="15.75" customHeight="1">
      <c r="A176" s="33" t="str">
        <f t="shared" si="7"/>
        <v/>
      </c>
      <c r="B176" s="601"/>
      <c r="C176" s="601"/>
      <c r="D176" s="602" t="s">
        <v>626</v>
      </c>
      <c r="E176" s="602"/>
      <c r="F176" s="602"/>
      <c r="G176" s="602"/>
      <c r="H176" s="602"/>
      <c r="I176" s="602"/>
      <c r="J176" s="602"/>
      <c r="K176" s="602"/>
      <c r="L176" s="602"/>
      <c r="M176" s="39"/>
      <c r="N176" s="39"/>
      <c r="O176" s="39"/>
      <c r="P176" s="52"/>
      <c r="Q176" s="23"/>
    </row>
    <row r="177" spans="1:17" ht="15.75" customHeight="1">
      <c r="A177" s="33" t="str">
        <f t="shared" si="7"/>
        <v>3.34.2MTBE</v>
      </c>
      <c r="B177" s="601" t="s">
        <v>546</v>
      </c>
      <c r="C177" s="601" t="s">
        <v>701</v>
      </c>
      <c r="D177" s="34">
        <v>88.15</v>
      </c>
      <c r="E177" s="35">
        <v>0.74</v>
      </c>
      <c r="F177" s="36" t="s">
        <v>613</v>
      </c>
      <c r="G177" s="37">
        <v>7.41</v>
      </c>
      <c r="H177" s="38" t="str">
        <f>TEXT(ROUND(G177*树脂信息!$C$4,2),"0.00")</f>
        <v>481.65</v>
      </c>
      <c r="I177" s="105" t="s">
        <v>614</v>
      </c>
      <c r="J177" s="37" t="str">
        <f>TEXT(ROUND(H177*0.94,2),"0.00")&amp;"~"&amp;TEXT(ROUND(H177*1.06,2),"0.00")</f>
        <v>452.75~510.55</v>
      </c>
      <c r="K177" s="28"/>
      <c r="L177" s="28" t="s">
        <v>625</v>
      </c>
      <c r="M177" s="39"/>
      <c r="N177" s="39"/>
      <c r="O177" s="39"/>
      <c r="P177" s="40">
        <v>10</v>
      </c>
      <c r="Q177" s="23"/>
    </row>
    <row r="178" spans="1:17" ht="15.75" customHeight="1">
      <c r="A178" s="33" t="str">
        <f t="shared" si="7"/>
        <v/>
      </c>
      <c r="B178" s="601"/>
      <c r="C178" s="601"/>
      <c r="D178" s="602" t="s">
        <v>626</v>
      </c>
      <c r="E178" s="602"/>
      <c r="F178" s="602"/>
      <c r="G178" s="602"/>
      <c r="H178" s="602"/>
      <c r="I178" s="602"/>
      <c r="J178" s="602"/>
      <c r="K178" s="602"/>
      <c r="L178" s="602"/>
      <c r="M178" s="39"/>
      <c r="N178" s="39"/>
      <c r="O178" s="39"/>
      <c r="P178" s="52"/>
      <c r="Q178" s="23"/>
    </row>
    <row r="179" spans="1:17" ht="15.75" customHeight="1">
      <c r="A179" s="33" t="str">
        <f t="shared" si="7"/>
        <v/>
      </c>
      <c r="B179" s="601"/>
      <c r="C179" s="601"/>
      <c r="D179" s="602" t="s">
        <v>702</v>
      </c>
      <c r="E179" s="602"/>
      <c r="F179" s="602"/>
      <c r="G179" s="602"/>
      <c r="H179" s="602"/>
      <c r="I179" s="602"/>
      <c r="J179" s="602"/>
      <c r="K179" s="602"/>
      <c r="L179" s="602"/>
      <c r="M179" s="39"/>
      <c r="N179" s="39"/>
      <c r="O179" s="39"/>
      <c r="P179" s="52"/>
      <c r="Q179" s="23"/>
    </row>
  </sheetData>
  <autoFilter ref="A1:AE179"/>
  <mergeCells count="90">
    <mergeCell ref="D179:L179"/>
    <mergeCell ref="D37:L37"/>
    <mergeCell ref="C177:C179"/>
    <mergeCell ref="B170:B171"/>
    <mergeCell ref="D17:L17"/>
    <mergeCell ref="B108:B109"/>
    <mergeCell ref="D144:L144"/>
    <mergeCell ref="C82:C84"/>
    <mergeCell ref="D48:L48"/>
    <mergeCell ref="B93:B94"/>
    <mergeCell ref="C155:C156"/>
    <mergeCell ref="B36:B38"/>
    <mergeCell ref="B11:B12"/>
    <mergeCell ref="B127:B129"/>
    <mergeCell ref="B16:B17"/>
    <mergeCell ref="B97:B99"/>
    <mergeCell ref="C11:C12"/>
    <mergeCell ref="C97:C99"/>
    <mergeCell ref="C20:C21"/>
    <mergeCell ref="B112:B114"/>
    <mergeCell ref="B82:B84"/>
    <mergeCell ref="A11:A12"/>
    <mergeCell ref="C93:C94"/>
    <mergeCell ref="D33:L33"/>
    <mergeCell ref="B78:B79"/>
    <mergeCell ref="B123:B124"/>
    <mergeCell ref="B63:B64"/>
    <mergeCell ref="C67:C69"/>
    <mergeCell ref="B47:B48"/>
    <mergeCell ref="C63:C64"/>
    <mergeCell ref="D84:L84"/>
    <mergeCell ref="C47:C48"/>
    <mergeCell ref="B20:B21"/>
    <mergeCell ref="C36:C38"/>
    <mergeCell ref="D12:L12"/>
    <mergeCell ref="C32:C33"/>
    <mergeCell ref="D69:L69"/>
    <mergeCell ref="B32:B33"/>
    <mergeCell ref="C139:C140"/>
    <mergeCell ref="D52:L52"/>
    <mergeCell ref="C163:C165"/>
    <mergeCell ref="D79:L79"/>
    <mergeCell ref="D68:L68"/>
    <mergeCell ref="D53:L53"/>
    <mergeCell ref="D164:L164"/>
    <mergeCell ref="D128:L128"/>
    <mergeCell ref="D145:L145"/>
    <mergeCell ref="B139:B140"/>
    <mergeCell ref="C161:C162"/>
    <mergeCell ref="D165:L165"/>
    <mergeCell ref="B155:B156"/>
    <mergeCell ref="B163:B165"/>
    <mergeCell ref="D83:L83"/>
    <mergeCell ref="D178:L178"/>
    <mergeCell ref="C127:C129"/>
    <mergeCell ref="C78:C79"/>
    <mergeCell ref="D124:L124"/>
    <mergeCell ref="B172:B174"/>
    <mergeCell ref="C112:C114"/>
    <mergeCell ref="C123:C124"/>
    <mergeCell ref="B161:B162"/>
    <mergeCell ref="D171:L171"/>
    <mergeCell ref="D173:L173"/>
    <mergeCell ref="D176:L176"/>
    <mergeCell ref="B177:B179"/>
    <mergeCell ref="D98:L98"/>
    <mergeCell ref="D94:L94"/>
    <mergeCell ref="D156:L156"/>
    <mergeCell ref="D129:L129"/>
    <mergeCell ref="C16:C17"/>
    <mergeCell ref="D140:L140"/>
    <mergeCell ref="D38:L38"/>
    <mergeCell ref="C170:C171"/>
    <mergeCell ref="D174:L174"/>
    <mergeCell ref="D21:L21"/>
    <mergeCell ref="D162:L162"/>
    <mergeCell ref="D64:L64"/>
    <mergeCell ref="D99:L99"/>
    <mergeCell ref="C51:C53"/>
    <mergeCell ref="D109:L109"/>
    <mergeCell ref="C172:C174"/>
    <mergeCell ref="B143:B145"/>
    <mergeCell ref="D114:L114"/>
    <mergeCell ref="B51:B53"/>
    <mergeCell ref="B67:B69"/>
    <mergeCell ref="C175:C176"/>
    <mergeCell ref="B175:B176"/>
    <mergeCell ref="D113:L113"/>
    <mergeCell ref="C108:C109"/>
    <mergeCell ref="C143:C14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31"/>
  <sheetViews>
    <sheetView workbookViewId="0">
      <pane ySplit="1" topLeftCell="A2" activePane="bottomLeft" state="frozen"/>
      <selection pane="bottomLeft"/>
    </sheetView>
  </sheetViews>
  <sheetFormatPr defaultColWidth="10" defaultRowHeight="16.5" customHeight="1"/>
  <cols>
    <col min="3" max="3" width="11.625" style="73" customWidth="1"/>
    <col min="11" max="11" width="13.625" customWidth="1"/>
    <col min="13" max="13" width="14.125" customWidth="1"/>
  </cols>
  <sheetData>
    <row r="1" spans="1:15" ht="43.5" customHeight="1">
      <c r="B1" s="92" t="s">
        <v>703</v>
      </c>
      <c r="C1" s="115" t="s">
        <v>704</v>
      </c>
      <c r="D1" s="115" t="s">
        <v>705</v>
      </c>
      <c r="E1" s="115" t="s">
        <v>706</v>
      </c>
      <c r="F1" s="114" t="s">
        <v>707</v>
      </c>
      <c r="G1" s="115" t="s">
        <v>708</v>
      </c>
      <c r="H1" s="115" t="s">
        <v>709</v>
      </c>
      <c r="I1" s="114" t="s">
        <v>710</v>
      </c>
      <c r="J1" s="114" t="s">
        <v>711</v>
      </c>
      <c r="K1" s="114" t="s">
        <v>712</v>
      </c>
      <c r="L1" s="1" t="s">
        <v>713</v>
      </c>
      <c r="M1" s="1" t="s">
        <v>714</v>
      </c>
      <c r="N1" s="1" t="s">
        <v>715</v>
      </c>
      <c r="O1" s="1" t="s">
        <v>716</v>
      </c>
    </row>
    <row r="2" spans="1:15" ht="27.75" customHeight="1">
      <c r="A2" s="85" t="str">
        <f t="shared" ref="A2:A33" si="0">IFERROR(SUBSTITUTE(IFERROR(MID(B2,FIND("/",B2,1)+1,LEN(B2)),B2)&amp;LEFT(C2,FIND("/",C2,1)-1)," ",""),"")</f>
        <v>3DMF</v>
      </c>
      <c r="B2" s="100">
        <v>3</v>
      </c>
      <c r="C2" s="118" t="s">
        <v>717</v>
      </c>
      <c r="D2" s="119">
        <v>0.95</v>
      </c>
      <c r="E2" s="119">
        <v>73.099999999999994</v>
      </c>
      <c r="F2" s="119">
        <v>6</v>
      </c>
      <c r="G2" s="119">
        <v>5.69</v>
      </c>
      <c r="H2" s="119" t="s">
        <v>613</v>
      </c>
      <c r="I2" s="114">
        <v>369.85</v>
      </c>
      <c r="J2" s="96" t="s">
        <v>614</v>
      </c>
      <c r="K2" s="96" t="s">
        <v>718</v>
      </c>
      <c r="L2" s="107" t="str">
        <f>TEXT(VLOOKUP(A2,氨基酸和溶剂信息!A:J,8,FALSE),"0.00")</f>
        <v>369.85</v>
      </c>
      <c r="M2" s="1" t="str">
        <f>VLOOKUP(A2,氨基酸和溶剂信息!A:J,10,FALSE)</f>
        <v>347.66~392.04</v>
      </c>
      <c r="N2" s="1" t="b">
        <f t="shared" ref="N2:N33" si="1">TEXT(L2,"0.00")=TEXT(I2,"0.00")</f>
        <v>1</v>
      </c>
      <c r="O2" s="1" t="b">
        <f t="shared" ref="O2:O33" si="2">K2=M2</f>
        <v>1</v>
      </c>
    </row>
    <row r="3" spans="1:15" ht="27.75" customHeight="1">
      <c r="A3" s="85" t="str">
        <f t="shared" si="0"/>
        <v>3DMF</v>
      </c>
      <c r="B3" s="100">
        <v>3</v>
      </c>
      <c r="C3" s="118" t="s">
        <v>717</v>
      </c>
      <c r="D3" s="119">
        <v>0.95</v>
      </c>
      <c r="E3" s="119">
        <v>73.099999999999994</v>
      </c>
      <c r="F3" s="119">
        <v>6</v>
      </c>
      <c r="G3" s="119">
        <v>5.69</v>
      </c>
      <c r="H3" s="119" t="s">
        <v>613</v>
      </c>
      <c r="I3" s="119">
        <v>369.85</v>
      </c>
      <c r="J3" s="116" t="s">
        <v>614</v>
      </c>
      <c r="K3" s="116" t="s">
        <v>718</v>
      </c>
      <c r="L3" s="107" t="str">
        <f>TEXT(VLOOKUP(A3,氨基酸和溶剂信息!A:J,8,FALSE),"0.00")</f>
        <v>369.85</v>
      </c>
      <c r="M3" s="1" t="str">
        <f>VLOOKUP(A3,氨基酸和溶剂信息!A:J,10,FALSE)</f>
        <v>347.66~392.04</v>
      </c>
      <c r="N3" s="1" t="b">
        <f t="shared" si="1"/>
        <v>1</v>
      </c>
      <c r="O3" s="1" t="b">
        <f t="shared" si="2"/>
        <v>1</v>
      </c>
    </row>
    <row r="4" spans="1:15" ht="18" customHeight="1">
      <c r="A4" s="85" t="str">
        <f t="shared" si="0"/>
        <v>3.1.3DMF</v>
      </c>
      <c r="B4" s="119" t="s">
        <v>60</v>
      </c>
      <c r="C4" s="118" t="s">
        <v>717</v>
      </c>
      <c r="D4" s="119">
        <v>0.95</v>
      </c>
      <c r="E4" s="119">
        <v>73.099999999999994</v>
      </c>
      <c r="F4" s="119">
        <v>8</v>
      </c>
      <c r="G4" s="119">
        <v>7.58</v>
      </c>
      <c r="H4" s="119" t="s">
        <v>613</v>
      </c>
      <c r="I4" s="119">
        <v>492.7</v>
      </c>
      <c r="J4" s="116" t="s">
        <v>614</v>
      </c>
      <c r="K4" s="116" t="s">
        <v>628</v>
      </c>
      <c r="L4" s="107" t="str">
        <f>TEXT(VLOOKUP(A4,氨基酸和溶剂信息!A:J,8,FALSE),"0.00")</f>
        <v>492.70</v>
      </c>
      <c r="M4" s="1" t="str">
        <f>VLOOKUP(A4,氨基酸和溶剂信息!A:J,10,FALSE)</f>
        <v>463.14~522.26</v>
      </c>
      <c r="N4" s="1" t="b">
        <f t="shared" si="1"/>
        <v>1</v>
      </c>
      <c r="O4" s="1" t="b">
        <f t="shared" si="2"/>
        <v>1</v>
      </c>
    </row>
    <row r="5" spans="1:15" ht="27.75" customHeight="1">
      <c r="A5" s="85" t="str">
        <f t="shared" si="0"/>
        <v>3.1.6DMF</v>
      </c>
      <c r="B5" s="119" t="s">
        <v>76</v>
      </c>
      <c r="C5" s="118" t="s">
        <v>717</v>
      </c>
      <c r="D5" s="119">
        <v>0.95</v>
      </c>
      <c r="E5" s="119">
        <v>73.099999999999994</v>
      </c>
      <c r="F5" s="119">
        <v>6</v>
      </c>
      <c r="G5" s="119">
        <v>5.69</v>
      </c>
      <c r="H5" s="119" t="s">
        <v>613</v>
      </c>
      <c r="I5" s="119">
        <v>369.85</v>
      </c>
      <c r="J5" s="116" t="s">
        <v>615</v>
      </c>
      <c r="K5" s="116" t="s">
        <v>648</v>
      </c>
      <c r="L5" s="107" t="str">
        <f>TEXT(VLOOKUP(A5,氨基酸和溶剂信息!A:J,8,FALSE),"0.00")</f>
        <v>369.85</v>
      </c>
      <c r="M5" s="1" t="str">
        <f>VLOOKUP(A5,氨基酸和溶剂信息!A:J,10,FALSE)</f>
        <v>351.36~388.34</v>
      </c>
      <c r="N5" s="1" t="b">
        <f t="shared" si="1"/>
        <v>1</v>
      </c>
      <c r="O5" s="1" t="b">
        <f t="shared" si="2"/>
        <v>1</v>
      </c>
    </row>
    <row r="6" spans="1:15" ht="27.75" customHeight="1">
      <c r="A6" s="85" t="str">
        <f t="shared" si="0"/>
        <v>3.1.7Fmoc-Gly-OH</v>
      </c>
      <c r="B6" s="119" t="s">
        <v>616</v>
      </c>
      <c r="C6" s="118" t="s">
        <v>719</v>
      </c>
      <c r="D6" s="119" t="s">
        <v>613</v>
      </c>
      <c r="E6" s="119">
        <v>297.31</v>
      </c>
      <c r="F6" s="119" t="s">
        <v>613</v>
      </c>
      <c r="G6" s="119" t="s">
        <v>613</v>
      </c>
      <c r="H6" s="119">
        <v>2.25</v>
      </c>
      <c r="I6" s="119"/>
      <c r="J6" s="116" t="s">
        <v>720</v>
      </c>
      <c r="K6" s="116"/>
      <c r="L6" s="107" t="str">
        <f>TEXT(VLOOKUP(A6,氨基酸和溶剂信息!A:J,8,FALSE),"0.00")</f>
        <v>68.70</v>
      </c>
      <c r="M6" s="1" t="str">
        <f>VLOOKUP(A6,氨基酸和溶剂信息!A:J,10,FALSE)</f>
        <v>66.64~70.76</v>
      </c>
      <c r="N6" s="1" t="b">
        <f t="shared" si="1"/>
        <v>0</v>
      </c>
      <c r="O6" s="1" t="b">
        <f t="shared" si="2"/>
        <v>0</v>
      </c>
    </row>
    <row r="7" spans="1:15" ht="27.75" customHeight="1">
      <c r="A7" s="85" t="str">
        <f t="shared" si="0"/>
        <v>3.1.8DMF</v>
      </c>
      <c r="B7" s="119" t="s">
        <v>84</v>
      </c>
      <c r="C7" s="118" t="s">
        <v>717</v>
      </c>
      <c r="D7" s="118"/>
      <c r="E7" s="119">
        <v>73.099999999999994</v>
      </c>
      <c r="F7" s="119">
        <v>1</v>
      </c>
      <c r="G7" s="119">
        <v>0.95</v>
      </c>
      <c r="H7" s="119" t="s">
        <v>613</v>
      </c>
      <c r="I7" s="119">
        <v>61.75</v>
      </c>
      <c r="J7" s="116" t="s">
        <v>614</v>
      </c>
      <c r="K7" s="116" t="s">
        <v>721</v>
      </c>
      <c r="L7" s="107" t="str">
        <f>TEXT(VLOOKUP(A7,氨基酸和溶剂信息!A:J,8,FALSE),"0.00")</f>
        <v>61.75</v>
      </c>
      <c r="M7" s="1" t="str">
        <f>VLOOKUP(A7,氨基酸和溶剂信息!A:J,10,FALSE)</f>
        <v>58.05~65.46</v>
      </c>
      <c r="N7" s="1" t="b">
        <f t="shared" si="1"/>
        <v>1</v>
      </c>
      <c r="O7" s="1" t="b">
        <f t="shared" si="2"/>
        <v>1</v>
      </c>
    </row>
    <row r="8" spans="1:15" ht="18" customHeight="1">
      <c r="A8" s="85" t="str">
        <f t="shared" si="0"/>
        <v>3.1.9DMF</v>
      </c>
      <c r="B8" s="119" t="s">
        <v>100</v>
      </c>
      <c r="C8" s="118" t="s">
        <v>717</v>
      </c>
      <c r="D8" s="119">
        <v>0.95</v>
      </c>
      <c r="E8" s="119">
        <v>73.099999999999994</v>
      </c>
      <c r="F8" s="119">
        <v>5</v>
      </c>
      <c r="G8" s="119">
        <v>4.74</v>
      </c>
      <c r="H8" s="119" t="s">
        <v>613</v>
      </c>
      <c r="I8" s="119">
        <v>308.10000000000002</v>
      </c>
      <c r="J8" s="116" t="s">
        <v>614</v>
      </c>
      <c r="K8" s="116" t="s">
        <v>722</v>
      </c>
      <c r="L8" s="107" t="str">
        <f>TEXT(VLOOKUP(A8,氨基酸和溶剂信息!A:J,8,FALSE),"0.00")</f>
        <v>308.10</v>
      </c>
      <c r="M8" s="1" t="str">
        <f>VLOOKUP(A8,氨基酸和溶剂信息!A:J,10,FALSE)</f>
        <v>289.61~326.59</v>
      </c>
      <c r="N8" s="1" t="b">
        <f t="shared" si="1"/>
        <v>1</v>
      </c>
      <c r="O8" s="1" t="b">
        <f t="shared" si="2"/>
        <v>1</v>
      </c>
    </row>
    <row r="9" spans="1:15" ht="18" customHeight="1">
      <c r="A9" s="85" t="str">
        <f t="shared" si="0"/>
        <v>3.2.1DIPEA</v>
      </c>
      <c r="B9" s="119" t="s">
        <v>623</v>
      </c>
      <c r="C9" s="118" t="s">
        <v>723</v>
      </c>
      <c r="D9" s="119">
        <v>0.74199999999999999</v>
      </c>
      <c r="E9" s="119">
        <v>129.24</v>
      </c>
      <c r="F9" s="119" t="s">
        <v>613</v>
      </c>
      <c r="G9" s="119" t="s">
        <v>613</v>
      </c>
      <c r="H9" s="119">
        <v>6</v>
      </c>
      <c r="I9" s="119"/>
      <c r="J9" s="116" t="s">
        <v>720</v>
      </c>
      <c r="K9" s="116"/>
      <c r="L9" s="107" t="str">
        <f>TEXT(VLOOKUP(A9,氨基酸和溶剂信息!A:J,8,FALSE),"0.00")</f>
        <v>79.64</v>
      </c>
      <c r="M9" s="1" t="str">
        <f>VLOOKUP(A9,氨基酸和溶剂信息!A:J,10,FALSE)</f>
        <v>77.25~82.03</v>
      </c>
      <c r="N9" s="1" t="b">
        <f t="shared" si="1"/>
        <v>0</v>
      </c>
      <c r="O9" s="1" t="b">
        <f t="shared" si="2"/>
        <v>0</v>
      </c>
    </row>
    <row r="10" spans="1:15" ht="27.75" customHeight="1">
      <c r="A10" s="85" t="str">
        <f t="shared" si="0"/>
        <v>3.3.2DMF</v>
      </c>
      <c r="B10" s="119" t="s">
        <v>119</v>
      </c>
      <c r="C10" s="118" t="s">
        <v>717</v>
      </c>
      <c r="D10" s="119">
        <v>0.95</v>
      </c>
      <c r="E10" s="119">
        <v>73.099999999999994</v>
      </c>
      <c r="F10" s="119">
        <v>1</v>
      </c>
      <c r="G10" s="119">
        <v>0.95</v>
      </c>
      <c r="H10" s="119" t="s">
        <v>613</v>
      </c>
      <c r="I10" s="119">
        <v>61.75</v>
      </c>
      <c r="J10" s="116" t="s">
        <v>614</v>
      </c>
      <c r="K10" s="116" t="s">
        <v>721</v>
      </c>
      <c r="L10" s="107" t="str">
        <f>TEXT(VLOOKUP(A10,氨基酸和溶剂信息!A:J,8,FALSE),"0.00")</f>
        <v>61.75</v>
      </c>
      <c r="M10" s="1" t="str">
        <f>VLOOKUP(A10,氨基酸和溶剂信息!A:J,10,FALSE)</f>
        <v>58.05~65.46</v>
      </c>
      <c r="N10" s="1" t="b">
        <f t="shared" si="1"/>
        <v>1</v>
      </c>
      <c r="O10" s="1" t="b">
        <f t="shared" si="2"/>
        <v>1</v>
      </c>
    </row>
    <row r="11" spans="1:15" ht="18" customHeight="1">
      <c r="A11" s="85" t="str">
        <f t="shared" si="0"/>
        <v>3.3.6DMF</v>
      </c>
      <c r="B11" s="119" t="s">
        <v>136</v>
      </c>
      <c r="C11" s="118" t="s">
        <v>717</v>
      </c>
      <c r="D11" s="119">
        <v>0.95</v>
      </c>
      <c r="E11" s="119">
        <v>73.099999999999994</v>
      </c>
      <c r="F11" s="119">
        <v>8</v>
      </c>
      <c r="G11" s="119">
        <v>7.58</v>
      </c>
      <c r="H11" s="119" t="s">
        <v>613</v>
      </c>
      <c r="I11" s="97">
        <v>492.7</v>
      </c>
      <c r="J11" s="118" t="s">
        <v>614</v>
      </c>
      <c r="K11" s="118" t="s">
        <v>628</v>
      </c>
      <c r="L11" s="107" t="str">
        <f>TEXT(VLOOKUP(A11,氨基酸和溶剂信息!A:J,8,FALSE),"0.00")</f>
        <v>492.70</v>
      </c>
      <c r="M11" s="1" t="str">
        <f>VLOOKUP(A11,氨基酸和溶剂信息!A:J,10,FALSE)</f>
        <v>463.14~522.26</v>
      </c>
      <c r="N11" s="1" t="b">
        <f t="shared" si="1"/>
        <v>1</v>
      </c>
      <c r="O11" s="1" t="b">
        <f t="shared" si="2"/>
        <v>1</v>
      </c>
    </row>
    <row r="12" spans="1:15" ht="18" customHeight="1">
      <c r="A12" s="85" t="str">
        <f t="shared" si="0"/>
        <v>3.4.1DMF</v>
      </c>
      <c r="B12" s="119" t="s">
        <v>153</v>
      </c>
      <c r="C12" s="118" t="s">
        <v>717</v>
      </c>
      <c r="D12" s="119">
        <v>0.95</v>
      </c>
      <c r="E12" s="119">
        <v>73.099999999999994</v>
      </c>
      <c r="F12" s="119">
        <v>9</v>
      </c>
      <c r="G12" s="119">
        <v>8.5299999999999994</v>
      </c>
      <c r="H12" s="119" t="s">
        <v>613</v>
      </c>
      <c r="I12" s="119">
        <v>554.45000000000005</v>
      </c>
      <c r="J12" s="116" t="s">
        <v>614</v>
      </c>
      <c r="K12" s="116" t="s">
        <v>724</v>
      </c>
      <c r="L12" s="107" t="str">
        <f>TEXT(VLOOKUP(A12,氨基酸和溶剂信息!A:J,8,FALSE),"0.00")</f>
        <v>554.45</v>
      </c>
      <c r="M12" s="1" t="str">
        <f>VLOOKUP(A12,氨基酸和溶剂信息!A:J,10,FALSE)</f>
        <v>521.18~587.72</v>
      </c>
      <c r="N12" s="1" t="b">
        <f t="shared" si="1"/>
        <v>1</v>
      </c>
      <c r="O12" s="1" t="b">
        <f t="shared" si="2"/>
        <v>1</v>
      </c>
    </row>
    <row r="13" spans="1:15" ht="18" customHeight="1">
      <c r="A13" s="85" t="str">
        <f t="shared" si="0"/>
        <v>3.4.2Methanol</v>
      </c>
      <c r="B13" s="119" t="s">
        <v>629</v>
      </c>
      <c r="C13" s="118" t="s">
        <v>725</v>
      </c>
      <c r="D13" s="119">
        <v>0.79200000000000004</v>
      </c>
      <c r="E13" s="119">
        <v>32.01</v>
      </c>
      <c r="F13" s="119" t="s">
        <v>613</v>
      </c>
      <c r="G13" s="119" t="s">
        <v>613</v>
      </c>
      <c r="H13" s="119">
        <v>10</v>
      </c>
      <c r="I13" s="119"/>
      <c r="J13" s="116" t="s">
        <v>720</v>
      </c>
      <c r="K13" s="116"/>
      <c r="L13" s="107" t="str">
        <f>TEXT(VLOOKUP(A13,氨基酸和溶剂信息!A:J,8,FALSE),"0.00")</f>
        <v>32.87</v>
      </c>
      <c r="M13" s="1" t="str">
        <f>VLOOKUP(A13,氨基酸和溶剂信息!A:J,10,FALSE)</f>
        <v>31.88~33.86</v>
      </c>
      <c r="N13" s="1" t="b">
        <f t="shared" si="1"/>
        <v>0</v>
      </c>
      <c r="O13" s="1" t="b">
        <f t="shared" si="2"/>
        <v>0</v>
      </c>
    </row>
    <row r="14" spans="1:15" ht="27.75" customHeight="1">
      <c r="A14" s="85" t="str">
        <f t="shared" si="0"/>
        <v>3.4.3DIPEA</v>
      </c>
      <c r="B14" s="119" t="s">
        <v>631</v>
      </c>
      <c r="C14" s="118" t="s">
        <v>723</v>
      </c>
      <c r="D14" s="119">
        <v>0.74199999999999999</v>
      </c>
      <c r="E14" s="119">
        <v>129.24</v>
      </c>
      <c r="F14" s="119" t="s">
        <v>613</v>
      </c>
      <c r="G14" s="119" t="s">
        <v>613</v>
      </c>
      <c r="H14" s="119">
        <v>5</v>
      </c>
      <c r="I14" s="119"/>
      <c r="J14" s="116" t="s">
        <v>720</v>
      </c>
      <c r="K14" s="116"/>
      <c r="L14" s="107" t="str">
        <f>TEXT(VLOOKUP(A14,氨基酸和溶剂信息!A:J,8,FALSE),"0.00")</f>
        <v>66.36</v>
      </c>
      <c r="M14" s="1" t="str">
        <f>VLOOKUP(A14,氨基酸和溶剂信息!A:J,10,FALSE)</f>
        <v>64.37~68.35</v>
      </c>
      <c r="N14" s="1" t="b">
        <f t="shared" si="1"/>
        <v>0</v>
      </c>
      <c r="O14" s="1" t="b">
        <f t="shared" si="2"/>
        <v>0</v>
      </c>
    </row>
    <row r="15" spans="1:15" ht="18" customHeight="1">
      <c r="A15" s="85" t="str">
        <f t="shared" si="0"/>
        <v>3.4.6DMF</v>
      </c>
      <c r="B15" s="119" t="s">
        <v>166</v>
      </c>
      <c r="C15" s="118" t="s">
        <v>717</v>
      </c>
      <c r="D15" s="119">
        <v>0.95</v>
      </c>
      <c r="E15" s="119">
        <v>73.099999999999994</v>
      </c>
      <c r="F15" s="119">
        <v>8</v>
      </c>
      <c r="G15" s="119">
        <v>7.58</v>
      </c>
      <c r="H15" s="119" t="s">
        <v>613</v>
      </c>
      <c r="I15" s="97">
        <v>492.7</v>
      </c>
      <c r="J15" s="118" t="s">
        <v>614</v>
      </c>
      <c r="K15" s="118" t="s">
        <v>628</v>
      </c>
      <c r="L15" s="107" t="str">
        <f>TEXT(VLOOKUP(A15,氨基酸和溶剂信息!A:J,8,FALSE),"0.00")</f>
        <v>492.70</v>
      </c>
      <c r="M15" s="1" t="str">
        <f>VLOOKUP(A15,氨基酸和溶剂信息!A:J,10,FALSE)</f>
        <v>463.14~522.26</v>
      </c>
      <c r="N15" s="1" t="b">
        <f t="shared" si="1"/>
        <v>1</v>
      </c>
      <c r="O15" s="1" t="b">
        <f t="shared" si="2"/>
        <v>1</v>
      </c>
    </row>
    <row r="16" spans="1:15" ht="18" customHeight="1">
      <c r="A16" s="85" t="str">
        <f t="shared" si="0"/>
        <v>3.5.120%Piperidinesolution</v>
      </c>
      <c r="B16" s="119" t="s">
        <v>177</v>
      </c>
      <c r="C16" s="118" t="s">
        <v>726</v>
      </c>
      <c r="D16" s="119">
        <v>0.93100000000000005</v>
      </c>
      <c r="E16" s="119" t="s">
        <v>613</v>
      </c>
      <c r="F16" s="119">
        <v>8</v>
      </c>
      <c r="G16" s="119">
        <v>7.44</v>
      </c>
      <c r="H16" s="119" t="s">
        <v>613</v>
      </c>
      <c r="I16" s="119">
        <v>483.6</v>
      </c>
      <c r="J16" s="116" t="s">
        <v>614</v>
      </c>
      <c r="K16" s="116" t="s">
        <v>727</v>
      </c>
      <c r="L16" s="107" t="str">
        <f>TEXT(VLOOKUP(A16,氨基酸和溶剂信息!A:J,8,FALSE),"0.00")</f>
        <v>483.60</v>
      </c>
      <c r="M16" s="1" t="str">
        <f>VLOOKUP(A16,氨基酸和溶剂信息!A:J,10,FALSE)</f>
        <v>454.58~512.62</v>
      </c>
      <c r="N16" s="1" t="b">
        <f t="shared" si="1"/>
        <v>1</v>
      </c>
      <c r="O16" s="1" t="b">
        <f t="shared" si="2"/>
        <v>1</v>
      </c>
    </row>
    <row r="17" spans="1:15" ht="18" customHeight="1">
      <c r="A17" s="85" t="str">
        <f t="shared" si="0"/>
        <v>3.5.4IPAc</v>
      </c>
      <c r="B17" s="119" t="s">
        <v>190</v>
      </c>
      <c r="C17" s="118" t="s">
        <v>728</v>
      </c>
      <c r="D17" s="119">
        <v>0.873</v>
      </c>
      <c r="E17" s="119">
        <v>102.13</v>
      </c>
      <c r="F17" s="119">
        <v>8</v>
      </c>
      <c r="G17" s="119">
        <v>6.98</v>
      </c>
      <c r="H17" s="119" t="s">
        <v>613</v>
      </c>
      <c r="I17" s="97">
        <v>453.7</v>
      </c>
      <c r="J17" s="118" t="s">
        <v>614</v>
      </c>
      <c r="K17" s="118" t="s">
        <v>729</v>
      </c>
      <c r="L17" s="107" t="str">
        <f>TEXT(VLOOKUP(A17,氨基酸和溶剂信息!A:J,8,FALSE),"0.00")</f>
        <v>453.70</v>
      </c>
      <c r="M17" s="1" t="str">
        <f>VLOOKUP(A17,氨基酸和溶剂信息!A:J,10,FALSE)</f>
        <v>426.48~480.92</v>
      </c>
      <c r="N17" s="1" t="b">
        <f t="shared" si="1"/>
        <v>1</v>
      </c>
      <c r="O17" s="1" t="b">
        <f t="shared" si="2"/>
        <v>1</v>
      </c>
    </row>
    <row r="18" spans="1:15" ht="18" customHeight="1">
      <c r="A18" s="85" t="str">
        <f t="shared" si="0"/>
        <v>3.5.5DMF</v>
      </c>
      <c r="B18" s="119" t="s">
        <v>197</v>
      </c>
      <c r="C18" s="118" t="s">
        <v>717</v>
      </c>
      <c r="D18" s="119">
        <v>0.95</v>
      </c>
      <c r="E18" s="119">
        <v>73.099999999999994</v>
      </c>
      <c r="F18" s="119">
        <v>8</v>
      </c>
      <c r="G18" s="119">
        <v>7.58</v>
      </c>
      <c r="H18" s="119" t="s">
        <v>613</v>
      </c>
      <c r="I18" s="119">
        <v>492.7</v>
      </c>
      <c r="J18" s="116" t="s">
        <v>614</v>
      </c>
      <c r="K18" s="116" t="s">
        <v>628</v>
      </c>
      <c r="L18" s="107" t="str">
        <f>TEXT(VLOOKUP(A18,氨基酸和溶剂信息!A:J,8,FALSE),"0.00")</f>
        <v>492.70</v>
      </c>
      <c r="M18" s="1" t="str">
        <f>VLOOKUP(A18,氨基酸和溶剂信息!A:J,10,FALSE)</f>
        <v>463.14~522.26</v>
      </c>
      <c r="N18" s="1" t="b">
        <f t="shared" si="1"/>
        <v>1</v>
      </c>
      <c r="O18" s="1" t="b">
        <f t="shared" si="2"/>
        <v>1</v>
      </c>
    </row>
    <row r="19" spans="1:15" ht="18" customHeight="1">
      <c r="A19" s="85" t="str">
        <f t="shared" si="0"/>
        <v>3.5.7DMF</v>
      </c>
      <c r="B19" s="119" t="s">
        <v>200</v>
      </c>
      <c r="C19" s="118" t="s">
        <v>717</v>
      </c>
      <c r="D19" s="119">
        <v>0.95</v>
      </c>
      <c r="E19" s="119">
        <v>73.099999999999994</v>
      </c>
      <c r="F19" s="119">
        <v>8</v>
      </c>
      <c r="G19" s="119">
        <v>7.58</v>
      </c>
      <c r="H19" s="119" t="s">
        <v>613</v>
      </c>
      <c r="I19" s="119">
        <v>492.7</v>
      </c>
      <c r="J19" s="116" t="s">
        <v>614</v>
      </c>
      <c r="K19" s="116" t="s">
        <v>628</v>
      </c>
      <c r="L19" s="107" t="str">
        <f>TEXT(VLOOKUP(A19,氨基酸和溶剂信息!A:J,8,FALSE),"0.00")</f>
        <v>492.70</v>
      </c>
      <c r="M19" s="1" t="str">
        <f>VLOOKUP(A19,氨基酸和溶剂信息!A:J,10,FALSE)</f>
        <v>463.14~522.26</v>
      </c>
      <c r="N19" s="1" t="b">
        <f t="shared" si="1"/>
        <v>1</v>
      </c>
      <c r="O19" s="1" t="b">
        <f t="shared" si="2"/>
        <v>1</v>
      </c>
    </row>
    <row r="20" spans="1:15" ht="18" customHeight="1">
      <c r="A20" s="85" t="str">
        <f t="shared" si="0"/>
        <v>3.6.1DMF</v>
      </c>
      <c r="B20" s="119" t="s">
        <v>205</v>
      </c>
      <c r="C20" s="118" t="s">
        <v>717</v>
      </c>
      <c r="D20" s="119">
        <v>0.95</v>
      </c>
      <c r="E20" s="119">
        <v>73.099999999999994</v>
      </c>
      <c r="F20" s="119">
        <v>4</v>
      </c>
      <c r="G20" s="119">
        <v>3.79</v>
      </c>
      <c r="H20" s="119" t="s">
        <v>613</v>
      </c>
      <c r="I20" s="119">
        <v>246.35</v>
      </c>
      <c r="J20" s="116" t="s">
        <v>615</v>
      </c>
      <c r="K20" s="116" t="s">
        <v>730</v>
      </c>
      <c r="L20" s="107" t="str">
        <f>TEXT(VLOOKUP(A20,氨基酸和溶剂信息!A:J,8,FALSE),"0.00")</f>
        <v>246.35</v>
      </c>
      <c r="M20" s="1" t="str">
        <f>VLOOKUP(A20,氨基酸和溶剂信息!A:J,10,FALSE)</f>
        <v>234.03~258.67</v>
      </c>
      <c r="N20" s="1" t="b">
        <f t="shared" si="1"/>
        <v>1</v>
      </c>
      <c r="O20" s="1" t="b">
        <f t="shared" si="2"/>
        <v>1</v>
      </c>
    </row>
    <row r="21" spans="1:15" ht="27.75" customHeight="1">
      <c r="A21" s="85" t="str">
        <f t="shared" si="0"/>
        <v>3.6.2Fmoc-L-Thr(tBu)-OH</v>
      </c>
      <c r="B21" s="119" t="s">
        <v>639</v>
      </c>
      <c r="C21" s="118" t="s">
        <v>731</v>
      </c>
      <c r="D21" s="119" t="s">
        <v>613</v>
      </c>
      <c r="E21" s="119">
        <v>397.47</v>
      </c>
      <c r="F21" s="119" t="s">
        <v>613</v>
      </c>
      <c r="G21" s="119" t="s">
        <v>613</v>
      </c>
      <c r="H21" s="119">
        <v>2</v>
      </c>
      <c r="I21" s="119"/>
      <c r="J21" s="116" t="s">
        <v>720</v>
      </c>
      <c r="K21" s="116"/>
      <c r="L21" s="107" t="str">
        <f>TEXT(VLOOKUP(A21,氨基酸和溶剂信息!A:J,8,FALSE),"0.00")</f>
        <v>81.64</v>
      </c>
      <c r="M21" s="1" t="str">
        <f>VLOOKUP(A21,氨基酸和溶剂信息!A:J,10,FALSE)</f>
        <v>79.19~84.09</v>
      </c>
      <c r="N21" s="1" t="b">
        <f t="shared" si="1"/>
        <v>0</v>
      </c>
      <c r="O21" s="1" t="b">
        <f t="shared" si="2"/>
        <v>0</v>
      </c>
    </row>
    <row r="22" spans="1:15" ht="18" customHeight="1">
      <c r="A22" s="85" t="str">
        <f t="shared" si="0"/>
        <v>3.6.4PyBOP</v>
      </c>
      <c r="B22" s="119" t="s">
        <v>641</v>
      </c>
      <c r="C22" s="118" t="s">
        <v>732</v>
      </c>
      <c r="D22" s="119" t="s">
        <v>613</v>
      </c>
      <c r="E22" s="119">
        <v>520.39</v>
      </c>
      <c r="F22" s="119" t="s">
        <v>613</v>
      </c>
      <c r="G22" s="119" t="s">
        <v>613</v>
      </c>
      <c r="H22" s="119">
        <v>2</v>
      </c>
      <c r="I22" s="119"/>
      <c r="J22" s="116" t="s">
        <v>720</v>
      </c>
      <c r="K22" s="116"/>
      <c r="L22" s="107" t="str">
        <f>TEXT(VLOOKUP(A22,氨基酸和溶剂信息!A:J,8,FALSE),"0.00")</f>
        <v>106.89</v>
      </c>
      <c r="M22" s="1" t="str">
        <f>VLOOKUP(A22,氨基酸和溶剂信息!A:J,10,FALSE)</f>
        <v>103.68~110.10</v>
      </c>
      <c r="N22" s="1" t="b">
        <f t="shared" si="1"/>
        <v>0</v>
      </c>
      <c r="O22" s="1" t="b">
        <f t="shared" si="2"/>
        <v>0</v>
      </c>
    </row>
    <row r="23" spans="1:15" ht="18" customHeight="1">
      <c r="A23" s="85" t="str">
        <f t="shared" si="0"/>
        <v>3.6.5OxymaPure</v>
      </c>
      <c r="B23" s="119" t="s">
        <v>643</v>
      </c>
      <c r="C23" s="118" t="s">
        <v>733</v>
      </c>
      <c r="D23" s="119" t="s">
        <v>613</v>
      </c>
      <c r="E23" s="119">
        <v>142.11000000000001</v>
      </c>
      <c r="F23" s="119" t="s">
        <v>613</v>
      </c>
      <c r="G23" s="119" t="s">
        <v>613</v>
      </c>
      <c r="H23" s="119">
        <v>2</v>
      </c>
      <c r="I23" s="119"/>
      <c r="J23" s="116" t="s">
        <v>720</v>
      </c>
      <c r="K23" s="116"/>
      <c r="L23" s="107" t="str">
        <f>TEXT(VLOOKUP(A23,氨基酸和溶剂信息!A:J,8,FALSE),"0.00")</f>
        <v>29.19</v>
      </c>
      <c r="M23" s="1" t="str">
        <f>VLOOKUP(A23,氨基酸和溶剂信息!A:J,10,FALSE)</f>
        <v>28.31~30.07</v>
      </c>
      <c r="N23" s="1" t="b">
        <f t="shared" si="1"/>
        <v>0</v>
      </c>
      <c r="O23" s="1" t="b">
        <f t="shared" si="2"/>
        <v>0</v>
      </c>
    </row>
    <row r="24" spans="1:15" ht="18" customHeight="1">
      <c r="A24" s="85" t="str">
        <f t="shared" si="0"/>
        <v>3.6.6DMF</v>
      </c>
      <c r="B24" s="119" t="s">
        <v>219</v>
      </c>
      <c r="C24" s="118" t="s">
        <v>717</v>
      </c>
      <c r="D24" s="119">
        <v>0.95</v>
      </c>
      <c r="E24" s="119">
        <v>73.099999999999994</v>
      </c>
      <c r="F24" s="119">
        <v>1</v>
      </c>
      <c r="G24" s="119">
        <v>0.95</v>
      </c>
      <c r="H24" s="119" t="s">
        <v>613</v>
      </c>
      <c r="I24" s="119">
        <v>61.75</v>
      </c>
      <c r="J24" s="116" t="s">
        <v>614</v>
      </c>
      <c r="K24" s="116" t="s">
        <v>721</v>
      </c>
      <c r="L24" s="107" t="str">
        <f>TEXT(VLOOKUP(A24,氨基酸和溶剂信息!A:J,8,FALSE),"0.00")</f>
        <v>61.75</v>
      </c>
      <c r="M24" s="1" t="str">
        <f>VLOOKUP(A24,氨基酸和溶剂信息!A:J,10,FALSE)</f>
        <v>58.05~65.46</v>
      </c>
      <c r="N24" s="1" t="b">
        <f t="shared" si="1"/>
        <v>1</v>
      </c>
      <c r="O24" s="1" t="b">
        <f t="shared" si="2"/>
        <v>1</v>
      </c>
    </row>
    <row r="25" spans="1:15" ht="18" customHeight="1">
      <c r="A25" s="85" t="str">
        <f t="shared" si="0"/>
        <v>3.6.7DIPEA</v>
      </c>
      <c r="B25" s="119" t="s">
        <v>645</v>
      </c>
      <c r="C25" s="118" t="s">
        <v>723</v>
      </c>
      <c r="D25" s="119">
        <v>0.74199999999999999</v>
      </c>
      <c r="E25" s="119">
        <v>129.24</v>
      </c>
      <c r="F25" s="119" t="s">
        <v>613</v>
      </c>
      <c r="G25" s="119" t="s">
        <v>613</v>
      </c>
      <c r="H25" s="119">
        <v>3</v>
      </c>
      <c r="I25" s="119"/>
      <c r="J25" s="116" t="s">
        <v>720</v>
      </c>
      <c r="K25" s="116"/>
      <c r="L25" s="107" t="str">
        <f>TEXT(VLOOKUP(A25,氨基酸和溶剂信息!A:J,8,FALSE),"0.00")</f>
        <v>39.82</v>
      </c>
      <c r="M25" s="1" t="str">
        <f>VLOOKUP(A25,氨基酸和溶剂信息!A:J,10,FALSE)</f>
        <v>38.63~41.01</v>
      </c>
      <c r="N25" s="1" t="b">
        <f t="shared" si="1"/>
        <v>0</v>
      </c>
      <c r="O25" s="1" t="b">
        <f t="shared" si="2"/>
        <v>0</v>
      </c>
    </row>
    <row r="26" spans="1:15" ht="23.25" customHeight="1">
      <c r="A26" s="85" t="str">
        <f t="shared" si="0"/>
        <v>3.7.1DMF</v>
      </c>
      <c r="B26" s="119" t="s">
        <v>226</v>
      </c>
      <c r="C26" s="118" t="s">
        <v>717</v>
      </c>
      <c r="D26" s="119">
        <v>0.95</v>
      </c>
      <c r="E26" s="119">
        <v>73.099999999999994</v>
      </c>
      <c r="F26" s="119">
        <v>3</v>
      </c>
      <c r="G26" s="119">
        <v>2.84</v>
      </c>
      <c r="H26" s="119" t="s">
        <v>613</v>
      </c>
      <c r="I26" s="119">
        <v>184.6</v>
      </c>
      <c r="J26" s="116" t="s">
        <v>614</v>
      </c>
      <c r="K26" s="116" t="s">
        <v>734</v>
      </c>
      <c r="L26" s="107" t="str">
        <f>TEXT(VLOOKUP(A26,氨基酸和溶剂信息!A:J,8,FALSE),"0.00")</f>
        <v>184.60</v>
      </c>
      <c r="M26" s="1" t="str">
        <f>VLOOKUP(A26,氨基酸和溶剂信息!A:J,10,FALSE)</f>
        <v>173.52~195.68</v>
      </c>
      <c r="N26" s="1" t="b">
        <f t="shared" si="1"/>
        <v>1</v>
      </c>
      <c r="O26" s="1" t="b">
        <f t="shared" si="2"/>
        <v>1</v>
      </c>
    </row>
    <row r="27" spans="1:15" ht="18" customHeight="1">
      <c r="A27" s="85" t="str">
        <f t="shared" si="0"/>
        <v>3.7.3DMF</v>
      </c>
      <c r="B27" s="119" t="s">
        <v>229</v>
      </c>
      <c r="C27" s="118" t="s">
        <v>717</v>
      </c>
      <c r="D27" s="119">
        <v>0.95</v>
      </c>
      <c r="E27" s="119">
        <v>73.099999999999994</v>
      </c>
      <c r="F27" s="119">
        <v>1</v>
      </c>
      <c r="G27" s="119">
        <v>0.95</v>
      </c>
      <c r="H27" s="119" t="s">
        <v>613</v>
      </c>
      <c r="I27" s="119">
        <v>61.75</v>
      </c>
      <c r="J27" s="116" t="s">
        <v>614</v>
      </c>
      <c r="K27" s="116" t="s">
        <v>721</v>
      </c>
      <c r="L27" s="107" t="str">
        <f>TEXT(VLOOKUP(A27,氨基酸和溶剂信息!A:J,8,FALSE),"0.00")</f>
        <v>61.75</v>
      </c>
      <c r="M27" s="1" t="str">
        <f>VLOOKUP(A27,氨基酸和溶剂信息!A:J,10,FALSE)</f>
        <v>58.05~65.46</v>
      </c>
      <c r="N27" s="1" t="b">
        <f t="shared" si="1"/>
        <v>1</v>
      </c>
      <c r="O27" s="1" t="b">
        <f t="shared" si="2"/>
        <v>1</v>
      </c>
    </row>
    <row r="28" spans="1:15" ht="18" customHeight="1">
      <c r="A28" s="85" t="str">
        <f t="shared" si="0"/>
        <v>3.7.7DMF</v>
      </c>
      <c r="B28" s="119" t="s">
        <v>236</v>
      </c>
      <c r="C28" s="118" t="s">
        <v>717</v>
      </c>
      <c r="D28" s="119">
        <v>0.95</v>
      </c>
      <c r="E28" s="119">
        <v>73.099999999999994</v>
      </c>
      <c r="F28" s="119">
        <v>8</v>
      </c>
      <c r="G28" s="119">
        <v>7.58</v>
      </c>
      <c r="H28" s="119" t="s">
        <v>613</v>
      </c>
      <c r="I28" s="97">
        <v>492.7</v>
      </c>
      <c r="J28" s="118" t="s">
        <v>614</v>
      </c>
      <c r="K28" s="118" t="s">
        <v>628</v>
      </c>
      <c r="L28" s="107" t="str">
        <f>TEXT(VLOOKUP(A28,氨基酸和溶剂信息!A:J,8,FALSE),"0.00")</f>
        <v>492.70</v>
      </c>
      <c r="M28" s="1" t="str">
        <f>VLOOKUP(A28,氨基酸和溶剂信息!A:J,10,FALSE)</f>
        <v>463.14~522.26</v>
      </c>
      <c r="N28" s="1" t="b">
        <f t="shared" si="1"/>
        <v>1</v>
      </c>
      <c r="O28" s="1" t="b">
        <f t="shared" si="2"/>
        <v>1</v>
      </c>
    </row>
    <row r="29" spans="1:15" ht="27.75" customHeight="1">
      <c r="A29" s="85" t="str">
        <f t="shared" si="0"/>
        <v>3.8.120%Piperidinesolution</v>
      </c>
      <c r="B29" s="119" t="s">
        <v>240</v>
      </c>
      <c r="C29" s="118" t="s">
        <v>726</v>
      </c>
      <c r="D29" s="119">
        <v>0.93100000000000005</v>
      </c>
      <c r="E29" s="119" t="s">
        <v>613</v>
      </c>
      <c r="F29" s="119">
        <v>8</v>
      </c>
      <c r="G29" s="119">
        <v>7.44</v>
      </c>
      <c r="H29" s="119" t="s">
        <v>613</v>
      </c>
      <c r="I29" s="119">
        <v>483.6</v>
      </c>
      <c r="J29" s="116" t="s">
        <v>614</v>
      </c>
      <c r="K29" s="116" t="s">
        <v>727</v>
      </c>
      <c r="L29" s="107" t="str">
        <f>TEXT(VLOOKUP(A29,氨基酸和溶剂信息!A:J,8,FALSE),"0.00")</f>
        <v>483.60</v>
      </c>
      <c r="M29" s="1" t="str">
        <f>VLOOKUP(A29,氨基酸和溶剂信息!A:J,10,FALSE)</f>
        <v>454.58~512.62</v>
      </c>
      <c r="N29" s="1" t="b">
        <f t="shared" si="1"/>
        <v>1</v>
      </c>
      <c r="O29" s="1" t="b">
        <f t="shared" si="2"/>
        <v>1</v>
      </c>
    </row>
    <row r="30" spans="1:15" ht="18" customHeight="1">
      <c r="A30" s="85" t="str">
        <f t="shared" si="0"/>
        <v>3.8.4IPAc</v>
      </c>
      <c r="B30" s="119" t="s">
        <v>243</v>
      </c>
      <c r="C30" s="118" t="s">
        <v>728</v>
      </c>
      <c r="D30" s="119">
        <v>0.873</v>
      </c>
      <c r="E30" s="119">
        <v>102.13</v>
      </c>
      <c r="F30" s="119">
        <v>8</v>
      </c>
      <c r="G30" s="119">
        <v>6.98</v>
      </c>
      <c r="H30" s="119" t="s">
        <v>613</v>
      </c>
      <c r="I30" s="119">
        <v>453.7</v>
      </c>
      <c r="J30" s="116" t="s">
        <v>614</v>
      </c>
      <c r="K30" s="116" t="s">
        <v>729</v>
      </c>
      <c r="L30" s="107" t="str">
        <f>TEXT(VLOOKUP(A30,氨基酸和溶剂信息!A:J,8,FALSE),"0.00")</f>
        <v>453.70</v>
      </c>
      <c r="M30" s="1" t="str">
        <f>VLOOKUP(A30,氨基酸和溶剂信息!A:J,10,FALSE)</f>
        <v>426.48~480.92</v>
      </c>
      <c r="N30" s="1" t="b">
        <f t="shared" si="1"/>
        <v>1</v>
      </c>
      <c r="O30" s="1" t="b">
        <f t="shared" si="2"/>
        <v>1</v>
      </c>
    </row>
    <row r="31" spans="1:15" ht="18" customHeight="1">
      <c r="A31" s="85" t="str">
        <f t="shared" si="0"/>
        <v>3.8.5DMF</v>
      </c>
      <c r="B31" s="119" t="s">
        <v>246</v>
      </c>
      <c r="C31" s="118" t="s">
        <v>717</v>
      </c>
      <c r="D31" s="119">
        <v>0.95</v>
      </c>
      <c r="E31" s="119">
        <v>73.099999999999994</v>
      </c>
      <c r="F31" s="119">
        <v>8</v>
      </c>
      <c r="G31" s="119">
        <v>7.58</v>
      </c>
      <c r="H31" s="119" t="s">
        <v>613</v>
      </c>
      <c r="I31" s="119">
        <v>492.7</v>
      </c>
      <c r="J31" s="116" t="s">
        <v>614</v>
      </c>
      <c r="K31" s="116" t="s">
        <v>628</v>
      </c>
      <c r="L31" s="107" t="str">
        <f>TEXT(VLOOKUP(A31,氨基酸和溶剂信息!A:J,8,FALSE),"0.00")</f>
        <v>492.70</v>
      </c>
      <c r="M31" s="1" t="str">
        <f>VLOOKUP(A31,氨基酸和溶剂信息!A:J,10,FALSE)</f>
        <v>463.14~522.26</v>
      </c>
      <c r="N31" s="1" t="b">
        <f t="shared" si="1"/>
        <v>1</v>
      </c>
      <c r="O31" s="1" t="b">
        <f t="shared" si="2"/>
        <v>1</v>
      </c>
    </row>
    <row r="32" spans="1:15" ht="18" customHeight="1">
      <c r="A32" s="85" t="str">
        <f t="shared" si="0"/>
        <v>3.8.7DMF</v>
      </c>
      <c r="B32" s="119" t="s">
        <v>248</v>
      </c>
      <c r="C32" s="118" t="s">
        <v>717</v>
      </c>
      <c r="D32" s="119">
        <v>0.95</v>
      </c>
      <c r="E32" s="119">
        <v>73.099999999999994</v>
      </c>
      <c r="F32" s="119">
        <v>8</v>
      </c>
      <c r="G32" s="119">
        <v>7.58</v>
      </c>
      <c r="H32" s="119" t="s">
        <v>613</v>
      </c>
      <c r="I32" s="119">
        <v>492.7</v>
      </c>
      <c r="J32" s="116" t="s">
        <v>614</v>
      </c>
      <c r="K32" s="116" t="s">
        <v>628</v>
      </c>
      <c r="L32" s="107" t="str">
        <f>TEXT(VLOOKUP(A32,氨基酸和溶剂信息!A:J,8,FALSE),"0.00")</f>
        <v>492.70</v>
      </c>
      <c r="M32" s="1" t="str">
        <f>VLOOKUP(A32,氨基酸和溶剂信息!A:J,10,FALSE)</f>
        <v>463.14~522.26</v>
      </c>
      <c r="N32" s="1" t="b">
        <f t="shared" si="1"/>
        <v>1</v>
      </c>
      <c r="O32" s="1" t="b">
        <f t="shared" si="2"/>
        <v>1</v>
      </c>
    </row>
    <row r="33" spans="1:15" ht="27.75" customHeight="1">
      <c r="A33" s="85" t="str">
        <f t="shared" si="0"/>
        <v>3.9.1DMF</v>
      </c>
      <c r="B33" s="119" t="s">
        <v>251</v>
      </c>
      <c r="C33" s="118" t="s">
        <v>717</v>
      </c>
      <c r="D33" s="119">
        <v>0.95</v>
      </c>
      <c r="E33" s="119">
        <v>73.099999999999994</v>
      </c>
      <c r="F33" s="119">
        <v>6</v>
      </c>
      <c r="G33" s="119">
        <v>5.69</v>
      </c>
      <c r="H33" s="119" t="s">
        <v>613</v>
      </c>
      <c r="I33" s="119">
        <v>369.85</v>
      </c>
      <c r="J33" s="116" t="s">
        <v>615</v>
      </c>
      <c r="K33" s="116" t="s">
        <v>648</v>
      </c>
      <c r="L33" s="107" t="str">
        <f>TEXT(VLOOKUP(A33,氨基酸和溶剂信息!A:J,8,FALSE),"0.00")</f>
        <v>369.85</v>
      </c>
      <c r="M33" s="1" t="str">
        <f>VLOOKUP(A33,氨基酸和溶剂信息!A:J,10,FALSE)</f>
        <v>351.36~388.34</v>
      </c>
      <c r="N33" s="1" t="b">
        <f t="shared" si="1"/>
        <v>1</v>
      </c>
      <c r="O33" s="1" t="b">
        <f t="shared" si="2"/>
        <v>1</v>
      </c>
    </row>
    <row r="34" spans="1:15" ht="18" customHeight="1">
      <c r="A34" s="85" t="str">
        <f t="shared" ref="A34:A65" si="3">IFERROR(SUBSTITUTE(IFERROR(MID(B34,FIND("/",B34,1)+1,LEN(B34)),B34)&amp;LEFT(C34,FIND("/",C34,1)-1)," ",""),"")</f>
        <v>3.9.2Fmoc-L-Ala-OH·H2O</v>
      </c>
      <c r="B34" s="119" t="s">
        <v>649</v>
      </c>
      <c r="C34" s="118" t="s">
        <v>735</v>
      </c>
      <c r="D34" s="119" t="s">
        <v>613</v>
      </c>
      <c r="E34" s="119">
        <v>329.35</v>
      </c>
      <c r="F34" s="119" t="s">
        <v>613</v>
      </c>
      <c r="G34" s="119" t="s">
        <v>613</v>
      </c>
      <c r="H34" s="119">
        <v>2</v>
      </c>
      <c r="I34" s="119"/>
      <c r="J34" s="116" t="s">
        <v>720</v>
      </c>
      <c r="K34" s="116"/>
      <c r="L34" s="107" t="str">
        <f>TEXT(VLOOKUP(A34,氨基酸和溶剂信息!A:J,8,FALSE),"0.00")</f>
        <v>67.65</v>
      </c>
      <c r="M34" s="1" t="str">
        <f>VLOOKUP(A34,氨基酸和溶剂信息!A:J,10,FALSE)</f>
        <v>65.62~69.68</v>
      </c>
      <c r="N34" s="1" t="b">
        <f t="shared" ref="N34:N65" si="4">TEXT(L34,"0.00")=TEXT(I34,"0.00")</f>
        <v>0</v>
      </c>
      <c r="O34" s="1" t="b">
        <f t="shared" ref="O34:O65" si="5">K34=M34</f>
        <v>0</v>
      </c>
    </row>
    <row r="35" spans="1:15" ht="18" customHeight="1">
      <c r="A35" s="85" t="str">
        <f t="shared" si="3"/>
        <v>3.9.4OxymaPure</v>
      </c>
      <c r="B35" s="119" t="s">
        <v>651</v>
      </c>
      <c r="C35" s="118" t="s">
        <v>733</v>
      </c>
      <c r="D35" s="119" t="s">
        <v>613</v>
      </c>
      <c r="E35" s="119">
        <v>142.11000000000001</v>
      </c>
      <c r="F35" s="119" t="s">
        <v>613</v>
      </c>
      <c r="G35" s="119" t="s">
        <v>613</v>
      </c>
      <c r="H35" s="119">
        <v>2</v>
      </c>
      <c r="I35" s="119"/>
      <c r="J35" s="116" t="s">
        <v>720</v>
      </c>
      <c r="K35" s="116"/>
      <c r="L35" s="107" t="str">
        <f>TEXT(VLOOKUP(A35,氨基酸和溶剂信息!A:J,8,FALSE),"0.00")</f>
        <v>29.19</v>
      </c>
      <c r="M35" s="1" t="str">
        <f>VLOOKUP(A35,氨基酸和溶剂信息!A:J,10,FALSE)</f>
        <v>28.31~30.07</v>
      </c>
      <c r="N35" s="1" t="b">
        <f t="shared" si="4"/>
        <v>0</v>
      </c>
      <c r="O35" s="1" t="b">
        <f t="shared" si="5"/>
        <v>0</v>
      </c>
    </row>
    <row r="36" spans="1:15" ht="27.75" customHeight="1">
      <c r="A36" s="85" t="str">
        <f t="shared" si="3"/>
        <v>3.9.5DMF</v>
      </c>
      <c r="B36" s="119" t="s">
        <v>257</v>
      </c>
      <c r="C36" s="118" t="s">
        <v>717</v>
      </c>
      <c r="D36" s="119">
        <v>0.95</v>
      </c>
      <c r="E36" s="119">
        <v>73.099999999999994</v>
      </c>
      <c r="F36" s="119">
        <v>1</v>
      </c>
      <c r="G36" s="119">
        <v>0.95</v>
      </c>
      <c r="H36" s="119" t="s">
        <v>613</v>
      </c>
      <c r="I36" s="119">
        <v>61.75</v>
      </c>
      <c r="J36" s="116" t="s">
        <v>614</v>
      </c>
      <c r="K36" s="116" t="s">
        <v>721</v>
      </c>
      <c r="L36" s="107" t="str">
        <f>TEXT(VLOOKUP(A36,氨基酸和溶剂信息!A:J,8,FALSE),"0.00")</f>
        <v>61.75</v>
      </c>
      <c r="M36" s="1" t="str">
        <f>VLOOKUP(A36,氨基酸和溶剂信息!A:J,10,FALSE)</f>
        <v>58.05~65.46</v>
      </c>
      <c r="N36" s="1" t="b">
        <f t="shared" si="4"/>
        <v>1</v>
      </c>
      <c r="O36" s="1" t="b">
        <f t="shared" si="5"/>
        <v>1</v>
      </c>
    </row>
    <row r="37" spans="1:15" ht="18" customHeight="1">
      <c r="A37" s="85" t="str">
        <f t="shared" si="3"/>
        <v>3.9.6DIC</v>
      </c>
      <c r="B37" s="119" t="s">
        <v>652</v>
      </c>
      <c r="C37" s="118" t="s">
        <v>736</v>
      </c>
      <c r="D37" s="119">
        <v>0.81499999999999995</v>
      </c>
      <c r="E37" s="119">
        <v>126.2</v>
      </c>
      <c r="F37" s="119" t="s">
        <v>613</v>
      </c>
      <c r="G37" s="119" t="s">
        <v>613</v>
      </c>
      <c r="H37" s="119">
        <v>2.2000000000000002</v>
      </c>
      <c r="I37" s="119"/>
      <c r="J37" s="116" t="s">
        <v>720</v>
      </c>
      <c r="K37" s="116"/>
      <c r="L37" s="107" t="str">
        <f>TEXT(VLOOKUP(A37,氨基酸和溶剂信息!A:J,8,FALSE),"0.00")</f>
        <v>28.51</v>
      </c>
      <c r="M37" s="1" t="str">
        <f>VLOOKUP(A37,氨基酸和溶剂信息!A:J,10,FALSE)</f>
        <v>27.65~29.37</v>
      </c>
      <c r="N37" s="1" t="b">
        <f t="shared" si="4"/>
        <v>0</v>
      </c>
      <c r="O37" s="1" t="b">
        <f t="shared" si="5"/>
        <v>0</v>
      </c>
    </row>
    <row r="38" spans="1:15" ht="18" customHeight="1">
      <c r="A38" s="85" t="str">
        <f t="shared" si="3"/>
        <v>3.10.2DMF</v>
      </c>
      <c r="B38" s="119" t="s">
        <v>265</v>
      </c>
      <c r="C38" s="118" t="s">
        <v>717</v>
      </c>
      <c r="D38" s="119">
        <v>0.95</v>
      </c>
      <c r="E38" s="119">
        <v>73.099999999999994</v>
      </c>
      <c r="F38" s="119">
        <v>1</v>
      </c>
      <c r="G38" s="119">
        <v>0.95</v>
      </c>
      <c r="H38" s="119" t="s">
        <v>613</v>
      </c>
      <c r="I38" s="119">
        <v>61.75</v>
      </c>
      <c r="J38" s="116" t="s">
        <v>614</v>
      </c>
      <c r="K38" s="116" t="s">
        <v>721</v>
      </c>
      <c r="L38" s="107" t="str">
        <f>TEXT(VLOOKUP(A38,氨基酸和溶剂信息!A:J,8,FALSE),"0.00")</f>
        <v>61.75</v>
      </c>
      <c r="M38" s="1" t="str">
        <f>VLOOKUP(A38,氨基酸和溶剂信息!A:J,10,FALSE)</f>
        <v>58.05~65.46</v>
      </c>
      <c r="N38" s="1" t="b">
        <f t="shared" si="4"/>
        <v>1</v>
      </c>
      <c r="O38" s="1" t="b">
        <f t="shared" si="5"/>
        <v>1</v>
      </c>
    </row>
    <row r="39" spans="1:15" ht="18" customHeight="1">
      <c r="A39" s="85" t="str">
        <f t="shared" si="3"/>
        <v>3.10.6DMF</v>
      </c>
      <c r="B39" s="119" t="s">
        <v>270</v>
      </c>
      <c r="C39" s="118" t="s">
        <v>717</v>
      </c>
      <c r="D39" s="119">
        <v>0.95</v>
      </c>
      <c r="E39" s="119">
        <v>7310</v>
      </c>
      <c r="F39" s="119">
        <v>8</v>
      </c>
      <c r="G39" s="119">
        <v>7.58</v>
      </c>
      <c r="H39" s="119" t="s">
        <v>613</v>
      </c>
      <c r="I39" s="97">
        <v>492.7</v>
      </c>
      <c r="J39" s="118" t="s">
        <v>614</v>
      </c>
      <c r="K39" s="118" t="s">
        <v>628</v>
      </c>
      <c r="L39" s="107" t="str">
        <f>TEXT(VLOOKUP(A39,氨基酸和溶剂信息!A:J,8,FALSE),"0.00")</f>
        <v>492.70</v>
      </c>
      <c r="M39" s="1" t="str">
        <f>VLOOKUP(A39,氨基酸和溶剂信息!A:J,10,FALSE)</f>
        <v>463.14~522.26</v>
      </c>
      <c r="N39" s="1" t="b">
        <f t="shared" si="4"/>
        <v>1</v>
      </c>
      <c r="O39" s="1" t="b">
        <f t="shared" si="5"/>
        <v>1</v>
      </c>
    </row>
    <row r="40" spans="1:15" ht="43.5" customHeight="1">
      <c r="A40" s="85" t="str">
        <f t="shared" si="3"/>
        <v>3.11.120%Piperidinesolution</v>
      </c>
      <c r="B40" s="119" t="s">
        <v>275</v>
      </c>
      <c r="C40" s="118" t="s">
        <v>726</v>
      </c>
      <c r="D40" s="119">
        <v>0.93100000000000005</v>
      </c>
      <c r="E40" s="119" t="s">
        <v>613</v>
      </c>
      <c r="F40" s="119">
        <v>8</v>
      </c>
      <c r="G40" s="119">
        <v>7.44</v>
      </c>
      <c r="H40" s="119" t="s">
        <v>613</v>
      </c>
      <c r="I40" s="119">
        <v>483.6</v>
      </c>
      <c r="J40" s="116" t="s">
        <v>614</v>
      </c>
      <c r="K40" s="116" t="s">
        <v>727</v>
      </c>
      <c r="L40" s="107" t="str">
        <f>TEXT(VLOOKUP(A40,氨基酸和溶剂信息!A:J,8,FALSE),"0.00")</f>
        <v>483.60</v>
      </c>
      <c r="M40" s="1" t="str">
        <f>VLOOKUP(A40,氨基酸和溶剂信息!A:J,10,FALSE)</f>
        <v>454.58~512.62</v>
      </c>
      <c r="N40" s="1" t="b">
        <f t="shared" si="4"/>
        <v>1</v>
      </c>
      <c r="O40" s="1" t="b">
        <f t="shared" si="5"/>
        <v>1</v>
      </c>
    </row>
    <row r="41" spans="1:15" ht="16.5" customHeight="1">
      <c r="A41" s="85" t="str">
        <f t="shared" si="3"/>
        <v>3.11.4IPAc</v>
      </c>
      <c r="B41" s="119" t="s">
        <v>278</v>
      </c>
      <c r="C41" s="118" t="s">
        <v>728</v>
      </c>
      <c r="D41" s="119">
        <v>0.873</v>
      </c>
      <c r="E41" s="119">
        <v>102.13</v>
      </c>
      <c r="F41" s="119">
        <v>8</v>
      </c>
      <c r="G41" s="119">
        <v>6.98</v>
      </c>
      <c r="H41" s="119" t="s">
        <v>613</v>
      </c>
      <c r="I41" s="97">
        <v>453.7</v>
      </c>
      <c r="J41" s="118" t="s">
        <v>614</v>
      </c>
      <c r="K41" s="118" t="s">
        <v>729</v>
      </c>
      <c r="L41" s="107" t="str">
        <f>TEXT(VLOOKUP(A41,氨基酸和溶剂信息!A:J,8,FALSE),"0.00")</f>
        <v>453.70</v>
      </c>
      <c r="M41" s="1" t="str">
        <f>VLOOKUP(A41,氨基酸和溶剂信息!A:J,10,FALSE)</f>
        <v>426.48~480.92</v>
      </c>
      <c r="N41" s="1" t="b">
        <f t="shared" si="4"/>
        <v>1</v>
      </c>
      <c r="O41" s="1" t="b">
        <f t="shared" si="5"/>
        <v>1</v>
      </c>
    </row>
    <row r="42" spans="1:15" ht="18" customHeight="1">
      <c r="A42" s="85" t="str">
        <f t="shared" si="3"/>
        <v>3.11.5DMF</v>
      </c>
      <c r="B42" s="119" t="s">
        <v>280</v>
      </c>
      <c r="C42" s="118" t="s">
        <v>717</v>
      </c>
      <c r="D42" s="119">
        <v>0.95</v>
      </c>
      <c r="E42" s="119">
        <v>73.099999999999994</v>
      </c>
      <c r="F42" s="119">
        <v>8</v>
      </c>
      <c r="G42" s="119">
        <v>7.58</v>
      </c>
      <c r="H42" s="119" t="s">
        <v>613</v>
      </c>
      <c r="I42" s="119">
        <v>492.7</v>
      </c>
      <c r="J42" s="116" t="s">
        <v>614</v>
      </c>
      <c r="K42" s="116" t="s">
        <v>628</v>
      </c>
      <c r="L42" s="107" t="str">
        <f>TEXT(VLOOKUP(A42,氨基酸和溶剂信息!A:J,8,FALSE),"0.00")</f>
        <v>492.70</v>
      </c>
      <c r="M42" s="1" t="str">
        <f>VLOOKUP(A42,氨基酸和溶剂信息!A:J,10,FALSE)</f>
        <v>463.14~522.26</v>
      </c>
      <c r="N42" s="1" t="b">
        <f t="shared" si="4"/>
        <v>1</v>
      </c>
      <c r="O42" s="1" t="b">
        <f t="shared" si="5"/>
        <v>1</v>
      </c>
    </row>
    <row r="43" spans="1:15" ht="18" customHeight="1">
      <c r="A43" s="85" t="str">
        <f t="shared" si="3"/>
        <v>3.11.7DMF</v>
      </c>
      <c r="B43" s="119" t="s">
        <v>282</v>
      </c>
      <c r="C43" s="118" t="s">
        <v>717</v>
      </c>
      <c r="D43" s="119">
        <v>0.95</v>
      </c>
      <c r="E43" s="119">
        <v>73.099999999999994</v>
      </c>
      <c r="F43" s="119">
        <v>8</v>
      </c>
      <c r="G43" s="119">
        <v>7.58</v>
      </c>
      <c r="H43" s="119" t="s">
        <v>613</v>
      </c>
      <c r="I43" s="119">
        <v>492.7</v>
      </c>
      <c r="J43" s="116" t="s">
        <v>614</v>
      </c>
      <c r="K43" s="116" t="s">
        <v>628</v>
      </c>
      <c r="L43" s="107" t="str">
        <f>TEXT(VLOOKUP(A43,氨基酸和溶剂信息!A:J,8,FALSE),"0.00")</f>
        <v>492.70</v>
      </c>
      <c r="M43" s="1" t="str">
        <f>VLOOKUP(A43,氨基酸和溶剂信息!A:J,10,FALSE)</f>
        <v>463.14~522.26</v>
      </c>
      <c r="N43" s="1" t="b">
        <f t="shared" si="4"/>
        <v>1</v>
      </c>
      <c r="O43" s="1" t="b">
        <f t="shared" si="5"/>
        <v>1</v>
      </c>
    </row>
    <row r="44" spans="1:15" ht="18" customHeight="1">
      <c r="A44" s="85" t="str">
        <f t="shared" si="3"/>
        <v>3.12.1DMF</v>
      </c>
      <c r="B44" s="119" t="s">
        <v>285</v>
      </c>
      <c r="C44" s="118" t="s">
        <v>717</v>
      </c>
      <c r="D44" s="119">
        <v>0.95</v>
      </c>
      <c r="E44" s="119">
        <v>73.099999999999994</v>
      </c>
      <c r="F44" s="119">
        <v>6</v>
      </c>
      <c r="G44" s="119">
        <v>5.69</v>
      </c>
      <c r="H44" s="119" t="s">
        <v>613</v>
      </c>
      <c r="I44" s="119">
        <v>369.85</v>
      </c>
      <c r="J44" s="116" t="s">
        <v>615</v>
      </c>
      <c r="K44" s="116" t="s">
        <v>648</v>
      </c>
      <c r="L44" s="107" t="str">
        <f>TEXT(VLOOKUP(A44,氨基酸和溶剂信息!A:J,8,FALSE),"0.00")</f>
        <v>369.85</v>
      </c>
      <c r="M44" s="1" t="str">
        <f>VLOOKUP(A44,氨基酸和溶剂信息!A:J,10,FALSE)</f>
        <v>351.36~388.34</v>
      </c>
      <c r="N44" s="1" t="b">
        <f t="shared" si="4"/>
        <v>1</v>
      </c>
      <c r="O44" s="1" t="b">
        <f t="shared" si="5"/>
        <v>1</v>
      </c>
    </row>
    <row r="45" spans="1:15" ht="29.25" customHeight="1">
      <c r="A45" s="85" t="str">
        <f t="shared" si="3"/>
        <v>3.12.2Fmoc-L-Cys(Trt)-OH</v>
      </c>
      <c r="B45" s="119" t="s">
        <v>655</v>
      </c>
      <c r="C45" s="118" t="s">
        <v>737</v>
      </c>
      <c r="D45" s="119" t="s">
        <v>613</v>
      </c>
      <c r="E45" s="119">
        <v>585.71</v>
      </c>
      <c r="F45" s="119" t="s">
        <v>613</v>
      </c>
      <c r="G45" s="119"/>
      <c r="H45" s="119">
        <v>2</v>
      </c>
      <c r="I45" s="119"/>
      <c r="J45" s="116" t="s">
        <v>720</v>
      </c>
      <c r="K45" s="116"/>
      <c r="L45" s="107" t="str">
        <f>TEXT(VLOOKUP(A45,氨基酸和溶剂信息!A:J,8,FALSE),"0.00")</f>
        <v>120.30</v>
      </c>
      <c r="M45" s="1" t="str">
        <f>VLOOKUP(A45,氨基酸和溶剂信息!A:J,10,FALSE)</f>
        <v>116.69~123.91</v>
      </c>
      <c r="N45" s="1" t="b">
        <f t="shared" si="4"/>
        <v>0</v>
      </c>
      <c r="O45" s="1" t="b">
        <f t="shared" si="5"/>
        <v>0</v>
      </c>
    </row>
    <row r="46" spans="1:15" ht="16.5" customHeight="1">
      <c r="A46" s="85" t="str">
        <f t="shared" si="3"/>
        <v>3.12.3OxymaPure</v>
      </c>
      <c r="B46" s="119" t="s">
        <v>657</v>
      </c>
      <c r="C46" s="118" t="s">
        <v>733</v>
      </c>
      <c r="D46" s="119" t="s">
        <v>613</v>
      </c>
      <c r="E46" s="119">
        <v>142.11000000000001</v>
      </c>
      <c r="F46" s="119" t="s">
        <v>613</v>
      </c>
      <c r="G46" s="119"/>
      <c r="H46" s="119">
        <v>3</v>
      </c>
      <c r="I46" s="119"/>
      <c r="J46" s="116" t="s">
        <v>720</v>
      </c>
      <c r="K46" s="116"/>
      <c r="L46" s="107" t="str">
        <f>TEXT(VLOOKUP(A46,氨基酸和溶剂信息!A:J,8,FALSE),"0.00")</f>
        <v>43.78</v>
      </c>
      <c r="M46" s="1" t="str">
        <f>VLOOKUP(A46,氨基酸和溶剂信息!A:J,10,FALSE)</f>
        <v>42.47~45.09</v>
      </c>
      <c r="N46" s="1" t="b">
        <f t="shared" si="4"/>
        <v>0</v>
      </c>
      <c r="O46" s="1" t="b">
        <f t="shared" si="5"/>
        <v>0</v>
      </c>
    </row>
    <row r="47" spans="1:15" ht="18" customHeight="1">
      <c r="A47" s="85" t="str">
        <f t="shared" si="3"/>
        <v>3.12.4DMF</v>
      </c>
      <c r="B47" s="119" t="s">
        <v>288</v>
      </c>
      <c r="C47" s="118" t="s">
        <v>717</v>
      </c>
      <c r="D47" s="119">
        <v>0.95</v>
      </c>
      <c r="E47" s="119">
        <v>73.099999999999994</v>
      </c>
      <c r="F47" s="119">
        <v>1</v>
      </c>
      <c r="G47" s="119">
        <v>0.95</v>
      </c>
      <c r="H47" s="119" t="s">
        <v>613</v>
      </c>
      <c r="I47" s="119">
        <v>61.75</v>
      </c>
      <c r="J47" s="116" t="s">
        <v>614</v>
      </c>
      <c r="K47" s="116" t="s">
        <v>721</v>
      </c>
      <c r="L47" s="107" t="str">
        <f>TEXT(VLOOKUP(A47,氨基酸和溶剂信息!A:J,8,FALSE),"0.00")</f>
        <v>61.75</v>
      </c>
      <c r="M47" s="1" t="str">
        <f>VLOOKUP(A47,氨基酸和溶剂信息!A:J,10,FALSE)</f>
        <v>58.05~65.46</v>
      </c>
      <c r="N47" s="1" t="b">
        <f t="shared" si="4"/>
        <v>1</v>
      </c>
      <c r="O47" s="1" t="b">
        <f t="shared" si="5"/>
        <v>1</v>
      </c>
    </row>
    <row r="48" spans="1:15" ht="18" customHeight="1">
      <c r="A48" s="85" t="str">
        <f t="shared" si="3"/>
        <v>3.13.2DMF</v>
      </c>
      <c r="B48" s="119" t="s">
        <v>291</v>
      </c>
      <c r="C48" s="118" t="s">
        <v>717</v>
      </c>
      <c r="D48" s="119">
        <v>0.95</v>
      </c>
      <c r="E48" s="119">
        <v>73.099999999999994</v>
      </c>
      <c r="F48" s="119">
        <v>1</v>
      </c>
      <c r="G48" s="119">
        <v>0.95</v>
      </c>
      <c r="H48" s="119" t="s">
        <v>613</v>
      </c>
      <c r="I48" s="119">
        <v>61.75</v>
      </c>
      <c r="J48" s="116" t="s">
        <v>614</v>
      </c>
      <c r="K48" s="116" t="s">
        <v>721</v>
      </c>
      <c r="L48" s="107" t="str">
        <f>TEXT(VLOOKUP(A48,氨基酸和溶剂信息!A:J,8,FALSE),"0.00")</f>
        <v>61.75</v>
      </c>
      <c r="M48" s="1" t="str">
        <f>VLOOKUP(A48,氨基酸和溶剂信息!A:J,10,FALSE)</f>
        <v>58.05~65.46</v>
      </c>
      <c r="N48" s="1" t="b">
        <f t="shared" si="4"/>
        <v>1</v>
      </c>
      <c r="O48" s="1" t="b">
        <f t="shared" si="5"/>
        <v>1</v>
      </c>
    </row>
    <row r="49" spans="1:15" ht="18" customHeight="1">
      <c r="A49" s="85" t="str">
        <f t="shared" si="3"/>
        <v>3.13.3DMF</v>
      </c>
      <c r="B49" s="119" t="s">
        <v>295</v>
      </c>
      <c r="C49" s="118" t="s">
        <v>717</v>
      </c>
      <c r="D49" s="119">
        <v>0.95</v>
      </c>
      <c r="E49" s="119">
        <v>73.099999999999994</v>
      </c>
      <c r="F49" s="119">
        <v>1</v>
      </c>
      <c r="G49" s="119">
        <v>0.95</v>
      </c>
      <c r="H49" s="119" t="s">
        <v>613</v>
      </c>
      <c r="I49" s="119">
        <v>61.75</v>
      </c>
      <c r="J49" s="116" t="s">
        <v>614</v>
      </c>
      <c r="K49" s="116" t="s">
        <v>721</v>
      </c>
      <c r="L49" s="107" t="str">
        <f>TEXT(VLOOKUP(A49,氨基酸和溶剂信息!A:J,8,FALSE),"0.00")</f>
        <v>61.75</v>
      </c>
      <c r="M49" s="1" t="str">
        <f>VLOOKUP(A49,氨基酸和溶剂信息!A:J,10,FALSE)</f>
        <v>58.05~65.46</v>
      </c>
      <c r="N49" s="1" t="b">
        <f t="shared" si="4"/>
        <v>1</v>
      </c>
      <c r="O49" s="1" t="b">
        <f t="shared" si="5"/>
        <v>1</v>
      </c>
    </row>
    <row r="50" spans="1:15" ht="18" customHeight="1">
      <c r="A50" s="85" t="str">
        <f t="shared" si="3"/>
        <v>3.13.3DIC</v>
      </c>
      <c r="B50" s="119" t="s">
        <v>295</v>
      </c>
      <c r="C50" s="118" t="s">
        <v>736</v>
      </c>
      <c r="D50" s="119">
        <v>0.81499999999999995</v>
      </c>
      <c r="E50" s="119">
        <v>126.2</v>
      </c>
      <c r="F50" s="119" t="s">
        <v>613</v>
      </c>
      <c r="G50" s="119" t="s">
        <v>613</v>
      </c>
      <c r="H50" s="119">
        <v>3.3</v>
      </c>
      <c r="I50" s="119"/>
      <c r="J50" s="116" t="s">
        <v>720</v>
      </c>
      <c r="K50" s="116"/>
      <c r="L50" s="107" t="str">
        <f>TEXT(VLOOKUP(A50,氨基酸和溶剂信息!A:J,8,FALSE),"0.00")</f>
        <v>42.77</v>
      </c>
      <c r="M50" s="1" t="str">
        <f>VLOOKUP(A50,氨基酸和溶剂信息!A:J,10,FALSE)</f>
        <v>41.49~44.05</v>
      </c>
      <c r="N50" s="1" t="b">
        <f t="shared" si="4"/>
        <v>0</v>
      </c>
      <c r="O50" s="1" t="b">
        <f t="shared" si="5"/>
        <v>0</v>
      </c>
    </row>
    <row r="51" spans="1:15" ht="18" customHeight="1">
      <c r="A51" s="85" t="str">
        <f t="shared" si="3"/>
        <v>3.13.10DMF</v>
      </c>
      <c r="B51" s="119" t="s">
        <v>311</v>
      </c>
      <c r="C51" s="118" t="s">
        <v>717</v>
      </c>
      <c r="D51" s="119">
        <v>0.95</v>
      </c>
      <c r="E51" s="119">
        <v>73.099999999999994</v>
      </c>
      <c r="F51" s="119">
        <v>8</v>
      </c>
      <c r="G51" s="119">
        <v>7.58</v>
      </c>
      <c r="H51" s="119" t="s">
        <v>613</v>
      </c>
      <c r="I51" s="97">
        <v>492.7</v>
      </c>
      <c r="J51" s="118" t="s">
        <v>614</v>
      </c>
      <c r="K51" s="118" t="s">
        <v>628</v>
      </c>
      <c r="L51" s="107" t="str">
        <f>TEXT(VLOOKUP(A51,氨基酸和溶剂信息!A:J,8,FALSE),"0.00")</f>
        <v>492.70</v>
      </c>
      <c r="M51" s="1" t="str">
        <f>VLOOKUP(A51,氨基酸和溶剂信息!A:J,10,FALSE)</f>
        <v>463.14~522.26</v>
      </c>
      <c r="N51" s="1" t="b">
        <f t="shared" si="4"/>
        <v>1</v>
      </c>
      <c r="O51" s="1" t="b">
        <f t="shared" si="5"/>
        <v>1</v>
      </c>
    </row>
    <row r="52" spans="1:15" ht="43.5" customHeight="1">
      <c r="A52" s="85" t="str">
        <f t="shared" si="3"/>
        <v>3.14.120%Piperidinesolution</v>
      </c>
      <c r="B52" s="119" t="s">
        <v>315</v>
      </c>
      <c r="C52" s="118" t="s">
        <v>726</v>
      </c>
      <c r="D52" s="119">
        <v>0.93100000000000005</v>
      </c>
      <c r="E52" s="119" t="s">
        <v>613</v>
      </c>
      <c r="F52" s="119">
        <v>8</v>
      </c>
      <c r="G52" s="119">
        <v>7.44</v>
      </c>
      <c r="H52" s="119" t="s">
        <v>613</v>
      </c>
      <c r="I52" s="119">
        <v>483.6</v>
      </c>
      <c r="J52" s="116" t="s">
        <v>614</v>
      </c>
      <c r="K52" s="116" t="s">
        <v>727</v>
      </c>
      <c r="L52" s="107" t="str">
        <f>TEXT(VLOOKUP(A52,氨基酸和溶剂信息!A:J,8,FALSE),"0.00")</f>
        <v>483.60</v>
      </c>
      <c r="M52" s="1" t="str">
        <f>VLOOKUP(A52,氨基酸和溶剂信息!A:J,10,FALSE)</f>
        <v>454.58~512.62</v>
      </c>
      <c r="N52" s="1" t="b">
        <f t="shared" si="4"/>
        <v>1</v>
      </c>
      <c r="O52" s="1" t="b">
        <f t="shared" si="5"/>
        <v>1</v>
      </c>
    </row>
    <row r="53" spans="1:15" ht="18" customHeight="1">
      <c r="A53" s="85" t="str">
        <f t="shared" si="3"/>
        <v>3.14.4IPAc</v>
      </c>
      <c r="B53" s="119" t="s">
        <v>318</v>
      </c>
      <c r="C53" s="118" t="s">
        <v>728</v>
      </c>
      <c r="D53" s="119">
        <v>0.873</v>
      </c>
      <c r="E53" s="119">
        <v>102.13</v>
      </c>
      <c r="F53" s="119">
        <v>8</v>
      </c>
      <c r="G53" s="119">
        <v>6.98</v>
      </c>
      <c r="H53" s="119" t="s">
        <v>613</v>
      </c>
      <c r="I53" s="119">
        <v>453.7</v>
      </c>
      <c r="J53" s="116" t="s">
        <v>614</v>
      </c>
      <c r="K53" s="116" t="s">
        <v>729</v>
      </c>
      <c r="L53" s="107" t="str">
        <f>TEXT(VLOOKUP(A53,氨基酸和溶剂信息!A:J,8,FALSE),"0.00")</f>
        <v>453.70</v>
      </c>
      <c r="M53" s="1" t="str">
        <f>VLOOKUP(A53,氨基酸和溶剂信息!A:J,10,FALSE)</f>
        <v>426.48~480.92</v>
      </c>
      <c r="N53" s="1" t="b">
        <f t="shared" si="4"/>
        <v>1</v>
      </c>
      <c r="O53" s="1" t="b">
        <f t="shared" si="5"/>
        <v>1</v>
      </c>
    </row>
    <row r="54" spans="1:15" ht="18" customHeight="1">
      <c r="A54" s="85" t="str">
        <f t="shared" si="3"/>
        <v>3.14.5DMF</v>
      </c>
      <c r="B54" s="119" t="s">
        <v>320</v>
      </c>
      <c r="C54" s="118" t="s">
        <v>717</v>
      </c>
      <c r="D54" s="119">
        <v>0.95</v>
      </c>
      <c r="E54" s="119">
        <v>73.099999999999994</v>
      </c>
      <c r="F54" s="119">
        <v>8</v>
      </c>
      <c r="G54" s="119">
        <v>7.58</v>
      </c>
      <c r="H54" s="119" t="s">
        <v>613</v>
      </c>
      <c r="I54" s="119">
        <v>492.7</v>
      </c>
      <c r="J54" s="116" t="s">
        <v>614</v>
      </c>
      <c r="K54" s="116" t="s">
        <v>628</v>
      </c>
      <c r="L54" s="107" t="str">
        <f>TEXT(VLOOKUP(A54,氨基酸和溶剂信息!A:J,8,FALSE),"0.00")</f>
        <v>492.70</v>
      </c>
      <c r="M54" s="1" t="str">
        <f>VLOOKUP(A54,氨基酸和溶剂信息!A:J,10,FALSE)</f>
        <v>463.14~522.26</v>
      </c>
      <c r="N54" s="1" t="b">
        <f t="shared" si="4"/>
        <v>1</v>
      </c>
      <c r="O54" s="1" t="b">
        <f t="shared" si="5"/>
        <v>1</v>
      </c>
    </row>
    <row r="55" spans="1:15" ht="18" customHeight="1">
      <c r="A55" s="85" t="str">
        <f t="shared" si="3"/>
        <v>3.14.7DMF</v>
      </c>
      <c r="B55" s="119" t="s">
        <v>322</v>
      </c>
      <c r="C55" s="118" t="s">
        <v>717</v>
      </c>
      <c r="D55" s="119">
        <v>0.95</v>
      </c>
      <c r="E55" s="119">
        <v>73.099999999999994</v>
      </c>
      <c r="F55" s="119">
        <v>8</v>
      </c>
      <c r="G55" s="119">
        <v>7.58</v>
      </c>
      <c r="H55" s="119" t="s">
        <v>613</v>
      </c>
      <c r="I55" s="119">
        <v>492.7</v>
      </c>
      <c r="J55" s="116" t="s">
        <v>614</v>
      </c>
      <c r="K55" s="116" t="s">
        <v>628</v>
      </c>
      <c r="L55" s="107" t="str">
        <f>TEXT(VLOOKUP(A55,氨基酸和溶剂信息!A:J,8,FALSE),"0.00")</f>
        <v>492.70</v>
      </c>
      <c r="M55" s="1" t="str">
        <f>VLOOKUP(A55,氨基酸和溶剂信息!A:J,10,FALSE)</f>
        <v>463.14~522.26</v>
      </c>
      <c r="N55" s="1" t="b">
        <f t="shared" si="4"/>
        <v>1</v>
      </c>
      <c r="O55" s="1" t="b">
        <f t="shared" si="5"/>
        <v>1</v>
      </c>
    </row>
    <row r="56" spans="1:15" ht="18" customHeight="1">
      <c r="A56" s="85" t="str">
        <f t="shared" si="3"/>
        <v>3.15.1DMF</v>
      </c>
      <c r="B56" s="119" t="s">
        <v>325</v>
      </c>
      <c r="C56" s="118" t="s">
        <v>717</v>
      </c>
      <c r="D56" s="119">
        <v>0.95</v>
      </c>
      <c r="E56" s="119">
        <v>73.099999999999994</v>
      </c>
      <c r="F56" s="119">
        <v>6</v>
      </c>
      <c r="G56" s="119">
        <v>5.69</v>
      </c>
      <c r="H56" s="119" t="s">
        <v>613</v>
      </c>
      <c r="I56" s="119">
        <v>369.85</v>
      </c>
      <c r="J56" s="116" t="s">
        <v>615</v>
      </c>
      <c r="K56" s="116" t="s">
        <v>648</v>
      </c>
      <c r="L56" s="107" t="str">
        <f>TEXT(VLOOKUP(A56,氨基酸和溶剂信息!A:J,8,FALSE),"0.00")</f>
        <v>369.85</v>
      </c>
      <c r="M56" s="1" t="str">
        <f>VLOOKUP(A56,氨基酸和溶剂信息!A:J,10,FALSE)</f>
        <v>351.36~388.34</v>
      </c>
      <c r="N56" s="1" t="b">
        <f t="shared" si="4"/>
        <v>1</v>
      </c>
      <c r="O56" s="1" t="b">
        <f t="shared" si="5"/>
        <v>1</v>
      </c>
    </row>
    <row r="57" spans="1:15" ht="72" customHeight="1">
      <c r="A57" s="85" t="str">
        <f t="shared" si="3"/>
        <v>3.15.2Fmoc-L-Thr(tBu)-OH</v>
      </c>
      <c r="B57" s="119" t="s">
        <v>663</v>
      </c>
      <c r="C57" s="116" t="s">
        <v>738</v>
      </c>
      <c r="D57" s="116" t="s">
        <v>613</v>
      </c>
      <c r="E57" s="116">
        <v>397.47</v>
      </c>
      <c r="F57" s="116" t="s">
        <v>613</v>
      </c>
      <c r="G57" s="116" t="s">
        <v>613</v>
      </c>
      <c r="H57" s="116">
        <v>2</v>
      </c>
      <c r="I57" s="119"/>
      <c r="J57" s="116" t="s">
        <v>720</v>
      </c>
      <c r="K57" s="116"/>
      <c r="L57" s="107" t="str">
        <f>TEXT(VLOOKUP(A57,氨基酸和溶剂信息!A:J,8,FALSE),"0.00")</f>
        <v>81.64</v>
      </c>
      <c r="M57" s="1" t="str">
        <f>VLOOKUP(A57,氨基酸和溶剂信息!A:J,10,FALSE)</f>
        <v>79.19~84.09</v>
      </c>
      <c r="N57" s="1" t="b">
        <f t="shared" si="4"/>
        <v>0</v>
      </c>
      <c r="O57" s="1" t="b">
        <f t="shared" si="5"/>
        <v>0</v>
      </c>
    </row>
    <row r="58" spans="1:15" ht="18" customHeight="1">
      <c r="A58" s="85" t="str">
        <f t="shared" si="3"/>
        <v>3.15.4OxymaPure</v>
      </c>
      <c r="B58" s="119" t="s">
        <v>664</v>
      </c>
      <c r="C58" s="118" t="s">
        <v>733</v>
      </c>
      <c r="D58" s="119" t="s">
        <v>613</v>
      </c>
      <c r="E58" s="119">
        <v>142.11000000000001</v>
      </c>
      <c r="F58" s="119" t="s">
        <v>613</v>
      </c>
      <c r="G58" s="119" t="s">
        <v>613</v>
      </c>
      <c r="H58" s="119">
        <v>2</v>
      </c>
      <c r="I58" s="119"/>
      <c r="J58" s="116" t="s">
        <v>720</v>
      </c>
      <c r="K58" s="116"/>
      <c r="L58" s="107" t="str">
        <f>TEXT(VLOOKUP(A58,氨基酸和溶剂信息!A:J,8,FALSE),"0.00")</f>
        <v>29.19</v>
      </c>
      <c r="M58" s="1" t="str">
        <f>VLOOKUP(A58,氨基酸和溶剂信息!A:J,10,FALSE)</f>
        <v>28.31~30.07</v>
      </c>
      <c r="N58" s="1" t="b">
        <f t="shared" si="4"/>
        <v>0</v>
      </c>
      <c r="O58" s="1" t="b">
        <f t="shared" si="5"/>
        <v>0</v>
      </c>
    </row>
    <row r="59" spans="1:15" ht="18" customHeight="1">
      <c r="A59" s="85" t="str">
        <f t="shared" si="3"/>
        <v>3.15.5DMF</v>
      </c>
      <c r="B59" s="119" t="s">
        <v>327</v>
      </c>
      <c r="C59" s="118" t="s">
        <v>717</v>
      </c>
      <c r="D59" s="119">
        <v>0.95</v>
      </c>
      <c r="E59" s="119">
        <v>73.099999999999994</v>
      </c>
      <c r="F59" s="119">
        <v>1</v>
      </c>
      <c r="G59" s="119">
        <v>0.95</v>
      </c>
      <c r="H59" s="119" t="s">
        <v>613</v>
      </c>
      <c r="I59" s="119">
        <v>61.75</v>
      </c>
      <c r="J59" s="116" t="s">
        <v>614</v>
      </c>
      <c r="K59" s="116" t="s">
        <v>721</v>
      </c>
      <c r="L59" s="107" t="str">
        <f>TEXT(VLOOKUP(A59,氨基酸和溶剂信息!A:J,8,FALSE),"0.00")</f>
        <v>61.75</v>
      </c>
      <c r="M59" s="1" t="str">
        <f>VLOOKUP(A59,氨基酸和溶剂信息!A:J,10,FALSE)</f>
        <v>58.05~65.46</v>
      </c>
      <c r="N59" s="1" t="b">
        <f t="shared" si="4"/>
        <v>1</v>
      </c>
      <c r="O59" s="1" t="b">
        <f t="shared" si="5"/>
        <v>1</v>
      </c>
    </row>
    <row r="60" spans="1:15" ht="18" customHeight="1">
      <c r="A60" s="85" t="str">
        <f t="shared" si="3"/>
        <v>3.15.6DIC</v>
      </c>
      <c r="B60" s="119" t="s">
        <v>665</v>
      </c>
      <c r="C60" s="118" t="s">
        <v>736</v>
      </c>
      <c r="D60" s="119">
        <v>0.81499999999999995</v>
      </c>
      <c r="E60" s="119">
        <v>126.2</v>
      </c>
      <c r="F60" s="119" t="s">
        <v>613</v>
      </c>
      <c r="G60" s="119"/>
      <c r="H60" s="119">
        <v>2.2000000000000002</v>
      </c>
      <c r="I60" s="119"/>
      <c r="J60" s="116" t="s">
        <v>720</v>
      </c>
      <c r="K60" s="116"/>
      <c r="L60" s="107" t="str">
        <f>TEXT(VLOOKUP(A60,氨基酸和溶剂信息!A:J,8,FALSE),"0.00")</f>
        <v>28.51</v>
      </c>
      <c r="M60" s="1" t="str">
        <f>VLOOKUP(A60,氨基酸和溶剂信息!A:J,10,FALSE)</f>
        <v>27.65~29.37</v>
      </c>
      <c r="N60" s="1" t="b">
        <f t="shared" si="4"/>
        <v>0</v>
      </c>
      <c r="O60" s="1" t="b">
        <f t="shared" si="5"/>
        <v>0</v>
      </c>
    </row>
    <row r="61" spans="1:15" ht="18" customHeight="1">
      <c r="A61" s="85" t="str">
        <f t="shared" si="3"/>
        <v>3.16.2DMF</v>
      </c>
      <c r="B61" s="119" t="s">
        <v>329</v>
      </c>
      <c r="C61" s="118" t="s">
        <v>717</v>
      </c>
      <c r="D61" s="119">
        <v>0.95</v>
      </c>
      <c r="E61" s="119">
        <v>73.099999999999994</v>
      </c>
      <c r="F61" s="119">
        <v>1</v>
      </c>
      <c r="G61" s="119">
        <v>0.95</v>
      </c>
      <c r="H61" s="119" t="s">
        <v>613</v>
      </c>
      <c r="I61" s="119">
        <v>61.75</v>
      </c>
      <c r="J61" s="116" t="s">
        <v>614</v>
      </c>
      <c r="K61" s="116" t="s">
        <v>721</v>
      </c>
      <c r="L61" s="107" t="str">
        <f>TEXT(VLOOKUP(A61,氨基酸和溶剂信息!A:J,8,FALSE),"0.00")</f>
        <v>61.75</v>
      </c>
      <c r="M61" s="1" t="str">
        <f>VLOOKUP(A61,氨基酸和溶剂信息!A:J,10,FALSE)</f>
        <v>58.05~65.46</v>
      </c>
      <c r="N61" s="1" t="b">
        <f t="shared" si="4"/>
        <v>1</v>
      </c>
      <c r="O61" s="1" t="b">
        <f t="shared" si="5"/>
        <v>1</v>
      </c>
    </row>
    <row r="62" spans="1:15" ht="18" customHeight="1">
      <c r="A62" s="85" t="str">
        <f t="shared" si="3"/>
        <v>3.16.6DMF</v>
      </c>
      <c r="B62" s="119" t="s">
        <v>334</v>
      </c>
      <c r="C62" s="118" t="s">
        <v>717</v>
      </c>
      <c r="D62" s="119">
        <v>0.95</v>
      </c>
      <c r="E62" s="119">
        <v>73.099999999999994</v>
      </c>
      <c r="F62" s="119">
        <v>8</v>
      </c>
      <c r="G62" s="119">
        <v>7.58</v>
      </c>
      <c r="H62" s="119" t="s">
        <v>613</v>
      </c>
      <c r="I62" s="97">
        <v>492.7</v>
      </c>
      <c r="J62" s="118" t="s">
        <v>614</v>
      </c>
      <c r="K62" s="118" t="s">
        <v>628</v>
      </c>
      <c r="L62" s="107" t="str">
        <f>TEXT(VLOOKUP(A62,氨基酸和溶剂信息!A:J,8,FALSE),"0.00")</f>
        <v>492.70</v>
      </c>
      <c r="M62" s="1" t="str">
        <f>VLOOKUP(A62,氨基酸和溶剂信息!A:J,10,FALSE)</f>
        <v>463.14~522.26</v>
      </c>
      <c r="N62" s="1" t="b">
        <f t="shared" si="4"/>
        <v>1</v>
      </c>
      <c r="O62" s="1" t="b">
        <f t="shared" si="5"/>
        <v>1</v>
      </c>
    </row>
    <row r="63" spans="1:15" ht="43.5" customHeight="1">
      <c r="A63" s="85" t="str">
        <f t="shared" si="3"/>
        <v>3.17.120%Piperidinesolution</v>
      </c>
      <c r="B63" s="119" t="s">
        <v>337</v>
      </c>
      <c r="C63" s="118" t="s">
        <v>726</v>
      </c>
      <c r="D63" s="119">
        <v>0.93100000000000005</v>
      </c>
      <c r="E63" s="119" t="s">
        <v>613</v>
      </c>
      <c r="F63" s="119">
        <v>8</v>
      </c>
      <c r="G63" s="119">
        <v>7.44</v>
      </c>
      <c r="H63" s="119" t="s">
        <v>613</v>
      </c>
      <c r="I63" s="119">
        <v>483.6</v>
      </c>
      <c r="J63" s="116" t="s">
        <v>614</v>
      </c>
      <c r="K63" s="116" t="s">
        <v>727</v>
      </c>
      <c r="L63" s="107" t="str">
        <f>TEXT(VLOOKUP(A63,氨基酸和溶剂信息!A:J,8,FALSE),"0.00")</f>
        <v>483.60</v>
      </c>
      <c r="M63" s="1" t="str">
        <f>VLOOKUP(A63,氨基酸和溶剂信息!A:J,10,FALSE)</f>
        <v>454.58~512.62</v>
      </c>
      <c r="N63" s="1" t="b">
        <f t="shared" si="4"/>
        <v>1</v>
      </c>
      <c r="O63" s="1" t="b">
        <f t="shared" si="5"/>
        <v>1</v>
      </c>
    </row>
    <row r="64" spans="1:15" ht="16.5" customHeight="1">
      <c r="A64" s="85" t="str">
        <f t="shared" si="3"/>
        <v>3.17.4IPAc</v>
      </c>
      <c r="B64" s="119" t="s">
        <v>340</v>
      </c>
      <c r="C64" s="118" t="s">
        <v>728</v>
      </c>
      <c r="D64" s="119">
        <v>0.873</v>
      </c>
      <c r="E64" s="119">
        <v>102.13</v>
      </c>
      <c r="F64" s="119">
        <v>8</v>
      </c>
      <c r="G64" s="119">
        <v>6.98</v>
      </c>
      <c r="H64" s="119" t="s">
        <v>613</v>
      </c>
      <c r="I64" s="97">
        <v>453.7</v>
      </c>
      <c r="J64" s="118" t="s">
        <v>614</v>
      </c>
      <c r="K64" s="118" t="s">
        <v>729</v>
      </c>
      <c r="L64" s="107" t="str">
        <f>TEXT(VLOOKUP(A64,氨基酸和溶剂信息!A:J,8,FALSE),"0.00")</f>
        <v>453.70</v>
      </c>
      <c r="M64" s="1" t="str">
        <f>VLOOKUP(A64,氨基酸和溶剂信息!A:J,10,FALSE)</f>
        <v>426.48~480.92</v>
      </c>
      <c r="N64" s="1" t="b">
        <f t="shared" si="4"/>
        <v>1</v>
      </c>
      <c r="O64" s="1" t="b">
        <f t="shared" si="5"/>
        <v>1</v>
      </c>
    </row>
    <row r="65" spans="1:15" ht="18" customHeight="1">
      <c r="A65" s="85" t="str">
        <f t="shared" si="3"/>
        <v>3.17.5DMF</v>
      </c>
      <c r="B65" s="119" t="s">
        <v>342</v>
      </c>
      <c r="C65" s="118" t="s">
        <v>717</v>
      </c>
      <c r="D65" s="119">
        <v>0.95</v>
      </c>
      <c r="E65" s="119">
        <v>73.099999999999994</v>
      </c>
      <c r="F65" s="119">
        <v>8</v>
      </c>
      <c r="G65" s="119">
        <v>7.58</v>
      </c>
      <c r="H65" s="119" t="s">
        <v>613</v>
      </c>
      <c r="I65" s="119">
        <v>492.7</v>
      </c>
      <c r="J65" s="116" t="s">
        <v>614</v>
      </c>
      <c r="K65" s="116" t="s">
        <v>628</v>
      </c>
      <c r="L65" s="107" t="str">
        <f>TEXT(VLOOKUP(A65,氨基酸和溶剂信息!A:J,8,FALSE),"0.00")</f>
        <v>492.70</v>
      </c>
      <c r="M65" s="1" t="str">
        <f>VLOOKUP(A65,氨基酸和溶剂信息!A:J,10,FALSE)</f>
        <v>463.14~522.26</v>
      </c>
      <c r="N65" s="1" t="b">
        <f t="shared" si="4"/>
        <v>1</v>
      </c>
      <c r="O65" s="1" t="b">
        <f t="shared" si="5"/>
        <v>1</v>
      </c>
    </row>
    <row r="66" spans="1:15" ht="18" customHeight="1">
      <c r="A66" s="85" t="str">
        <f t="shared" ref="A66:A97" si="6">IFERROR(SUBSTITUTE(IFERROR(MID(B66,FIND("/",B66,1)+1,LEN(B66)),B66)&amp;LEFT(C66,FIND("/",C66,1)-1)," ",""),"")</f>
        <v>3.17.7DMF</v>
      </c>
      <c r="B66" s="119" t="s">
        <v>344</v>
      </c>
      <c r="C66" s="118" t="s">
        <v>717</v>
      </c>
      <c r="D66" s="119">
        <v>0.95</v>
      </c>
      <c r="E66" s="119">
        <v>73.099999999999994</v>
      </c>
      <c r="F66" s="119">
        <v>8</v>
      </c>
      <c r="G66" s="119">
        <v>7.58</v>
      </c>
      <c r="H66" s="119" t="s">
        <v>613</v>
      </c>
      <c r="I66" s="119">
        <v>492.7</v>
      </c>
      <c r="J66" s="116" t="s">
        <v>614</v>
      </c>
      <c r="K66" s="116" t="s">
        <v>628</v>
      </c>
      <c r="L66" s="107" t="str">
        <f>TEXT(VLOOKUP(A66,氨基酸和溶剂信息!A:J,8,FALSE),"0.00")</f>
        <v>492.70</v>
      </c>
      <c r="M66" s="1" t="str">
        <f>VLOOKUP(A66,氨基酸和溶剂信息!A:J,10,FALSE)</f>
        <v>463.14~522.26</v>
      </c>
      <c r="N66" s="1" t="b">
        <f t="shared" ref="N66:N97" si="7">TEXT(L66,"0.00")=TEXT(I66,"0.00")</f>
        <v>1</v>
      </c>
      <c r="O66" s="1" t="b">
        <f t="shared" ref="O66:O97" si="8">K66=M66</f>
        <v>1</v>
      </c>
    </row>
    <row r="67" spans="1:15" ht="18" customHeight="1">
      <c r="A67" s="85" t="str">
        <f t="shared" si="6"/>
        <v>3.18.1DMF</v>
      </c>
      <c r="B67" s="119" t="s">
        <v>347</v>
      </c>
      <c r="C67" s="118" t="s">
        <v>717</v>
      </c>
      <c r="D67" s="119">
        <v>0.95</v>
      </c>
      <c r="E67" s="119">
        <v>73.099999999999994</v>
      </c>
      <c r="F67" s="119">
        <v>6</v>
      </c>
      <c r="G67" s="119">
        <v>5.69</v>
      </c>
      <c r="H67" s="119" t="s">
        <v>613</v>
      </c>
      <c r="I67" s="119">
        <v>369.85</v>
      </c>
      <c r="J67" s="116" t="s">
        <v>615</v>
      </c>
      <c r="K67" s="116" t="s">
        <v>648</v>
      </c>
      <c r="L67" s="107" t="str">
        <f>TEXT(VLOOKUP(A67,氨基酸和溶剂信息!A:J,8,FALSE),"0.00")</f>
        <v>369.85</v>
      </c>
      <c r="M67" s="1" t="str">
        <f>VLOOKUP(A67,氨基酸和溶剂信息!A:J,10,FALSE)</f>
        <v>351.36~388.34</v>
      </c>
      <c r="N67" s="1" t="b">
        <f t="shared" si="7"/>
        <v>1</v>
      </c>
      <c r="O67" s="1" t="b">
        <f t="shared" si="8"/>
        <v>1</v>
      </c>
    </row>
    <row r="68" spans="1:15" ht="29.25" customHeight="1">
      <c r="A68" s="85" t="str">
        <f t="shared" si="6"/>
        <v>3.18.2Fmoc-L-Ala-OH·H2O</v>
      </c>
      <c r="B68" s="119" t="s">
        <v>667</v>
      </c>
      <c r="C68" s="118" t="s">
        <v>735</v>
      </c>
      <c r="D68" s="119" t="s">
        <v>613</v>
      </c>
      <c r="E68" s="119">
        <v>329.35</v>
      </c>
      <c r="F68" s="119" t="s">
        <v>613</v>
      </c>
      <c r="G68" s="119" t="s">
        <v>613</v>
      </c>
      <c r="H68" s="119">
        <v>2</v>
      </c>
      <c r="I68" s="119"/>
      <c r="J68" s="116" t="s">
        <v>720</v>
      </c>
      <c r="K68" s="116"/>
      <c r="L68" s="107" t="str">
        <f>TEXT(VLOOKUP(A68,氨基酸和溶剂信息!A:J,8,FALSE),"0.00")</f>
        <v>67.65</v>
      </c>
      <c r="M68" s="1" t="str">
        <f>VLOOKUP(A68,氨基酸和溶剂信息!A:J,10,FALSE)</f>
        <v>65.62~69.68</v>
      </c>
      <c r="N68" s="1" t="b">
        <f t="shared" si="7"/>
        <v>0</v>
      </c>
      <c r="O68" s="1" t="b">
        <f t="shared" si="8"/>
        <v>0</v>
      </c>
    </row>
    <row r="69" spans="1:15" ht="18" customHeight="1">
      <c r="A69" s="85" t="str">
        <f t="shared" si="6"/>
        <v>3.18.4OxymaPure</v>
      </c>
      <c r="B69" s="119" t="s">
        <v>668</v>
      </c>
      <c r="C69" s="118" t="s">
        <v>733</v>
      </c>
      <c r="D69" s="119" t="s">
        <v>613</v>
      </c>
      <c r="E69" s="119">
        <v>142.11000000000001</v>
      </c>
      <c r="F69" s="119" t="s">
        <v>613</v>
      </c>
      <c r="G69" s="119" t="s">
        <v>613</v>
      </c>
      <c r="H69" s="119">
        <v>2</v>
      </c>
      <c r="I69" s="119"/>
      <c r="J69" s="116" t="s">
        <v>720</v>
      </c>
      <c r="K69" s="116"/>
      <c r="L69" s="107" t="str">
        <f>TEXT(VLOOKUP(A69,氨基酸和溶剂信息!A:J,8,FALSE),"0.00")</f>
        <v>29.19</v>
      </c>
      <c r="M69" s="1" t="str">
        <f>VLOOKUP(A69,氨基酸和溶剂信息!A:J,10,FALSE)</f>
        <v>28.31~30.07</v>
      </c>
      <c r="N69" s="1" t="b">
        <f t="shared" si="7"/>
        <v>0</v>
      </c>
      <c r="O69" s="1" t="b">
        <f t="shared" si="8"/>
        <v>0</v>
      </c>
    </row>
    <row r="70" spans="1:15" ht="18" customHeight="1">
      <c r="A70" s="85" t="str">
        <f t="shared" si="6"/>
        <v>3.18.5DMF</v>
      </c>
      <c r="B70" s="119" t="s">
        <v>348</v>
      </c>
      <c r="C70" s="118" t="s">
        <v>717</v>
      </c>
      <c r="D70" s="119">
        <v>0.95</v>
      </c>
      <c r="E70" s="119">
        <v>73.099999999999994</v>
      </c>
      <c r="F70" s="119">
        <v>1</v>
      </c>
      <c r="G70" s="119">
        <v>0.95</v>
      </c>
      <c r="H70" s="119" t="s">
        <v>613</v>
      </c>
      <c r="I70" s="119">
        <v>61.75</v>
      </c>
      <c r="J70" s="116" t="s">
        <v>614</v>
      </c>
      <c r="K70" s="116" t="s">
        <v>721</v>
      </c>
      <c r="L70" s="107" t="str">
        <f>TEXT(VLOOKUP(A70,氨基酸和溶剂信息!A:J,8,FALSE),"0.00")</f>
        <v>61.75</v>
      </c>
      <c r="M70" s="1" t="str">
        <f>VLOOKUP(A70,氨基酸和溶剂信息!A:J,10,FALSE)</f>
        <v>58.05~65.46</v>
      </c>
      <c r="N70" s="1" t="b">
        <f t="shared" si="7"/>
        <v>1</v>
      </c>
      <c r="O70" s="1" t="b">
        <f t="shared" si="8"/>
        <v>1</v>
      </c>
    </row>
    <row r="71" spans="1:15" ht="18" customHeight="1">
      <c r="A71" s="85" t="str">
        <f t="shared" si="6"/>
        <v>3.18.6DIC</v>
      </c>
      <c r="B71" s="119" t="s">
        <v>669</v>
      </c>
      <c r="C71" s="118" t="s">
        <v>736</v>
      </c>
      <c r="D71" s="119">
        <v>0.81499999999999995</v>
      </c>
      <c r="E71" s="119">
        <v>126.2</v>
      </c>
      <c r="F71" s="119" t="s">
        <v>613</v>
      </c>
      <c r="G71" s="119" t="s">
        <v>613</v>
      </c>
      <c r="H71" s="119">
        <v>2.2000000000000002</v>
      </c>
      <c r="I71" s="119"/>
      <c r="J71" s="116" t="s">
        <v>720</v>
      </c>
      <c r="K71" s="116"/>
      <c r="L71" s="107" t="str">
        <f>TEXT(VLOOKUP(A71,氨基酸和溶剂信息!A:J,8,FALSE),"0.00")</f>
        <v>28.51</v>
      </c>
      <c r="M71" s="1" t="str">
        <f>VLOOKUP(A71,氨基酸和溶剂信息!A:J,10,FALSE)</f>
        <v>27.65~29.37</v>
      </c>
      <c r="N71" s="1" t="b">
        <f t="shared" si="7"/>
        <v>0</v>
      </c>
      <c r="O71" s="1" t="b">
        <f t="shared" si="8"/>
        <v>0</v>
      </c>
    </row>
    <row r="72" spans="1:15" ht="18" customHeight="1">
      <c r="A72" s="85" t="str">
        <f t="shared" si="6"/>
        <v>3.19.2DMF</v>
      </c>
      <c r="B72" s="119" t="s">
        <v>350</v>
      </c>
      <c r="C72" s="118" t="s">
        <v>717</v>
      </c>
      <c r="D72" s="119">
        <v>0.95</v>
      </c>
      <c r="E72" s="119">
        <v>73.099999999999994</v>
      </c>
      <c r="F72" s="119">
        <v>1</v>
      </c>
      <c r="G72" s="119">
        <v>0.95</v>
      </c>
      <c r="H72" s="119" t="s">
        <v>613</v>
      </c>
      <c r="I72" s="119">
        <v>61.75</v>
      </c>
      <c r="J72" s="116" t="s">
        <v>614</v>
      </c>
      <c r="K72" s="116" t="s">
        <v>721</v>
      </c>
      <c r="L72" s="107" t="str">
        <f>TEXT(VLOOKUP(A72,氨基酸和溶剂信息!A:J,8,FALSE),"0.00")</f>
        <v>61.75</v>
      </c>
      <c r="M72" s="1" t="str">
        <f>VLOOKUP(A72,氨基酸和溶剂信息!A:J,10,FALSE)</f>
        <v>58.05~65.46</v>
      </c>
      <c r="N72" s="1" t="b">
        <f t="shared" si="7"/>
        <v>1</v>
      </c>
      <c r="O72" s="1" t="b">
        <f t="shared" si="8"/>
        <v>1</v>
      </c>
    </row>
    <row r="73" spans="1:15" ht="18" customHeight="1">
      <c r="A73" s="85" t="str">
        <f t="shared" si="6"/>
        <v>3.19.6DMF</v>
      </c>
      <c r="B73" s="119" t="s">
        <v>356</v>
      </c>
      <c r="C73" s="118" t="s">
        <v>717</v>
      </c>
      <c r="D73" s="119">
        <v>0.95</v>
      </c>
      <c r="E73" s="119">
        <v>73.099999999999994</v>
      </c>
      <c r="F73" s="119">
        <v>10</v>
      </c>
      <c r="G73" s="119">
        <v>9.48</v>
      </c>
      <c r="H73" s="119" t="s">
        <v>613</v>
      </c>
      <c r="I73" s="119">
        <v>616.20000000000005</v>
      </c>
      <c r="J73" s="116" t="s">
        <v>614</v>
      </c>
      <c r="K73" s="116" t="s">
        <v>739</v>
      </c>
      <c r="L73" s="107" t="str">
        <f>TEXT(VLOOKUP(A73,氨基酸和溶剂信息!A:J,8,FALSE),"0.00")</f>
        <v>616.20</v>
      </c>
      <c r="M73" s="1" t="str">
        <f>VLOOKUP(A73,氨基酸和溶剂信息!A:J,10,FALSE)</f>
        <v>579.23~653.17</v>
      </c>
      <c r="N73" s="1" t="b">
        <f t="shared" si="7"/>
        <v>1</v>
      </c>
      <c r="O73" s="1" t="b">
        <f t="shared" si="8"/>
        <v>1</v>
      </c>
    </row>
    <row r="74" spans="1:15" ht="43.5" customHeight="1">
      <c r="A74" s="85" t="str">
        <f t="shared" si="6"/>
        <v>3.20.120%Piperidinesolution</v>
      </c>
      <c r="B74" s="119" t="s">
        <v>360</v>
      </c>
      <c r="C74" s="118" t="s">
        <v>726</v>
      </c>
      <c r="D74" s="119">
        <v>0.93100000000000005</v>
      </c>
      <c r="E74" s="119" t="s">
        <v>613</v>
      </c>
      <c r="F74" s="119">
        <v>8</v>
      </c>
      <c r="G74" s="119">
        <v>7.44</v>
      </c>
      <c r="H74" s="119" t="s">
        <v>613</v>
      </c>
      <c r="I74" s="119">
        <v>483.6</v>
      </c>
      <c r="J74" s="116" t="s">
        <v>614</v>
      </c>
      <c r="K74" s="116" t="s">
        <v>727</v>
      </c>
      <c r="L74" s="107" t="str">
        <f>TEXT(VLOOKUP(A74,氨基酸和溶剂信息!A:J,8,FALSE),"0.00")</f>
        <v>483.60</v>
      </c>
      <c r="M74" s="1" t="str">
        <f>VLOOKUP(A74,氨基酸和溶剂信息!A:J,10,FALSE)</f>
        <v>454.58~512.62</v>
      </c>
      <c r="N74" s="1" t="b">
        <f t="shared" si="7"/>
        <v>1</v>
      </c>
      <c r="O74" s="1" t="b">
        <f t="shared" si="8"/>
        <v>1</v>
      </c>
    </row>
    <row r="75" spans="1:15" ht="16.5" customHeight="1">
      <c r="A75" s="85" t="str">
        <f t="shared" si="6"/>
        <v>3.20.4IPAc</v>
      </c>
      <c r="B75" s="119" t="s">
        <v>364</v>
      </c>
      <c r="C75" s="118" t="s">
        <v>728</v>
      </c>
      <c r="D75" s="119">
        <v>0.873</v>
      </c>
      <c r="E75" s="119">
        <v>102.13</v>
      </c>
      <c r="F75" s="119">
        <v>10</v>
      </c>
      <c r="G75" s="119">
        <v>8.73</v>
      </c>
      <c r="H75" s="119" t="s">
        <v>613</v>
      </c>
      <c r="I75" s="97">
        <v>567.45000000000005</v>
      </c>
      <c r="J75" s="118" t="s">
        <v>614</v>
      </c>
      <c r="K75" s="118" t="s">
        <v>740</v>
      </c>
      <c r="L75" s="107" t="str">
        <f>TEXT(VLOOKUP(A75,氨基酸和溶剂信息!A:J,8,FALSE),"0.00")</f>
        <v>567.45</v>
      </c>
      <c r="M75" s="1" t="str">
        <f>VLOOKUP(A75,氨基酸和溶剂信息!A:J,10,FALSE)</f>
        <v>533.40~601.50</v>
      </c>
      <c r="N75" s="1" t="b">
        <f t="shared" si="7"/>
        <v>1</v>
      </c>
      <c r="O75" s="1" t="b">
        <f t="shared" si="8"/>
        <v>1</v>
      </c>
    </row>
    <row r="76" spans="1:15" ht="18" customHeight="1">
      <c r="A76" s="85" t="str">
        <f t="shared" si="6"/>
        <v>3.20.5DMF</v>
      </c>
      <c r="B76" s="119" t="s">
        <v>368</v>
      </c>
      <c r="C76" s="118" t="s">
        <v>717</v>
      </c>
      <c r="D76" s="119">
        <v>0.95</v>
      </c>
      <c r="E76" s="119">
        <v>73.099999999999994</v>
      </c>
      <c r="F76" s="119">
        <v>10</v>
      </c>
      <c r="G76" s="119">
        <v>9.48</v>
      </c>
      <c r="H76" s="119" t="s">
        <v>613</v>
      </c>
      <c r="I76" s="119">
        <v>616.20000000000005</v>
      </c>
      <c r="J76" s="116" t="s">
        <v>614</v>
      </c>
      <c r="K76" s="116" t="s">
        <v>739</v>
      </c>
      <c r="L76" s="107" t="str">
        <f>TEXT(VLOOKUP(A76,氨基酸和溶剂信息!A:J,8,FALSE),"0.00")</f>
        <v>616.20</v>
      </c>
      <c r="M76" s="1" t="str">
        <f>VLOOKUP(A76,氨基酸和溶剂信息!A:J,10,FALSE)</f>
        <v>579.23~653.17</v>
      </c>
      <c r="N76" s="1" t="b">
        <f t="shared" si="7"/>
        <v>1</v>
      </c>
      <c r="O76" s="1" t="b">
        <f t="shared" si="8"/>
        <v>1</v>
      </c>
    </row>
    <row r="77" spans="1:15" ht="18" customHeight="1">
      <c r="A77" s="85" t="str">
        <f t="shared" si="6"/>
        <v>3.20.7DMF</v>
      </c>
      <c r="B77" s="119" t="s">
        <v>370</v>
      </c>
      <c r="C77" s="118" t="s">
        <v>717</v>
      </c>
      <c r="D77" s="119">
        <v>0.95</v>
      </c>
      <c r="E77" s="119">
        <v>73.099999999999994</v>
      </c>
      <c r="F77" s="119">
        <v>10</v>
      </c>
      <c r="G77" s="119">
        <v>9.48</v>
      </c>
      <c r="H77" s="119" t="s">
        <v>613</v>
      </c>
      <c r="I77" s="119">
        <v>616.20000000000005</v>
      </c>
      <c r="J77" s="116" t="s">
        <v>614</v>
      </c>
      <c r="K77" s="116" t="s">
        <v>739</v>
      </c>
      <c r="L77" s="107" t="str">
        <f>TEXT(VLOOKUP(A77,氨基酸和溶剂信息!A:J,8,FALSE),"0.00")</f>
        <v>616.20</v>
      </c>
      <c r="M77" s="1" t="str">
        <f>VLOOKUP(A77,氨基酸和溶剂信息!A:J,10,FALSE)</f>
        <v>579.23~653.17</v>
      </c>
      <c r="N77" s="1" t="b">
        <f t="shared" si="7"/>
        <v>1</v>
      </c>
      <c r="O77" s="1" t="b">
        <f t="shared" si="8"/>
        <v>1</v>
      </c>
    </row>
    <row r="78" spans="1:15" ht="18" customHeight="1">
      <c r="A78" s="85" t="str">
        <f t="shared" si="6"/>
        <v>3.21.1DMF</v>
      </c>
      <c r="B78" s="119" t="s">
        <v>373</v>
      </c>
      <c r="C78" s="118" t="s">
        <v>717</v>
      </c>
      <c r="D78" s="119">
        <v>0.95</v>
      </c>
      <c r="E78" s="119">
        <v>73.099999999999994</v>
      </c>
      <c r="F78" s="119">
        <v>6</v>
      </c>
      <c r="G78" s="119">
        <v>5.69</v>
      </c>
      <c r="H78" s="119" t="s">
        <v>613</v>
      </c>
      <c r="I78" s="119">
        <v>369.85</v>
      </c>
      <c r="J78" s="116" t="s">
        <v>615</v>
      </c>
      <c r="K78" s="116" t="s">
        <v>648</v>
      </c>
      <c r="L78" s="107" t="str">
        <f>TEXT(VLOOKUP(A78,氨基酸和溶剂信息!A:J,8,FALSE),"0.00")</f>
        <v>369.85</v>
      </c>
      <c r="M78" s="1" t="str">
        <f>VLOOKUP(A78,氨基酸和溶剂信息!A:J,10,FALSE)</f>
        <v>351.36~388.34</v>
      </c>
      <c r="N78" s="1" t="b">
        <f t="shared" si="7"/>
        <v>1</v>
      </c>
      <c r="O78" s="1" t="b">
        <f t="shared" si="8"/>
        <v>1</v>
      </c>
    </row>
    <row r="79" spans="1:15" ht="72" customHeight="1">
      <c r="A79" s="85" t="str">
        <f t="shared" si="6"/>
        <v>3.21.2Fmoc-L-Thr(tBu)-OH</v>
      </c>
      <c r="B79" s="119" t="s">
        <v>672</v>
      </c>
      <c r="C79" s="116" t="s">
        <v>738</v>
      </c>
      <c r="D79" s="116" t="s">
        <v>613</v>
      </c>
      <c r="E79" s="116">
        <v>397.47</v>
      </c>
      <c r="F79" s="116" t="s">
        <v>613</v>
      </c>
      <c r="G79" s="116" t="s">
        <v>613</v>
      </c>
      <c r="H79" s="116">
        <v>2</v>
      </c>
      <c r="I79" s="119"/>
      <c r="J79" s="116" t="s">
        <v>720</v>
      </c>
      <c r="K79" s="116"/>
      <c r="L79" s="107" t="str">
        <f>TEXT(VLOOKUP(A79,氨基酸和溶剂信息!A:J,8,FALSE),"0.00")</f>
        <v>81.64</v>
      </c>
      <c r="M79" s="1" t="str">
        <f>VLOOKUP(A79,氨基酸和溶剂信息!A:J,10,FALSE)</f>
        <v>79.19~84.09</v>
      </c>
      <c r="N79" s="1" t="b">
        <f t="shared" si="7"/>
        <v>0</v>
      </c>
      <c r="O79" s="1" t="b">
        <f t="shared" si="8"/>
        <v>0</v>
      </c>
    </row>
    <row r="80" spans="1:15" ht="18" customHeight="1">
      <c r="A80" s="85" t="str">
        <f t="shared" si="6"/>
        <v>3.21.4OxymaPure</v>
      </c>
      <c r="B80" s="119" t="s">
        <v>673</v>
      </c>
      <c r="C80" s="118" t="s">
        <v>733</v>
      </c>
      <c r="D80" s="119" t="s">
        <v>613</v>
      </c>
      <c r="E80" s="119">
        <v>142.11000000000001</v>
      </c>
      <c r="F80" s="119" t="s">
        <v>613</v>
      </c>
      <c r="G80" s="119" t="s">
        <v>613</v>
      </c>
      <c r="H80" s="119">
        <v>2</v>
      </c>
      <c r="I80" s="119"/>
      <c r="J80" s="116" t="s">
        <v>720</v>
      </c>
      <c r="K80" s="116"/>
      <c r="L80" s="107" t="str">
        <f>TEXT(VLOOKUP(A80,氨基酸和溶剂信息!A:J,8,FALSE),"0.00")</f>
        <v>29.19</v>
      </c>
      <c r="M80" s="1" t="str">
        <f>VLOOKUP(A80,氨基酸和溶剂信息!A:J,10,FALSE)</f>
        <v>28.31~30.07</v>
      </c>
      <c r="N80" s="1" t="b">
        <f t="shared" si="7"/>
        <v>0</v>
      </c>
      <c r="O80" s="1" t="b">
        <f t="shared" si="8"/>
        <v>0</v>
      </c>
    </row>
    <row r="81" spans="1:15" ht="18" customHeight="1">
      <c r="A81" s="85" t="str">
        <f t="shared" si="6"/>
        <v>3.21.5DMF</v>
      </c>
      <c r="B81" s="119" t="s">
        <v>374</v>
      </c>
      <c r="C81" s="118" t="s">
        <v>717</v>
      </c>
      <c r="D81" s="119">
        <v>0.95</v>
      </c>
      <c r="E81" s="119">
        <v>73.099999999999994</v>
      </c>
      <c r="F81" s="119">
        <v>1</v>
      </c>
      <c r="G81" s="119">
        <v>0.95</v>
      </c>
      <c r="H81" s="119" t="s">
        <v>613</v>
      </c>
      <c r="I81" s="119">
        <v>61.75</v>
      </c>
      <c r="J81" s="116" t="s">
        <v>614</v>
      </c>
      <c r="K81" s="116" t="s">
        <v>721</v>
      </c>
      <c r="L81" s="107" t="str">
        <f>TEXT(VLOOKUP(A81,氨基酸和溶剂信息!A:J,8,FALSE),"0.00")</f>
        <v>61.75</v>
      </c>
      <c r="M81" s="1" t="str">
        <f>VLOOKUP(A81,氨基酸和溶剂信息!A:J,10,FALSE)</f>
        <v>58.05~65.46</v>
      </c>
      <c r="N81" s="1" t="b">
        <f t="shared" si="7"/>
        <v>1</v>
      </c>
      <c r="O81" s="1" t="b">
        <f t="shared" si="8"/>
        <v>1</v>
      </c>
    </row>
    <row r="82" spans="1:15" ht="18" customHeight="1">
      <c r="A82" s="85" t="str">
        <f t="shared" si="6"/>
        <v>3.21.6DIC</v>
      </c>
      <c r="B82" s="119" t="s">
        <v>674</v>
      </c>
      <c r="C82" s="118" t="s">
        <v>736</v>
      </c>
      <c r="D82" s="119">
        <v>0.81499999999999995</v>
      </c>
      <c r="E82" s="119">
        <v>126.2</v>
      </c>
      <c r="F82" s="119" t="s">
        <v>613</v>
      </c>
      <c r="G82" s="119" t="s">
        <v>613</v>
      </c>
      <c r="H82" s="119">
        <v>2.2000000000000002</v>
      </c>
      <c r="I82" s="119"/>
      <c r="J82" s="116" t="s">
        <v>720</v>
      </c>
      <c r="K82" s="116"/>
      <c r="L82" s="107" t="str">
        <f>TEXT(VLOOKUP(A82,氨基酸和溶剂信息!A:J,8,FALSE),"0.00")</f>
        <v>28.51</v>
      </c>
      <c r="M82" s="1" t="str">
        <f>VLOOKUP(A82,氨基酸和溶剂信息!A:J,10,FALSE)</f>
        <v>27.65~29.37</v>
      </c>
      <c r="N82" s="1" t="b">
        <f t="shared" si="7"/>
        <v>0</v>
      </c>
      <c r="O82" s="1" t="b">
        <f t="shared" si="8"/>
        <v>0</v>
      </c>
    </row>
    <row r="83" spans="1:15" ht="18" customHeight="1">
      <c r="A83" s="85" t="str">
        <f t="shared" si="6"/>
        <v>3.22.2DMF</v>
      </c>
      <c r="B83" s="119" t="s">
        <v>376</v>
      </c>
      <c r="C83" s="118" t="s">
        <v>717</v>
      </c>
      <c r="D83" s="119">
        <v>0.95</v>
      </c>
      <c r="E83" s="119">
        <v>73.099999999999994</v>
      </c>
      <c r="F83" s="119">
        <v>1</v>
      </c>
      <c r="G83" s="119">
        <v>0.95</v>
      </c>
      <c r="H83" s="119" t="s">
        <v>613</v>
      </c>
      <c r="I83" s="119">
        <v>61.75</v>
      </c>
      <c r="J83" s="116" t="s">
        <v>614</v>
      </c>
      <c r="K83" s="116" t="s">
        <v>721</v>
      </c>
      <c r="L83" s="107" t="str">
        <f>TEXT(VLOOKUP(A83,氨基酸和溶剂信息!A:J,8,FALSE),"0.00")</f>
        <v>61.75</v>
      </c>
      <c r="M83" s="1" t="str">
        <f>VLOOKUP(A83,氨基酸和溶剂信息!A:J,10,FALSE)</f>
        <v>58.05~65.46</v>
      </c>
      <c r="N83" s="1" t="b">
        <f t="shared" si="7"/>
        <v>1</v>
      </c>
      <c r="O83" s="1" t="b">
        <f t="shared" si="8"/>
        <v>1</v>
      </c>
    </row>
    <row r="84" spans="1:15" ht="18" customHeight="1">
      <c r="A84" s="85" t="str">
        <f t="shared" si="6"/>
        <v>3.22.6DMF</v>
      </c>
      <c r="B84" s="119" t="s">
        <v>380</v>
      </c>
      <c r="C84" s="118" t="s">
        <v>717</v>
      </c>
      <c r="D84" s="119">
        <v>0.95</v>
      </c>
      <c r="E84" s="119">
        <v>73.099999999999994</v>
      </c>
      <c r="F84" s="119">
        <v>10</v>
      </c>
      <c r="G84" s="119">
        <v>9.48</v>
      </c>
      <c r="H84" s="119" t="s">
        <v>613</v>
      </c>
      <c r="I84" s="97">
        <v>616.20000000000005</v>
      </c>
      <c r="J84" s="118" t="s">
        <v>614</v>
      </c>
      <c r="K84" s="118" t="s">
        <v>739</v>
      </c>
      <c r="L84" s="107" t="str">
        <f>TEXT(VLOOKUP(A84,氨基酸和溶剂信息!A:J,8,FALSE),"0.00")</f>
        <v>616.20</v>
      </c>
      <c r="M84" s="1" t="str">
        <f>VLOOKUP(A84,氨基酸和溶剂信息!A:J,10,FALSE)</f>
        <v>579.23~653.17</v>
      </c>
      <c r="N84" s="1" t="b">
        <f t="shared" si="7"/>
        <v>1</v>
      </c>
      <c r="O84" s="1" t="b">
        <f t="shared" si="8"/>
        <v>1</v>
      </c>
    </row>
    <row r="85" spans="1:15" ht="43.5" customHeight="1">
      <c r="A85" s="85" t="str">
        <f t="shared" si="6"/>
        <v>3.23.120%Piperidinesolution</v>
      </c>
      <c r="B85" s="119" t="s">
        <v>384</v>
      </c>
      <c r="C85" s="118" t="s">
        <v>726</v>
      </c>
      <c r="D85" s="119">
        <v>0.93100000000000005</v>
      </c>
      <c r="E85" s="119" t="s">
        <v>613</v>
      </c>
      <c r="F85" s="119">
        <v>8</v>
      </c>
      <c r="G85" s="119">
        <v>7.44</v>
      </c>
      <c r="H85" s="119" t="s">
        <v>613</v>
      </c>
      <c r="I85" s="119">
        <v>483.6</v>
      </c>
      <c r="J85" s="116" t="s">
        <v>614</v>
      </c>
      <c r="K85" s="116" t="s">
        <v>727</v>
      </c>
      <c r="L85" s="107" t="str">
        <f>TEXT(VLOOKUP(A85,氨基酸和溶剂信息!A:J,8,FALSE),"0.00")</f>
        <v>483.60</v>
      </c>
      <c r="M85" s="1" t="str">
        <f>VLOOKUP(A85,氨基酸和溶剂信息!A:J,10,FALSE)</f>
        <v>454.58~512.62</v>
      </c>
      <c r="N85" s="1" t="b">
        <f t="shared" si="7"/>
        <v>1</v>
      </c>
      <c r="O85" s="1" t="b">
        <f t="shared" si="8"/>
        <v>1</v>
      </c>
    </row>
    <row r="86" spans="1:15" ht="16.5" customHeight="1">
      <c r="A86" s="85" t="str">
        <f t="shared" si="6"/>
        <v>3.23.4IPAc</v>
      </c>
      <c r="B86" s="119" t="s">
        <v>387</v>
      </c>
      <c r="C86" s="118" t="s">
        <v>728</v>
      </c>
      <c r="D86" s="119">
        <v>0.873</v>
      </c>
      <c r="E86" s="119">
        <v>102.13</v>
      </c>
      <c r="F86" s="119">
        <v>10</v>
      </c>
      <c r="G86" s="119">
        <v>8.73</v>
      </c>
      <c r="H86" s="119" t="s">
        <v>613</v>
      </c>
      <c r="I86" s="97">
        <v>567.45000000000005</v>
      </c>
      <c r="J86" s="118" t="s">
        <v>614</v>
      </c>
      <c r="K86" s="118" t="s">
        <v>740</v>
      </c>
      <c r="L86" s="107" t="str">
        <f>TEXT(VLOOKUP(A86,氨基酸和溶剂信息!A:J,8,FALSE),"0.00")</f>
        <v>567.45</v>
      </c>
      <c r="M86" s="1" t="str">
        <f>VLOOKUP(A86,氨基酸和溶剂信息!A:J,10,FALSE)</f>
        <v>533.40~601.50</v>
      </c>
      <c r="N86" s="1" t="b">
        <f t="shared" si="7"/>
        <v>1</v>
      </c>
      <c r="O86" s="1" t="b">
        <f t="shared" si="8"/>
        <v>1</v>
      </c>
    </row>
    <row r="87" spans="1:15" ht="18" customHeight="1">
      <c r="A87" s="85" t="str">
        <f t="shared" si="6"/>
        <v>3.23.5DMF</v>
      </c>
      <c r="B87" s="119" t="s">
        <v>389</v>
      </c>
      <c r="C87" s="118" t="s">
        <v>717</v>
      </c>
      <c r="D87" s="119">
        <v>0.95</v>
      </c>
      <c r="E87" s="119">
        <v>73.099999999999994</v>
      </c>
      <c r="F87" s="119">
        <v>10</v>
      </c>
      <c r="G87" s="119">
        <v>9.48</v>
      </c>
      <c r="H87" s="119" t="s">
        <v>613</v>
      </c>
      <c r="I87" s="119">
        <v>616.20000000000005</v>
      </c>
      <c r="J87" s="116" t="s">
        <v>614</v>
      </c>
      <c r="K87" s="116" t="s">
        <v>739</v>
      </c>
      <c r="L87" s="107" t="str">
        <f>TEXT(VLOOKUP(A87,氨基酸和溶剂信息!A:J,8,FALSE),"0.00")</f>
        <v>616.20</v>
      </c>
      <c r="M87" s="1" t="str">
        <f>VLOOKUP(A87,氨基酸和溶剂信息!A:J,10,FALSE)</f>
        <v>579.23~653.17</v>
      </c>
      <c r="N87" s="1" t="b">
        <f t="shared" si="7"/>
        <v>1</v>
      </c>
      <c r="O87" s="1" t="b">
        <f t="shared" si="8"/>
        <v>1</v>
      </c>
    </row>
    <row r="88" spans="1:15" ht="18" customHeight="1">
      <c r="A88" s="85" t="str">
        <f t="shared" si="6"/>
        <v>3.23.7DMF</v>
      </c>
      <c r="B88" s="119" t="s">
        <v>391</v>
      </c>
      <c r="C88" s="118" t="s">
        <v>717</v>
      </c>
      <c r="D88" s="119">
        <v>0.95</v>
      </c>
      <c r="E88" s="119">
        <v>73.099999999999994</v>
      </c>
      <c r="F88" s="119">
        <v>10</v>
      </c>
      <c r="G88" s="119">
        <v>9.48</v>
      </c>
      <c r="H88" s="119" t="s">
        <v>613</v>
      </c>
      <c r="I88" s="119">
        <v>616.20000000000005</v>
      </c>
      <c r="J88" s="116" t="s">
        <v>614</v>
      </c>
      <c r="K88" s="116" t="s">
        <v>739</v>
      </c>
      <c r="L88" s="107" t="str">
        <f>TEXT(VLOOKUP(A88,氨基酸和溶剂信息!A:J,8,FALSE),"0.00")</f>
        <v>616.20</v>
      </c>
      <c r="M88" s="1" t="str">
        <f>VLOOKUP(A88,氨基酸和溶剂信息!A:J,10,FALSE)</f>
        <v>579.23~653.17</v>
      </c>
      <c r="N88" s="1" t="b">
        <f t="shared" si="7"/>
        <v>1</v>
      </c>
      <c r="O88" s="1" t="b">
        <f t="shared" si="8"/>
        <v>1</v>
      </c>
    </row>
    <row r="89" spans="1:15" ht="18" customHeight="1">
      <c r="A89" s="85" t="str">
        <f t="shared" si="6"/>
        <v>3.24.1DMF</v>
      </c>
      <c r="B89" s="119" t="s">
        <v>394</v>
      </c>
      <c r="C89" s="118" t="s">
        <v>717</v>
      </c>
      <c r="D89" s="119">
        <v>0.95</v>
      </c>
      <c r="E89" s="119">
        <v>73.099999999999994</v>
      </c>
      <c r="F89" s="119">
        <v>6</v>
      </c>
      <c r="G89" s="119">
        <v>5.69</v>
      </c>
      <c r="H89" s="119" t="s">
        <v>613</v>
      </c>
      <c r="I89" s="119">
        <v>369.85</v>
      </c>
      <c r="J89" s="116" t="s">
        <v>615</v>
      </c>
      <c r="K89" s="116" t="s">
        <v>648</v>
      </c>
      <c r="L89" s="107" t="str">
        <f>TEXT(VLOOKUP(A89,氨基酸和溶剂信息!A:J,8,FALSE),"0.00")</f>
        <v>369.85</v>
      </c>
      <c r="M89" s="1" t="str">
        <f>VLOOKUP(A89,氨基酸和溶剂信息!A:J,10,FALSE)</f>
        <v>351.36~388.34</v>
      </c>
      <c r="N89" s="1" t="b">
        <f t="shared" si="7"/>
        <v>1</v>
      </c>
      <c r="O89" s="1" t="b">
        <f t="shared" si="8"/>
        <v>1</v>
      </c>
    </row>
    <row r="90" spans="1:15" ht="72" customHeight="1">
      <c r="A90" s="85" t="str">
        <f t="shared" si="6"/>
        <v>3.24.2Fmoc-L-Asn(Trt)-OH</v>
      </c>
      <c r="B90" s="119" t="s">
        <v>676</v>
      </c>
      <c r="C90" s="116" t="s">
        <v>741</v>
      </c>
      <c r="D90" s="116" t="s">
        <v>613</v>
      </c>
      <c r="E90" s="116">
        <v>596.67999999999995</v>
      </c>
      <c r="F90" s="116" t="s">
        <v>613</v>
      </c>
      <c r="G90" s="116" t="s">
        <v>613</v>
      </c>
      <c r="H90" s="116">
        <v>2</v>
      </c>
      <c r="I90" s="119"/>
      <c r="J90" s="116" t="s">
        <v>720</v>
      </c>
      <c r="K90" s="116"/>
      <c r="L90" s="107" t="str">
        <f>TEXT(VLOOKUP(A90,氨基酸和溶剂信息!A:J,8,FALSE),"0.00")</f>
        <v>122.56</v>
      </c>
      <c r="M90" s="1" t="str">
        <f>VLOOKUP(A90,氨基酸和溶剂信息!A:J,10,FALSE)</f>
        <v>118.88~126.24</v>
      </c>
      <c r="N90" s="1" t="b">
        <f t="shared" si="7"/>
        <v>0</v>
      </c>
      <c r="O90" s="1" t="b">
        <f t="shared" si="8"/>
        <v>0</v>
      </c>
    </row>
    <row r="91" spans="1:15" ht="18" customHeight="1">
      <c r="A91" s="85" t="str">
        <f t="shared" si="6"/>
        <v>3.24.4OxymaPure</v>
      </c>
      <c r="B91" s="119" t="s">
        <v>678</v>
      </c>
      <c r="C91" s="118" t="s">
        <v>733</v>
      </c>
      <c r="D91" s="119" t="s">
        <v>613</v>
      </c>
      <c r="E91" s="119">
        <v>142.11000000000001</v>
      </c>
      <c r="F91" s="119" t="s">
        <v>613</v>
      </c>
      <c r="G91" s="119" t="s">
        <v>613</v>
      </c>
      <c r="H91" s="119">
        <v>2</v>
      </c>
      <c r="I91" s="119"/>
      <c r="J91" s="116" t="s">
        <v>720</v>
      </c>
      <c r="K91" s="116"/>
      <c r="L91" s="107" t="str">
        <f>TEXT(VLOOKUP(A91,氨基酸和溶剂信息!A:J,8,FALSE),"0.00")</f>
        <v>29.19</v>
      </c>
      <c r="M91" s="1" t="str">
        <f>VLOOKUP(A91,氨基酸和溶剂信息!A:J,10,FALSE)</f>
        <v>28.31~30.07</v>
      </c>
      <c r="N91" s="1" t="b">
        <f t="shared" si="7"/>
        <v>0</v>
      </c>
      <c r="O91" s="1" t="b">
        <f t="shared" si="8"/>
        <v>0</v>
      </c>
    </row>
    <row r="92" spans="1:15" ht="18" customHeight="1">
      <c r="A92" s="85" t="str">
        <f t="shared" si="6"/>
        <v>3.24.5DMF</v>
      </c>
      <c r="B92" s="119" t="s">
        <v>397</v>
      </c>
      <c r="C92" s="118" t="s">
        <v>717</v>
      </c>
      <c r="D92" s="119">
        <v>0.95</v>
      </c>
      <c r="E92" s="119">
        <v>73.099999999999994</v>
      </c>
      <c r="F92" s="119">
        <v>1</v>
      </c>
      <c r="G92" s="119">
        <v>0.95</v>
      </c>
      <c r="H92" s="119" t="s">
        <v>613</v>
      </c>
      <c r="I92" s="119">
        <v>61.75</v>
      </c>
      <c r="J92" s="116" t="s">
        <v>614</v>
      </c>
      <c r="K92" s="116" t="s">
        <v>721</v>
      </c>
      <c r="L92" s="107" t="str">
        <f>TEXT(VLOOKUP(A92,氨基酸和溶剂信息!A:J,8,FALSE),"0.00")</f>
        <v>61.75</v>
      </c>
      <c r="M92" s="1" t="str">
        <f>VLOOKUP(A92,氨基酸和溶剂信息!A:J,10,FALSE)</f>
        <v>58.05~65.46</v>
      </c>
      <c r="N92" s="1" t="b">
        <f t="shared" si="7"/>
        <v>1</v>
      </c>
      <c r="O92" s="1" t="b">
        <f t="shared" si="8"/>
        <v>1</v>
      </c>
    </row>
    <row r="93" spans="1:15" ht="18" customHeight="1">
      <c r="A93" s="85" t="str">
        <f t="shared" si="6"/>
        <v>3.24.6DIC</v>
      </c>
      <c r="B93" s="119" t="s">
        <v>679</v>
      </c>
      <c r="C93" s="118" t="s">
        <v>736</v>
      </c>
      <c r="D93" s="119">
        <v>0.81499999999999995</v>
      </c>
      <c r="E93" s="119">
        <v>126.2</v>
      </c>
      <c r="F93" s="119" t="s">
        <v>613</v>
      </c>
      <c r="G93" s="119" t="s">
        <v>613</v>
      </c>
      <c r="H93" s="119">
        <v>2.2000000000000002</v>
      </c>
      <c r="I93" s="119"/>
      <c r="J93" s="116" t="s">
        <v>720</v>
      </c>
      <c r="K93" s="116"/>
      <c r="L93" s="107" t="str">
        <f>TEXT(VLOOKUP(A93,氨基酸和溶剂信息!A:J,8,FALSE),"0.00")</f>
        <v>28.51</v>
      </c>
      <c r="M93" s="1" t="str">
        <f>VLOOKUP(A93,氨基酸和溶剂信息!A:J,10,FALSE)</f>
        <v>27.65~29.37</v>
      </c>
      <c r="N93" s="1" t="b">
        <f t="shared" si="7"/>
        <v>0</v>
      </c>
      <c r="O93" s="1" t="b">
        <f t="shared" si="8"/>
        <v>0</v>
      </c>
    </row>
    <row r="94" spans="1:15" ht="18" customHeight="1">
      <c r="A94" s="85" t="str">
        <f t="shared" si="6"/>
        <v>3.25.2DMF</v>
      </c>
      <c r="B94" s="119" t="s">
        <v>399</v>
      </c>
      <c r="C94" s="118" t="s">
        <v>717</v>
      </c>
      <c r="D94" s="119">
        <v>0.95</v>
      </c>
      <c r="E94" s="119">
        <v>73.099999999999994</v>
      </c>
      <c r="F94" s="119">
        <v>1</v>
      </c>
      <c r="G94" s="119">
        <v>0.95</v>
      </c>
      <c r="H94" s="119" t="s">
        <v>613</v>
      </c>
      <c r="I94" s="119">
        <v>61.75</v>
      </c>
      <c r="J94" s="116" t="s">
        <v>614</v>
      </c>
      <c r="K94" s="116" t="s">
        <v>721</v>
      </c>
      <c r="L94" s="107" t="str">
        <f>TEXT(VLOOKUP(A94,氨基酸和溶剂信息!A:J,8,FALSE),"0.00")</f>
        <v>61.75</v>
      </c>
      <c r="M94" s="1" t="str">
        <f>VLOOKUP(A94,氨基酸和溶剂信息!A:J,10,FALSE)</f>
        <v>58.05~65.46</v>
      </c>
      <c r="N94" s="1" t="b">
        <f t="shared" si="7"/>
        <v>1</v>
      </c>
      <c r="O94" s="1" t="b">
        <f t="shared" si="8"/>
        <v>1</v>
      </c>
    </row>
    <row r="95" spans="1:15" ht="18" customHeight="1">
      <c r="A95" s="85" t="str">
        <f t="shared" si="6"/>
        <v>3.25.6DMF</v>
      </c>
      <c r="B95" s="119" t="s">
        <v>404</v>
      </c>
      <c r="C95" s="118" t="s">
        <v>717</v>
      </c>
      <c r="D95" s="119">
        <v>0.95</v>
      </c>
      <c r="E95" s="119">
        <v>73.099999999999994</v>
      </c>
      <c r="F95" s="119">
        <v>10</v>
      </c>
      <c r="G95" s="119">
        <v>9.48</v>
      </c>
      <c r="H95" s="119" t="s">
        <v>613</v>
      </c>
      <c r="I95" s="97">
        <v>616.20000000000005</v>
      </c>
      <c r="J95" s="118" t="s">
        <v>614</v>
      </c>
      <c r="K95" s="118" t="s">
        <v>739</v>
      </c>
      <c r="L95" s="107" t="str">
        <f>TEXT(VLOOKUP(A95,氨基酸和溶剂信息!A:J,8,FALSE),"0.00")</f>
        <v>616.20</v>
      </c>
      <c r="M95" s="1" t="str">
        <f>VLOOKUP(A95,氨基酸和溶剂信息!A:J,10,FALSE)</f>
        <v>579.23~653.17</v>
      </c>
      <c r="N95" s="1" t="b">
        <f t="shared" si="7"/>
        <v>1</v>
      </c>
      <c r="O95" s="1" t="b">
        <f t="shared" si="8"/>
        <v>1</v>
      </c>
    </row>
    <row r="96" spans="1:15" ht="43.5" customHeight="1">
      <c r="A96" s="85" t="str">
        <f t="shared" si="6"/>
        <v>3.26.120%Piperidinesolution</v>
      </c>
      <c r="B96" s="119" t="s">
        <v>408</v>
      </c>
      <c r="C96" s="118" t="s">
        <v>726</v>
      </c>
      <c r="D96" s="119">
        <v>0.93100000000000005</v>
      </c>
      <c r="E96" s="119" t="s">
        <v>613</v>
      </c>
      <c r="F96" s="119">
        <v>8</v>
      </c>
      <c r="G96" s="119">
        <v>7.44</v>
      </c>
      <c r="H96" s="119" t="s">
        <v>613</v>
      </c>
      <c r="I96" s="119">
        <v>483.6</v>
      </c>
      <c r="J96" s="116" t="s">
        <v>614</v>
      </c>
      <c r="K96" s="116" t="s">
        <v>727</v>
      </c>
      <c r="L96" s="107" t="str">
        <f>TEXT(VLOOKUP(A96,氨基酸和溶剂信息!A:J,8,FALSE),"0.00")</f>
        <v>483.60</v>
      </c>
      <c r="M96" s="1" t="str">
        <f>VLOOKUP(A96,氨基酸和溶剂信息!A:J,10,FALSE)</f>
        <v>454.58~512.62</v>
      </c>
      <c r="N96" s="1" t="b">
        <f t="shared" si="7"/>
        <v>1</v>
      </c>
      <c r="O96" s="1" t="b">
        <f t="shared" si="8"/>
        <v>1</v>
      </c>
    </row>
    <row r="97" spans="1:15" ht="16.5" customHeight="1">
      <c r="A97" s="85" t="str">
        <f t="shared" si="6"/>
        <v>3.26.4IPAc</v>
      </c>
      <c r="B97" s="119" t="s">
        <v>411</v>
      </c>
      <c r="C97" s="118" t="s">
        <v>728</v>
      </c>
      <c r="D97" s="119">
        <v>0.873</v>
      </c>
      <c r="E97" s="119">
        <v>102.13</v>
      </c>
      <c r="F97" s="119">
        <v>10</v>
      </c>
      <c r="G97" s="119">
        <v>8.73</v>
      </c>
      <c r="H97" s="119" t="s">
        <v>613</v>
      </c>
      <c r="I97" s="97">
        <v>567.45000000000005</v>
      </c>
      <c r="J97" s="118" t="s">
        <v>614</v>
      </c>
      <c r="K97" s="118" t="s">
        <v>740</v>
      </c>
      <c r="L97" s="107" t="str">
        <f>TEXT(VLOOKUP(A97,氨基酸和溶剂信息!A:J,8,FALSE),"0.00")</f>
        <v>567.45</v>
      </c>
      <c r="M97" s="1" t="str">
        <f>VLOOKUP(A97,氨基酸和溶剂信息!A:J,10,FALSE)</f>
        <v>533.40~601.50</v>
      </c>
      <c r="N97" s="1" t="b">
        <f t="shared" si="7"/>
        <v>1</v>
      </c>
      <c r="O97" s="1" t="b">
        <f t="shared" si="8"/>
        <v>1</v>
      </c>
    </row>
    <row r="98" spans="1:15" ht="18" customHeight="1">
      <c r="A98" s="85" t="str">
        <f t="shared" ref="A98:A129" si="9">IFERROR(SUBSTITUTE(IFERROR(MID(B98,FIND("/",B98,1)+1,LEN(B98)),B98)&amp;LEFT(C98,FIND("/",C98,1)-1)," ",""),"")</f>
        <v>3.26.5DMF</v>
      </c>
      <c r="B98" s="119" t="s">
        <v>413</v>
      </c>
      <c r="C98" s="118" t="s">
        <v>717</v>
      </c>
      <c r="D98" s="119">
        <v>0.95</v>
      </c>
      <c r="E98" s="119">
        <v>73.099999999999994</v>
      </c>
      <c r="F98" s="119">
        <v>10</v>
      </c>
      <c r="G98" s="119">
        <v>9.48</v>
      </c>
      <c r="H98" s="119" t="s">
        <v>613</v>
      </c>
      <c r="I98" s="119">
        <v>616.20000000000005</v>
      </c>
      <c r="J98" s="116" t="s">
        <v>614</v>
      </c>
      <c r="K98" s="116" t="s">
        <v>739</v>
      </c>
      <c r="L98" s="107" t="str">
        <f>TEXT(VLOOKUP(A98,氨基酸和溶剂信息!A:J,8,FALSE),"0.00")</f>
        <v>616.20</v>
      </c>
      <c r="M98" s="1" t="str">
        <f>VLOOKUP(A98,氨基酸和溶剂信息!A:J,10,FALSE)</f>
        <v>579.23~653.17</v>
      </c>
      <c r="N98" s="1" t="b">
        <f t="shared" ref="N98:N131" si="10">TEXT(L98,"0.00")=TEXT(I98,"0.00")</f>
        <v>1</v>
      </c>
      <c r="O98" s="1" t="b">
        <f t="shared" ref="O98:O131" si="11">K98=M98</f>
        <v>1</v>
      </c>
    </row>
    <row r="99" spans="1:15" ht="18" customHeight="1">
      <c r="A99" s="85" t="str">
        <f t="shared" si="9"/>
        <v>3.26.7DMF</v>
      </c>
      <c r="B99" s="119" t="s">
        <v>681</v>
      </c>
      <c r="C99" s="118" t="s">
        <v>717</v>
      </c>
      <c r="D99" s="119">
        <v>0.95</v>
      </c>
      <c r="E99" s="119">
        <v>73.099999999999994</v>
      </c>
      <c r="F99" s="119">
        <v>10</v>
      </c>
      <c r="G99" s="119">
        <v>9.48</v>
      </c>
      <c r="H99" s="119" t="s">
        <v>613</v>
      </c>
      <c r="I99" s="119">
        <v>616.20000000000005</v>
      </c>
      <c r="J99" s="116" t="s">
        <v>614</v>
      </c>
      <c r="K99" s="116" t="s">
        <v>739</v>
      </c>
      <c r="L99" s="107" t="str">
        <f>TEXT(VLOOKUP(A99,氨基酸和溶剂信息!A:J,8,FALSE),"0.00")</f>
        <v>616.20</v>
      </c>
      <c r="M99" s="1" t="str">
        <f>VLOOKUP(A99,氨基酸和溶剂信息!A:J,10,FALSE)</f>
        <v>579.23~653.17</v>
      </c>
      <c r="N99" s="1" t="b">
        <f t="shared" si="10"/>
        <v>1</v>
      </c>
      <c r="O99" s="1" t="b">
        <f t="shared" si="11"/>
        <v>1</v>
      </c>
    </row>
    <row r="100" spans="1:15" ht="18" customHeight="1">
      <c r="A100" s="85" t="str">
        <f t="shared" si="9"/>
        <v>3.27.1DMF</v>
      </c>
      <c r="B100" s="119" t="s">
        <v>417</v>
      </c>
      <c r="C100" s="118" t="s">
        <v>717</v>
      </c>
      <c r="D100" s="119">
        <v>0.95</v>
      </c>
      <c r="E100" s="119">
        <v>73.099999999999994</v>
      </c>
      <c r="F100" s="119">
        <v>6</v>
      </c>
      <c r="G100" s="119">
        <v>5.69</v>
      </c>
      <c r="H100" s="119" t="s">
        <v>613</v>
      </c>
      <c r="I100" s="119">
        <v>369.85</v>
      </c>
      <c r="J100" s="116" t="s">
        <v>615</v>
      </c>
      <c r="K100" s="116" t="s">
        <v>648</v>
      </c>
      <c r="L100" s="107" t="str">
        <f>TEXT(VLOOKUP(A100,氨基酸和溶剂信息!A:J,8,FALSE),"0.00")</f>
        <v>369.85</v>
      </c>
      <c r="M100" s="1" t="str">
        <f>VLOOKUP(A100,氨基酸和溶剂信息!A:J,10,FALSE)</f>
        <v>351.36~388.34</v>
      </c>
      <c r="N100" s="1" t="b">
        <f t="shared" si="10"/>
        <v>1</v>
      </c>
      <c r="O100" s="1" t="b">
        <f t="shared" si="11"/>
        <v>1</v>
      </c>
    </row>
    <row r="101" spans="1:15" ht="72" customHeight="1">
      <c r="A101" s="85" t="str">
        <f t="shared" si="9"/>
        <v>3.27.2Fmoc-L-Cys(Trt)-OH</v>
      </c>
      <c r="B101" s="119" t="s">
        <v>682</v>
      </c>
      <c r="C101" s="116" t="s">
        <v>742</v>
      </c>
      <c r="D101" s="116" t="s">
        <v>613</v>
      </c>
      <c r="E101" s="116">
        <v>585.71</v>
      </c>
      <c r="F101" s="116" t="s">
        <v>613</v>
      </c>
      <c r="G101" s="116" t="s">
        <v>613</v>
      </c>
      <c r="H101" s="116">
        <v>2</v>
      </c>
      <c r="I101" s="119"/>
      <c r="J101" s="116" t="s">
        <v>720</v>
      </c>
      <c r="K101" s="116"/>
      <c r="L101" s="107" t="str">
        <f>TEXT(VLOOKUP(A101,氨基酸和溶剂信息!A:J,8,FALSE),"0.00")</f>
        <v>120.30</v>
      </c>
      <c r="M101" s="1" t="str">
        <f>VLOOKUP(A101,氨基酸和溶剂信息!A:J,10,FALSE)</f>
        <v>116.69~123.91</v>
      </c>
      <c r="N101" s="1" t="b">
        <f t="shared" si="10"/>
        <v>0</v>
      </c>
      <c r="O101" s="1" t="b">
        <f t="shared" si="11"/>
        <v>0</v>
      </c>
    </row>
    <row r="102" spans="1:15" ht="18" customHeight="1">
      <c r="A102" s="85" t="str">
        <f t="shared" si="9"/>
        <v>3.27.3OxymaPure</v>
      </c>
      <c r="B102" s="119" t="s">
        <v>684</v>
      </c>
      <c r="C102" s="118" t="s">
        <v>733</v>
      </c>
      <c r="D102" s="119" t="s">
        <v>613</v>
      </c>
      <c r="E102" s="119">
        <v>142.11000000000001</v>
      </c>
      <c r="F102" s="119" t="s">
        <v>613</v>
      </c>
      <c r="G102" s="119" t="s">
        <v>613</v>
      </c>
      <c r="H102" s="119">
        <v>3</v>
      </c>
      <c r="I102" s="119"/>
      <c r="J102" s="116" t="s">
        <v>720</v>
      </c>
      <c r="K102" s="116"/>
      <c r="L102" s="107" t="str">
        <f>TEXT(VLOOKUP(A102,氨基酸和溶剂信息!A:J,8,FALSE),"0.00")</f>
        <v>43.78</v>
      </c>
      <c r="M102" s="1" t="str">
        <f>VLOOKUP(A102,氨基酸和溶剂信息!A:J,10,FALSE)</f>
        <v>42.47~45.09</v>
      </c>
      <c r="N102" s="1" t="b">
        <f t="shared" si="10"/>
        <v>0</v>
      </c>
      <c r="O102" s="1" t="b">
        <f t="shared" si="11"/>
        <v>0</v>
      </c>
    </row>
    <row r="103" spans="1:15" ht="18" customHeight="1">
      <c r="A103" s="85" t="str">
        <f t="shared" si="9"/>
        <v>3.27.4DMF</v>
      </c>
      <c r="B103" s="119" t="s">
        <v>420</v>
      </c>
      <c r="C103" s="118" t="s">
        <v>717</v>
      </c>
      <c r="D103" s="119">
        <v>0.95</v>
      </c>
      <c r="E103" s="119">
        <v>73.099999999999994</v>
      </c>
      <c r="F103" s="119">
        <v>1</v>
      </c>
      <c r="G103" s="119">
        <v>0.95</v>
      </c>
      <c r="H103" s="119" t="s">
        <v>613</v>
      </c>
      <c r="I103" s="119">
        <v>61.75</v>
      </c>
      <c r="J103" s="116" t="s">
        <v>614</v>
      </c>
      <c r="K103" s="116" t="s">
        <v>721</v>
      </c>
      <c r="L103" s="107" t="str">
        <f>TEXT(VLOOKUP(A103,氨基酸和溶剂信息!A:J,8,FALSE),"0.00")</f>
        <v>61.75</v>
      </c>
      <c r="M103" s="1" t="str">
        <f>VLOOKUP(A103,氨基酸和溶剂信息!A:J,10,FALSE)</f>
        <v>58.05~65.46</v>
      </c>
      <c r="N103" s="1" t="b">
        <f t="shared" si="10"/>
        <v>1</v>
      </c>
      <c r="O103" s="1" t="b">
        <f t="shared" si="11"/>
        <v>1</v>
      </c>
    </row>
    <row r="104" spans="1:15" ht="18" customHeight="1">
      <c r="A104" s="85" t="str">
        <f t="shared" si="9"/>
        <v>3.28.2DMF</v>
      </c>
      <c r="B104" s="119" t="s">
        <v>422</v>
      </c>
      <c r="C104" s="118" t="s">
        <v>717</v>
      </c>
      <c r="D104" s="119">
        <v>0.95</v>
      </c>
      <c r="E104" s="119">
        <v>73.099999999999994</v>
      </c>
      <c r="F104" s="119">
        <v>1</v>
      </c>
      <c r="G104" s="119">
        <v>0.95</v>
      </c>
      <c r="H104" s="119" t="s">
        <v>613</v>
      </c>
      <c r="I104" s="119">
        <v>61.75</v>
      </c>
      <c r="J104" s="116" t="s">
        <v>614</v>
      </c>
      <c r="K104" s="116" t="s">
        <v>721</v>
      </c>
      <c r="L104" s="107" t="str">
        <f>TEXT(VLOOKUP(A104,氨基酸和溶剂信息!A:J,8,FALSE),"0.00")</f>
        <v>61.75</v>
      </c>
      <c r="M104" s="1" t="str">
        <f>VLOOKUP(A104,氨基酸和溶剂信息!A:J,10,FALSE)</f>
        <v>58.05~65.46</v>
      </c>
      <c r="N104" s="1" t="b">
        <f t="shared" si="10"/>
        <v>1</v>
      </c>
      <c r="O104" s="1" t="b">
        <f t="shared" si="11"/>
        <v>1</v>
      </c>
    </row>
    <row r="105" spans="1:15" ht="18" customHeight="1">
      <c r="A105" s="85" t="str">
        <f t="shared" si="9"/>
        <v>3.28.3DMF</v>
      </c>
      <c r="B105" s="119" t="s">
        <v>426</v>
      </c>
      <c r="C105" s="118" t="s">
        <v>717</v>
      </c>
      <c r="D105" s="119">
        <v>0.95</v>
      </c>
      <c r="E105" s="119">
        <v>73.099999999999994</v>
      </c>
      <c r="F105" s="119">
        <v>1</v>
      </c>
      <c r="G105" s="119">
        <v>0.95</v>
      </c>
      <c r="H105" s="119" t="s">
        <v>613</v>
      </c>
      <c r="I105" s="119">
        <v>61.75</v>
      </c>
      <c r="J105" s="116" t="s">
        <v>614</v>
      </c>
      <c r="K105" s="116" t="s">
        <v>721</v>
      </c>
      <c r="L105" s="107" t="str">
        <f>TEXT(VLOOKUP(A105,氨基酸和溶剂信息!A:J,8,FALSE),"0.00")</f>
        <v>61.75</v>
      </c>
      <c r="M105" s="1" t="str">
        <f>VLOOKUP(A105,氨基酸和溶剂信息!A:J,10,FALSE)</f>
        <v>58.05~65.46</v>
      </c>
      <c r="N105" s="1" t="b">
        <f t="shared" si="10"/>
        <v>1</v>
      </c>
      <c r="O105" s="1" t="b">
        <f t="shared" si="11"/>
        <v>1</v>
      </c>
    </row>
    <row r="106" spans="1:15" ht="18" customHeight="1">
      <c r="A106" s="85" t="str">
        <f t="shared" si="9"/>
        <v>3.28.3DIC</v>
      </c>
      <c r="B106" s="119" t="s">
        <v>426</v>
      </c>
      <c r="C106" s="118" t="s">
        <v>736</v>
      </c>
      <c r="D106" s="119">
        <v>0.81499999999999995</v>
      </c>
      <c r="E106" s="119">
        <v>126.2</v>
      </c>
      <c r="F106" s="119" t="s">
        <v>613</v>
      </c>
      <c r="G106" s="119" t="s">
        <v>613</v>
      </c>
      <c r="H106" s="119">
        <v>3.3</v>
      </c>
      <c r="I106" s="119"/>
      <c r="J106" s="116" t="s">
        <v>720</v>
      </c>
      <c r="K106" s="116"/>
      <c r="L106" s="107" t="str">
        <f>TEXT(VLOOKUP(A106,氨基酸和溶剂信息!A:J,8,FALSE),"0.00")</f>
        <v>42.77</v>
      </c>
      <c r="M106" s="1" t="str">
        <f>VLOOKUP(A106,氨基酸和溶剂信息!A:J,10,FALSE)</f>
        <v>41.49~44.05</v>
      </c>
      <c r="N106" s="1" t="b">
        <f t="shared" si="10"/>
        <v>0</v>
      </c>
      <c r="O106" s="1" t="b">
        <f t="shared" si="11"/>
        <v>0</v>
      </c>
    </row>
    <row r="107" spans="1:15" ht="18" customHeight="1">
      <c r="A107" s="85" t="str">
        <f t="shared" si="9"/>
        <v>3.28.10DMF</v>
      </c>
      <c r="B107" s="119" t="s">
        <v>431</v>
      </c>
      <c r="C107" s="118" t="s">
        <v>717</v>
      </c>
      <c r="D107" s="119">
        <v>0.95</v>
      </c>
      <c r="E107" s="119">
        <v>73.099999999999994</v>
      </c>
      <c r="F107" s="119">
        <v>10</v>
      </c>
      <c r="G107" s="119">
        <v>9.48</v>
      </c>
      <c r="H107" s="119" t="s">
        <v>613</v>
      </c>
      <c r="I107" s="119">
        <v>616.20000000000005</v>
      </c>
      <c r="J107" s="116" t="s">
        <v>614</v>
      </c>
      <c r="K107" s="116" t="s">
        <v>739</v>
      </c>
      <c r="L107" s="107" t="str">
        <f>TEXT(VLOOKUP(A107,氨基酸和溶剂信息!A:J,8,FALSE),"0.00")</f>
        <v>616.20</v>
      </c>
      <c r="M107" s="1" t="str">
        <f>VLOOKUP(A107,氨基酸和溶剂信息!A:J,10,FALSE)</f>
        <v>579.23~653.17</v>
      </c>
      <c r="N107" s="1" t="b">
        <f t="shared" si="10"/>
        <v>1</v>
      </c>
      <c r="O107" s="1" t="b">
        <f t="shared" si="11"/>
        <v>1</v>
      </c>
    </row>
    <row r="108" spans="1:15" ht="43.5" customHeight="1">
      <c r="A108" s="85" t="str">
        <f t="shared" si="9"/>
        <v>3.29.120%Piperidinesolution</v>
      </c>
      <c r="B108" s="119" t="s">
        <v>435</v>
      </c>
      <c r="C108" s="118" t="s">
        <v>726</v>
      </c>
      <c r="D108" s="119">
        <v>0.93100000000000005</v>
      </c>
      <c r="E108" s="119" t="s">
        <v>613</v>
      </c>
      <c r="F108" s="119">
        <v>8</v>
      </c>
      <c r="G108" s="119">
        <v>7.44</v>
      </c>
      <c r="H108" s="119" t="s">
        <v>613</v>
      </c>
      <c r="I108" s="119">
        <v>483.6</v>
      </c>
      <c r="J108" s="116" t="s">
        <v>614</v>
      </c>
      <c r="K108" s="116" t="s">
        <v>727</v>
      </c>
      <c r="L108" s="107" t="str">
        <f>TEXT(VLOOKUP(A108,氨基酸和溶剂信息!A:J,8,FALSE),"0.00")</f>
        <v>483.60</v>
      </c>
      <c r="M108" s="1" t="str">
        <f>VLOOKUP(A108,氨基酸和溶剂信息!A:J,10,FALSE)</f>
        <v>454.58~512.62</v>
      </c>
      <c r="N108" s="1" t="b">
        <f t="shared" si="10"/>
        <v>1</v>
      </c>
      <c r="O108" s="1" t="b">
        <f t="shared" si="11"/>
        <v>1</v>
      </c>
    </row>
    <row r="109" spans="1:15" ht="18" customHeight="1">
      <c r="A109" s="85" t="str">
        <f t="shared" si="9"/>
        <v>3.29.4IPAc</v>
      </c>
      <c r="B109" s="119" t="s">
        <v>438</v>
      </c>
      <c r="C109" s="118" t="s">
        <v>728</v>
      </c>
      <c r="D109" s="119">
        <v>0.873</v>
      </c>
      <c r="E109" s="119">
        <v>102.13</v>
      </c>
      <c r="F109" s="119">
        <v>10</v>
      </c>
      <c r="G109" s="119">
        <v>8.73</v>
      </c>
      <c r="H109" s="119" t="s">
        <v>613</v>
      </c>
      <c r="I109" s="119">
        <v>567.45000000000005</v>
      </c>
      <c r="J109" s="116" t="s">
        <v>614</v>
      </c>
      <c r="K109" s="116" t="s">
        <v>740</v>
      </c>
      <c r="L109" s="107" t="str">
        <f>TEXT(VLOOKUP(A109,氨基酸和溶剂信息!A:J,8,FALSE),"0.00")</f>
        <v>567.45</v>
      </c>
      <c r="M109" s="1" t="str">
        <f>VLOOKUP(A109,氨基酸和溶剂信息!A:J,10,FALSE)</f>
        <v>533.40~601.50</v>
      </c>
      <c r="N109" s="1" t="b">
        <f t="shared" si="10"/>
        <v>1</v>
      </c>
      <c r="O109" s="1" t="b">
        <f t="shared" si="11"/>
        <v>1</v>
      </c>
    </row>
    <row r="110" spans="1:15" ht="18" customHeight="1">
      <c r="A110" s="85" t="str">
        <f t="shared" si="9"/>
        <v>3.29.5DMF</v>
      </c>
      <c r="B110" s="119" t="s">
        <v>440</v>
      </c>
      <c r="C110" s="118" t="s">
        <v>717</v>
      </c>
      <c r="D110" s="119">
        <v>0.95</v>
      </c>
      <c r="E110" s="119">
        <v>73.099999999999994</v>
      </c>
      <c r="F110" s="119">
        <v>10</v>
      </c>
      <c r="G110" s="119">
        <v>9.48</v>
      </c>
      <c r="H110" s="119" t="s">
        <v>613</v>
      </c>
      <c r="I110" s="119">
        <v>616.20000000000005</v>
      </c>
      <c r="J110" s="116" t="s">
        <v>614</v>
      </c>
      <c r="K110" s="116" t="s">
        <v>739</v>
      </c>
      <c r="L110" s="107" t="str">
        <f>TEXT(VLOOKUP(A110,氨基酸和溶剂信息!A:J,8,FALSE),"0.00")</f>
        <v>616.20</v>
      </c>
      <c r="M110" s="1" t="str">
        <f>VLOOKUP(A110,氨基酸和溶剂信息!A:J,10,FALSE)</f>
        <v>579.23~653.17</v>
      </c>
      <c r="N110" s="1" t="b">
        <f t="shared" si="10"/>
        <v>1</v>
      </c>
      <c r="O110" s="1" t="b">
        <f t="shared" si="11"/>
        <v>1</v>
      </c>
    </row>
    <row r="111" spans="1:15" ht="18" customHeight="1">
      <c r="A111" s="85" t="str">
        <f t="shared" si="9"/>
        <v>3.29.7DMF</v>
      </c>
      <c r="B111" s="119" t="s">
        <v>442</v>
      </c>
      <c r="C111" s="118" t="s">
        <v>717</v>
      </c>
      <c r="D111" s="119">
        <v>0.95</v>
      </c>
      <c r="E111" s="119">
        <v>73.099999999999994</v>
      </c>
      <c r="F111" s="119">
        <v>10</v>
      </c>
      <c r="G111" s="119">
        <v>9.48</v>
      </c>
      <c r="H111" s="119" t="s">
        <v>613</v>
      </c>
      <c r="I111" s="119">
        <v>616.20000000000005</v>
      </c>
      <c r="J111" s="116" t="s">
        <v>614</v>
      </c>
      <c r="K111" s="116" t="s">
        <v>739</v>
      </c>
      <c r="L111" s="107" t="str">
        <f>TEXT(VLOOKUP(A111,氨基酸和溶剂信息!A:J,8,FALSE),"0.00")</f>
        <v>616.20</v>
      </c>
      <c r="M111" s="1" t="str">
        <f>VLOOKUP(A111,氨基酸和溶剂信息!A:J,10,FALSE)</f>
        <v>579.23~653.17</v>
      </c>
      <c r="N111" s="1" t="b">
        <f t="shared" si="10"/>
        <v>1</v>
      </c>
      <c r="O111" s="1" t="b">
        <f t="shared" si="11"/>
        <v>1</v>
      </c>
    </row>
    <row r="112" spans="1:15" ht="18" customHeight="1">
      <c r="A112" s="85" t="str">
        <f t="shared" si="9"/>
        <v>3.30.1DMF</v>
      </c>
      <c r="B112" s="119" t="s">
        <v>445</v>
      </c>
      <c r="C112" s="118" t="s">
        <v>717</v>
      </c>
      <c r="D112" s="119">
        <v>0.95</v>
      </c>
      <c r="E112" s="119">
        <v>73.099999999999994</v>
      </c>
      <c r="F112" s="119">
        <v>6</v>
      </c>
      <c r="G112" s="119">
        <v>5.69</v>
      </c>
      <c r="H112" s="119" t="s">
        <v>613</v>
      </c>
      <c r="I112" s="119">
        <v>369.85</v>
      </c>
      <c r="J112" s="116" t="s">
        <v>615</v>
      </c>
      <c r="K112" s="116" t="s">
        <v>648</v>
      </c>
      <c r="L112" s="107" t="str">
        <f>TEXT(VLOOKUP(A112,氨基酸和溶剂信息!A:J,8,FALSE),"0.00")</f>
        <v>369.85</v>
      </c>
      <c r="M112" s="1" t="str">
        <f>VLOOKUP(A112,氨基酸和溶剂信息!A:J,10,FALSE)</f>
        <v>351.36~388.34</v>
      </c>
      <c r="N112" s="1" t="b">
        <f t="shared" si="10"/>
        <v>1</v>
      </c>
      <c r="O112" s="1" t="b">
        <f t="shared" si="11"/>
        <v>1</v>
      </c>
    </row>
    <row r="113" spans="1:15" ht="29.25" customHeight="1">
      <c r="A113" s="85" t="str">
        <f t="shared" si="9"/>
        <v>3.30.2Boc-L-Glu-OtBu</v>
      </c>
      <c r="B113" s="119" t="s">
        <v>687</v>
      </c>
      <c r="C113" s="118" t="s">
        <v>743</v>
      </c>
      <c r="D113" s="119" t="s">
        <v>613</v>
      </c>
      <c r="E113" s="119">
        <v>303.35000000000002</v>
      </c>
      <c r="F113" s="119" t="s">
        <v>613</v>
      </c>
      <c r="G113" s="119" t="s">
        <v>613</v>
      </c>
      <c r="H113" s="119">
        <v>2</v>
      </c>
      <c r="I113" s="119"/>
      <c r="J113" s="116" t="s">
        <v>720</v>
      </c>
      <c r="K113" s="116"/>
      <c r="L113" s="107" t="str">
        <f>TEXT(VLOOKUP(A113,氨基酸和溶剂信息!A:J,8,FALSE),"0.00")</f>
        <v>62.31</v>
      </c>
      <c r="M113" s="1" t="str">
        <f>VLOOKUP(A113,氨基酸和溶剂信息!A:J,10,FALSE)</f>
        <v>60.44~64.18</v>
      </c>
      <c r="N113" s="1" t="b">
        <f t="shared" si="10"/>
        <v>0</v>
      </c>
      <c r="O113" s="1" t="b">
        <f t="shared" si="11"/>
        <v>0</v>
      </c>
    </row>
    <row r="114" spans="1:15" ht="16.5" customHeight="1">
      <c r="A114" s="85" t="str">
        <f t="shared" si="9"/>
        <v>3.30.4PyBOP</v>
      </c>
      <c r="B114" s="119" t="s">
        <v>689</v>
      </c>
      <c r="C114" s="118" t="s">
        <v>732</v>
      </c>
      <c r="D114" s="119" t="s">
        <v>613</v>
      </c>
      <c r="E114" s="119">
        <v>520.39</v>
      </c>
      <c r="F114" s="119" t="s">
        <v>613</v>
      </c>
      <c r="G114" s="119" t="s">
        <v>613</v>
      </c>
      <c r="H114" s="119">
        <v>2</v>
      </c>
      <c r="I114" s="119"/>
      <c r="J114" s="116" t="s">
        <v>720</v>
      </c>
      <c r="K114" s="116"/>
      <c r="L114" s="107" t="str">
        <f>TEXT(VLOOKUP(A114,氨基酸和溶剂信息!A:J,8,FALSE),"0.00")</f>
        <v>106.89</v>
      </c>
      <c r="M114" s="1" t="str">
        <f>VLOOKUP(A114,氨基酸和溶剂信息!A:J,10,FALSE)</f>
        <v>103.68~110.10</v>
      </c>
      <c r="N114" s="1" t="b">
        <f t="shared" si="10"/>
        <v>0</v>
      </c>
      <c r="O114" s="1" t="b">
        <f t="shared" si="11"/>
        <v>0</v>
      </c>
    </row>
    <row r="115" spans="1:15" ht="18" customHeight="1">
      <c r="A115" s="85" t="str">
        <f t="shared" si="9"/>
        <v>3.30.5OxymaPure</v>
      </c>
      <c r="B115" s="119" t="s">
        <v>690</v>
      </c>
      <c r="C115" s="118" t="s">
        <v>733</v>
      </c>
      <c r="D115" s="119" t="s">
        <v>613</v>
      </c>
      <c r="E115" s="119">
        <v>142.11000000000001</v>
      </c>
      <c r="F115" s="119" t="s">
        <v>613</v>
      </c>
      <c r="G115" s="119" t="s">
        <v>613</v>
      </c>
      <c r="H115" s="119">
        <v>2</v>
      </c>
      <c r="I115" s="119"/>
      <c r="J115" s="116" t="s">
        <v>720</v>
      </c>
      <c r="K115" s="116"/>
      <c r="L115" s="107" t="str">
        <f>TEXT(VLOOKUP(A115,氨基酸和溶剂信息!A:J,8,FALSE),"0.00")</f>
        <v>29.19</v>
      </c>
      <c r="M115" s="1" t="str">
        <f>VLOOKUP(A115,氨基酸和溶剂信息!A:J,10,FALSE)</f>
        <v>28.31~30.07</v>
      </c>
      <c r="N115" s="1" t="b">
        <f t="shared" si="10"/>
        <v>0</v>
      </c>
      <c r="O115" s="1" t="b">
        <f t="shared" si="11"/>
        <v>0</v>
      </c>
    </row>
    <row r="116" spans="1:15" ht="18" customHeight="1">
      <c r="A116" s="85" t="str">
        <f t="shared" si="9"/>
        <v>3.30.6DMF</v>
      </c>
      <c r="B116" s="119" t="s">
        <v>449</v>
      </c>
      <c r="C116" s="118" t="s">
        <v>717</v>
      </c>
      <c r="D116" s="119">
        <v>0.95</v>
      </c>
      <c r="E116" s="119">
        <v>73.099999999999994</v>
      </c>
      <c r="F116" s="119">
        <v>1</v>
      </c>
      <c r="G116" s="119">
        <v>0.95</v>
      </c>
      <c r="H116" s="119" t="s">
        <v>613</v>
      </c>
      <c r="I116" s="119">
        <v>61.75</v>
      </c>
      <c r="J116" s="116" t="s">
        <v>614</v>
      </c>
      <c r="K116" s="116" t="s">
        <v>721</v>
      </c>
      <c r="L116" s="107" t="str">
        <f>TEXT(VLOOKUP(A116,氨基酸和溶剂信息!A:J,8,FALSE),"0.00")</f>
        <v>61.75</v>
      </c>
      <c r="M116" s="1" t="str">
        <f>VLOOKUP(A116,氨基酸和溶剂信息!A:J,10,FALSE)</f>
        <v>58.05~65.46</v>
      </c>
      <c r="N116" s="1" t="b">
        <f t="shared" si="10"/>
        <v>1</v>
      </c>
      <c r="O116" s="1" t="b">
        <f t="shared" si="11"/>
        <v>1</v>
      </c>
    </row>
    <row r="117" spans="1:15" ht="16.5" customHeight="1">
      <c r="A117" s="85" t="str">
        <f t="shared" si="9"/>
        <v>3.30.7DIPEA</v>
      </c>
      <c r="B117" s="119" t="s">
        <v>691</v>
      </c>
      <c r="C117" s="118" t="s">
        <v>723</v>
      </c>
      <c r="D117" s="119">
        <v>0.74199999999999999</v>
      </c>
      <c r="E117" s="119">
        <v>129.24</v>
      </c>
      <c r="F117" s="119" t="s">
        <v>613</v>
      </c>
      <c r="G117" s="119" t="s">
        <v>613</v>
      </c>
      <c r="H117" s="119">
        <v>3</v>
      </c>
      <c r="I117" s="119"/>
      <c r="J117" s="116" t="s">
        <v>720</v>
      </c>
      <c r="K117" s="116"/>
      <c r="L117" s="107" t="str">
        <f>TEXT(VLOOKUP(A117,氨基酸和溶剂信息!A:J,8,FALSE),"0.00")</f>
        <v>39.82</v>
      </c>
      <c r="M117" s="1" t="str">
        <f>VLOOKUP(A117,氨基酸和溶剂信息!A:J,10,FALSE)</f>
        <v>38.63~41.01</v>
      </c>
      <c r="N117" s="1" t="b">
        <f t="shared" si="10"/>
        <v>0</v>
      </c>
      <c r="O117" s="1" t="b">
        <f t="shared" si="11"/>
        <v>0</v>
      </c>
    </row>
    <row r="118" spans="1:15" ht="18" customHeight="1">
      <c r="A118" s="85" t="str">
        <f t="shared" si="9"/>
        <v>3.31.2DMF</v>
      </c>
      <c r="B118" s="119" t="s">
        <v>454</v>
      </c>
      <c r="C118" s="118" t="s">
        <v>717</v>
      </c>
      <c r="D118" s="119">
        <v>0.95</v>
      </c>
      <c r="E118" s="119">
        <v>73.099999999999994</v>
      </c>
      <c r="F118" s="119">
        <v>1</v>
      </c>
      <c r="G118" s="119">
        <v>0.95</v>
      </c>
      <c r="H118" s="119" t="s">
        <v>613</v>
      </c>
      <c r="I118" s="119">
        <v>61.75</v>
      </c>
      <c r="J118" s="116" t="s">
        <v>614</v>
      </c>
      <c r="K118" s="116" t="s">
        <v>721</v>
      </c>
      <c r="L118" s="107" t="str">
        <f>TEXT(VLOOKUP(A118,氨基酸和溶剂信息!A:J,8,FALSE),"0.00")</f>
        <v>61.75</v>
      </c>
      <c r="M118" s="1" t="str">
        <f>VLOOKUP(A118,氨基酸和溶剂信息!A:J,10,FALSE)</f>
        <v>58.05~65.46</v>
      </c>
      <c r="N118" s="1" t="b">
        <f t="shared" si="10"/>
        <v>1</v>
      </c>
      <c r="O118" s="1" t="b">
        <f t="shared" si="11"/>
        <v>1</v>
      </c>
    </row>
    <row r="119" spans="1:15" ht="18" customHeight="1">
      <c r="A119" s="85" t="str">
        <f t="shared" si="9"/>
        <v>3.31.6DMF</v>
      </c>
      <c r="B119" s="119" t="s">
        <v>458</v>
      </c>
      <c r="C119" s="118" t="s">
        <v>717</v>
      </c>
      <c r="D119" s="119">
        <v>0.95</v>
      </c>
      <c r="E119" s="119">
        <v>73.099999999999994</v>
      </c>
      <c r="F119" s="119">
        <v>10</v>
      </c>
      <c r="G119" s="119">
        <v>9.48</v>
      </c>
      <c r="H119" s="119" t="s">
        <v>613</v>
      </c>
      <c r="I119" s="119">
        <v>616.20000000000005</v>
      </c>
      <c r="J119" s="116" t="s">
        <v>614</v>
      </c>
      <c r="K119" s="116" t="s">
        <v>739</v>
      </c>
      <c r="L119" s="107" t="str">
        <f>TEXT(VLOOKUP(A119,氨基酸和溶剂信息!A:J,8,FALSE),"0.00")</f>
        <v>616.20</v>
      </c>
      <c r="M119" s="1" t="str">
        <f>VLOOKUP(A119,氨基酸和溶剂信息!A:J,10,FALSE)</f>
        <v>579.23~653.17</v>
      </c>
      <c r="N119" s="1" t="b">
        <f t="shared" si="10"/>
        <v>1</v>
      </c>
      <c r="O119" s="1" t="b">
        <f t="shared" si="11"/>
        <v>1</v>
      </c>
    </row>
    <row r="120" spans="1:15" ht="18" customHeight="1">
      <c r="A120" s="85" t="str">
        <f t="shared" si="9"/>
        <v>3.32.1DMF</v>
      </c>
      <c r="B120" s="119" t="s">
        <v>462</v>
      </c>
      <c r="C120" s="118" t="s">
        <v>717</v>
      </c>
      <c r="D120" s="119">
        <v>0.95</v>
      </c>
      <c r="E120" s="119">
        <v>73.099999999999994</v>
      </c>
      <c r="F120" s="119">
        <v>4</v>
      </c>
      <c r="G120" s="119">
        <v>3.79</v>
      </c>
      <c r="H120" s="119" t="s">
        <v>613</v>
      </c>
      <c r="I120" s="119">
        <v>246.35</v>
      </c>
      <c r="J120" s="116" t="s">
        <v>614</v>
      </c>
      <c r="K120" s="116" t="s">
        <v>693</v>
      </c>
      <c r="L120" s="107" t="str">
        <f>TEXT(VLOOKUP(A120,氨基酸和溶剂信息!A:J,8,FALSE),"0.00")</f>
        <v>246.35</v>
      </c>
      <c r="M120" s="1" t="str">
        <f>VLOOKUP(A120,氨基酸和溶剂信息!A:J,10,FALSE)</f>
        <v>231.57~261.13</v>
      </c>
      <c r="N120" s="1" t="b">
        <f t="shared" si="10"/>
        <v>1</v>
      </c>
      <c r="O120" s="1" t="b">
        <f t="shared" si="11"/>
        <v>1</v>
      </c>
    </row>
    <row r="121" spans="1:15" ht="18" customHeight="1">
      <c r="A121" s="85" t="str">
        <f t="shared" si="9"/>
        <v>3.32.3Iodine</v>
      </c>
      <c r="B121" s="119" t="s">
        <v>744</v>
      </c>
      <c r="C121" s="118" t="s">
        <v>745</v>
      </c>
      <c r="D121" s="119" t="s">
        <v>613</v>
      </c>
      <c r="E121" s="119">
        <v>253.81</v>
      </c>
      <c r="F121" s="119" t="s">
        <v>613</v>
      </c>
      <c r="G121" s="119" t="s">
        <v>613</v>
      </c>
      <c r="H121" s="119">
        <v>5</v>
      </c>
      <c r="I121" s="119"/>
      <c r="J121" s="116" t="s">
        <v>720</v>
      </c>
      <c r="K121" s="116"/>
      <c r="L121" s="107" t="str">
        <f>TEXT(VLOOKUP(A121,氨基酸和溶剂信息!A:J,8,FALSE),"0.00")</f>
        <v>130.33</v>
      </c>
      <c r="M121" s="1" t="str">
        <f>VLOOKUP(A121,氨基酸和溶剂信息!A:J,10,FALSE)</f>
        <v>126.42~134.24</v>
      </c>
      <c r="N121" s="1" t="b">
        <f t="shared" si="10"/>
        <v>0</v>
      </c>
      <c r="O121" s="1" t="b">
        <f t="shared" si="11"/>
        <v>0</v>
      </c>
    </row>
    <row r="122" spans="1:15" ht="18" customHeight="1">
      <c r="A122" s="85" t="str">
        <f t="shared" si="9"/>
        <v>3.32.5DMF</v>
      </c>
      <c r="B122" s="119" t="s">
        <v>466</v>
      </c>
      <c r="C122" s="118" t="s">
        <v>717</v>
      </c>
      <c r="D122" s="119">
        <v>0.95</v>
      </c>
      <c r="E122" s="119">
        <v>73.099999999999994</v>
      </c>
      <c r="F122" s="119">
        <v>12</v>
      </c>
      <c r="G122" s="119">
        <v>11.37</v>
      </c>
      <c r="H122" s="119" t="s">
        <v>613</v>
      </c>
      <c r="I122" s="119">
        <v>739.05</v>
      </c>
      <c r="J122" s="116" t="s">
        <v>614</v>
      </c>
      <c r="K122" s="116" t="s">
        <v>746</v>
      </c>
      <c r="L122" s="107" t="str">
        <f>TEXT(VLOOKUP(A122,氨基酸和溶剂信息!A:J,8,FALSE),"0.00")</f>
        <v>739.05</v>
      </c>
      <c r="M122" s="1" t="str">
        <f>VLOOKUP(A122,氨基酸和溶剂信息!A:J,10,FALSE)</f>
        <v>694.71~783.39</v>
      </c>
      <c r="N122" s="1" t="b">
        <f t="shared" si="10"/>
        <v>1</v>
      </c>
      <c r="O122" s="1" t="b">
        <f t="shared" si="11"/>
        <v>1</v>
      </c>
    </row>
    <row r="123" spans="1:15" ht="18" customHeight="1">
      <c r="A123" s="85" t="str">
        <f t="shared" si="9"/>
        <v>3.32.9DMF</v>
      </c>
      <c r="B123" s="119" t="s">
        <v>485</v>
      </c>
      <c r="C123" s="118" t="s">
        <v>717</v>
      </c>
      <c r="D123" s="119">
        <v>0.95</v>
      </c>
      <c r="E123" s="119">
        <v>73.099999999999994</v>
      </c>
      <c r="F123" s="119">
        <v>10</v>
      </c>
      <c r="G123" s="119">
        <v>9.48</v>
      </c>
      <c r="H123" s="119" t="s">
        <v>613</v>
      </c>
      <c r="I123" s="119">
        <v>616.20000000000005</v>
      </c>
      <c r="J123" s="116" t="s">
        <v>614</v>
      </c>
      <c r="K123" s="116" t="s">
        <v>739</v>
      </c>
      <c r="L123" s="107" t="str">
        <f>TEXT(VLOOKUP(A123,氨基酸和溶剂信息!A:J,8,FALSE),"0.00")</f>
        <v>616.20</v>
      </c>
      <c r="M123" s="1" t="str">
        <f>VLOOKUP(A123,氨基酸和溶剂信息!A:J,10,FALSE)</f>
        <v>579.23~653.17</v>
      </c>
      <c r="N123" s="1" t="b">
        <f t="shared" si="10"/>
        <v>1</v>
      </c>
      <c r="O123" s="1" t="b">
        <f t="shared" si="11"/>
        <v>1</v>
      </c>
    </row>
    <row r="124" spans="1:15" ht="18" customHeight="1">
      <c r="A124" s="85" t="str">
        <f t="shared" si="9"/>
        <v>3.32.11DMF</v>
      </c>
      <c r="B124" s="119" t="s">
        <v>517</v>
      </c>
      <c r="C124" s="118" t="s">
        <v>717</v>
      </c>
      <c r="D124" s="119">
        <v>0.95</v>
      </c>
      <c r="E124" s="119">
        <v>73.099999999999994</v>
      </c>
      <c r="F124" s="119">
        <v>10</v>
      </c>
      <c r="G124" s="119">
        <v>9.48</v>
      </c>
      <c r="H124" s="119" t="s">
        <v>613</v>
      </c>
      <c r="I124" s="119">
        <v>616.20000000000005</v>
      </c>
      <c r="J124" s="116" t="s">
        <v>614</v>
      </c>
      <c r="K124" s="116" t="s">
        <v>739</v>
      </c>
      <c r="L124" s="107" t="e">
        <f>TEXT(VLOOKUP(A124,氨基酸和溶剂信息!A:J,8,FALSE),"0.00")</f>
        <v>#N/A</v>
      </c>
      <c r="M124" s="1" t="e">
        <f>VLOOKUP(A124,氨基酸和溶剂信息!A:J,10,FALSE)</f>
        <v>#N/A</v>
      </c>
      <c r="N124" s="1" t="e">
        <f t="shared" si="10"/>
        <v>#N/A</v>
      </c>
      <c r="O124" s="1" t="e">
        <f t="shared" si="11"/>
        <v>#N/A</v>
      </c>
    </row>
    <row r="125" spans="1:15" ht="18" customHeight="1">
      <c r="A125" s="85" t="str">
        <f t="shared" si="9"/>
        <v>3.33.1DMF</v>
      </c>
      <c r="B125" s="119" t="s">
        <v>525</v>
      </c>
      <c r="C125" s="118" t="s">
        <v>717</v>
      </c>
      <c r="D125" s="119">
        <v>0.95</v>
      </c>
      <c r="E125" s="119">
        <v>73.099999999999994</v>
      </c>
      <c r="F125" s="119">
        <v>4</v>
      </c>
      <c r="G125" s="119">
        <v>3.79</v>
      </c>
      <c r="H125" s="119" t="s">
        <v>613</v>
      </c>
      <c r="I125" s="119">
        <v>246.35</v>
      </c>
      <c r="J125" s="116" t="s">
        <v>614</v>
      </c>
      <c r="K125" s="116" t="s">
        <v>693</v>
      </c>
      <c r="L125" s="107" t="str">
        <f>TEXT(VLOOKUP(A125,氨基酸和溶剂信息!A:J,8,FALSE),"0.00")</f>
        <v>246.35</v>
      </c>
      <c r="M125" s="1" t="str">
        <f>VLOOKUP(A125,氨基酸和溶剂信息!A:J,10,FALSE)</f>
        <v>231.57~261.13</v>
      </c>
      <c r="N125" s="1" t="b">
        <f t="shared" si="10"/>
        <v>1</v>
      </c>
      <c r="O125" s="1" t="b">
        <f t="shared" si="11"/>
        <v>1</v>
      </c>
    </row>
    <row r="126" spans="1:15" ht="18" customHeight="1">
      <c r="A126" s="85" t="str">
        <f t="shared" si="9"/>
        <v>3.33.3Iodine</v>
      </c>
      <c r="B126" s="117" t="s">
        <v>747</v>
      </c>
      <c r="C126" s="118" t="s">
        <v>745</v>
      </c>
      <c r="D126" s="119" t="s">
        <v>613</v>
      </c>
      <c r="E126" s="119">
        <v>253.81</v>
      </c>
      <c r="F126" s="119" t="s">
        <v>613</v>
      </c>
      <c r="G126" s="119"/>
      <c r="H126" s="119">
        <v>5</v>
      </c>
      <c r="I126" s="119"/>
      <c r="J126" s="116" t="s">
        <v>720</v>
      </c>
      <c r="K126" s="116"/>
      <c r="L126" s="107" t="str">
        <f>TEXT(VLOOKUP(A126,氨基酸和溶剂信息!A:J,8,FALSE),"0.00")</f>
        <v>130.33</v>
      </c>
      <c r="M126" s="1" t="str">
        <f>VLOOKUP(A126,氨基酸和溶剂信息!A:J,10,FALSE)</f>
        <v>126.42~134.24</v>
      </c>
      <c r="N126" s="1" t="b">
        <f t="shared" si="10"/>
        <v>0</v>
      </c>
      <c r="O126" s="1" t="b">
        <f t="shared" si="11"/>
        <v>0</v>
      </c>
    </row>
    <row r="127" spans="1:15" ht="18" customHeight="1">
      <c r="A127" s="85" t="str">
        <f t="shared" si="9"/>
        <v>3.33.5DMF</v>
      </c>
      <c r="B127" s="119" t="s">
        <v>527</v>
      </c>
      <c r="C127" s="118" t="s">
        <v>717</v>
      </c>
      <c r="D127" s="119">
        <v>0.95</v>
      </c>
      <c r="E127" s="119">
        <v>73.099999999999994</v>
      </c>
      <c r="F127" s="119">
        <v>12</v>
      </c>
      <c r="G127" s="119">
        <v>11.37</v>
      </c>
      <c r="H127" s="119" t="s">
        <v>613</v>
      </c>
      <c r="I127" s="119">
        <v>739.05</v>
      </c>
      <c r="J127" s="116" t="s">
        <v>614</v>
      </c>
      <c r="K127" s="116" t="s">
        <v>746</v>
      </c>
      <c r="L127" s="107" t="str">
        <f>TEXT(VLOOKUP(A127,氨基酸和溶剂信息!A:J,8,FALSE),"0.00")</f>
        <v>739.05</v>
      </c>
      <c r="M127" s="1" t="str">
        <f>VLOOKUP(A127,氨基酸和溶剂信息!A:J,10,FALSE)</f>
        <v>694.71~783.39</v>
      </c>
      <c r="N127" s="1" t="b">
        <f t="shared" si="10"/>
        <v>1</v>
      </c>
      <c r="O127" s="1" t="b">
        <f t="shared" si="11"/>
        <v>1</v>
      </c>
    </row>
    <row r="128" spans="1:15" ht="18" customHeight="1">
      <c r="A128" s="85" t="str">
        <f t="shared" si="9"/>
        <v>3.33.9DMF</v>
      </c>
      <c r="B128" s="119" t="s">
        <v>529</v>
      </c>
      <c r="C128" s="118" t="s">
        <v>717</v>
      </c>
      <c r="D128" s="119">
        <v>0.95</v>
      </c>
      <c r="E128" s="119">
        <v>73.099999999999994</v>
      </c>
      <c r="F128" s="119">
        <v>10</v>
      </c>
      <c r="G128" s="119">
        <v>9.48</v>
      </c>
      <c r="H128" s="119" t="s">
        <v>613</v>
      </c>
      <c r="I128" s="119">
        <v>616.20000000000005</v>
      </c>
      <c r="J128" s="116" t="s">
        <v>614</v>
      </c>
      <c r="K128" s="116" t="s">
        <v>739</v>
      </c>
      <c r="L128" s="107" t="str">
        <f>TEXT(VLOOKUP(A128,氨基酸和溶剂信息!A:J,8,FALSE),"0.00")</f>
        <v>616.20</v>
      </c>
      <c r="M128" s="1" t="str">
        <f>VLOOKUP(A128,氨基酸和溶剂信息!A:J,10,FALSE)</f>
        <v>579.23~653.17</v>
      </c>
      <c r="N128" s="1" t="b">
        <f t="shared" si="10"/>
        <v>1</v>
      </c>
      <c r="O128" s="1" t="b">
        <f t="shared" si="11"/>
        <v>1</v>
      </c>
    </row>
    <row r="129" spans="1:15" ht="18" customHeight="1">
      <c r="A129" s="85" t="str">
        <f t="shared" si="9"/>
        <v>3.33.11DMF</v>
      </c>
      <c r="B129" s="119" t="s">
        <v>534</v>
      </c>
      <c r="C129" s="118" t="s">
        <v>717</v>
      </c>
      <c r="D129" s="119">
        <v>0.95</v>
      </c>
      <c r="E129" s="119">
        <v>73.099999999999994</v>
      </c>
      <c r="F129" s="119">
        <v>10</v>
      </c>
      <c r="G129" s="119">
        <v>9.48</v>
      </c>
      <c r="H129" s="119" t="s">
        <v>613</v>
      </c>
      <c r="I129" s="119">
        <v>616.20000000000005</v>
      </c>
      <c r="J129" s="116" t="s">
        <v>614</v>
      </c>
      <c r="K129" s="116" t="s">
        <v>739</v>
      </c>
      <c r="L129" s="107" t="e">
        <f>TEXT(VLOOKUP(A129,氨基酸和溶剂信息!A:J,8,FALSE),"0.00")</f>
        <v>#N/A</v>
      </c>
      <c r="M129" s="1" t="e">
        <f>VLOOKUP(A129,氨基酸和溶剂信息!A:J,10,FALSE)</f>
        <v>#N/A</v>
      </c>
      <c r="N129" s="1" t="e">
        <f t="shared" si="10"/>
        <v>#N/A</v>
      </c>
      <c r="O129" s="1" t="e">
        <f t="shared" si="11"/>
        <v>#N/A</v>
      </c>
    </row>
    <row r="130" spans="1:15" ht="16.5" customHeight="1">
      <c r="A130" s="85" t="str">
        <f t="shared" ref="A130:A161" si="12">IFERROR(SUBSTITUTE(IFERROR(MID(B130,FIND("/",B130,1)+1,LEN(B130)),B130)&amp;LEFT(C130,FIND("/",C130,1)-1)," ",""),"")</f>
        <v>3.34.1IPAc</v>
      </c>
      <c r="B130" s="119" t="s">
        <v>540</v>
      </c>
      <c r="C130" s="118" t="s">
        <v>728</v>
      </c>
      <c r="D130" s="119">
        <v>0.873</v>
      </c>
      <c r="E130" s="119">
        <v>102.13</v>
      </c>
      <c r="F130" s="119">
        <v>10</v>
      </c>
      <c r="G130" s="119">
        <v>8.73</v>
      </c>
      <c r="H130" s="119" t="s">
        <v>613</v>
      </c>
      <c r="I130" s="97">
        <v>567.45000000000005</v>
      </c>
      <c r="J130" s="118" t="s">
        <v>614</v>
      </c>
      <c r="K130" s="118" t="s">
        <v>740</v>
      </c>
      <c r="L130" s="107" t="str">
        <f>TEXT(VLOOKUP(A130,氨基酸和溶剂信息!A:J,8,FALSE),"0.00")</f>
        <v>567.45</v>
      </c>
      <c r="M130" s="1" t="str">
        <f>VLOOKUP(A130,氨基酸和溶剂信息!A:J,10,FALSE)</f>
        <v>533.40~601.50</v>
      </c>
      <c r="N130" s="1" t="b">
        <f t="shared" si="10"/>
        <v>1</v>
      </c>
      <c r="O130" s="1" t="b">
        <f t="shared" si="11"/>
        <v>1</v>
      </c>
    </row>
    <row r="131" spans="1:15" ht="16.5" customHeight="1">
      <c r="A131" s="85" t="str">
        <f t="shared" si="12"/>
        <v>3.34.2MTBE</v>
      </c>
      <c r="B131" s="119" t="s">
        <v>546</v>
      </c>
      <c r="C131" s="118" t="s">
        <v>748</v>
      </c>
      <c r="D131" s="119">
        <v>0.74</v>
      </c>
      <c r="E131" s="119">
        <v>88.15</v>
      </c>
      <c r="F131" s="119">
        <v>10</v>
      </c>
      <c r="G131" s="119">
        <v>7.41</v>
      </c>
      <c r="H131" s="119" t="s">
        <v>613</v>
      </c>
      <c r="I131" s="97">
        <v>481.65</v>
      </c>
      <c r="J131" s="115" t="s">
        <v>614</v>
      </c>
      <c r="K131" s="115" t="s">
        <v>749</v>
      </c>
      <c r="L131" s="107" t="str">
        <f>TEXT(VLOOKUP(A131,氨基酸和溶剂信息!A:J,8,FALSE),"0.00")</f>
        <v>481.65</v>
      </c>
      <c r="M131" s="1" t="str">
        <f>VLOOKUP(A131,氨基酸和溶剂信息!A:J,10,FALSE)</f>
        <v>452.75~510.55</v>
      </c>
      <c r="N131" s="1" t="b">
        <f t="shared" si="10"/>
        <v>1</v>
      </c>
      <c r="O131" s="1" t="b">
        <f t="shared" si="11"/>
        <v>1</v>
      </c>
    </row>
  </sheetData>
  <autoFilter ref="A1:XFD1048576"/>
  <phoneticPr fontId="1" type="noConversion"/>
  <conditionalFormatting sqref="N1:O131">
    <cfRule type="containsText" dxfId="0" priority="1" operator="containsText" text="FALSE">
      <formula>NOT(ISERROR(SEARCH("FALSE",N1)))</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配方</vt:lpstr>
      <vt:lpstr>树脂信息</vt:lpstr>
      <vt:lpstr>氨基酸和溶剂信息</vt:lpstr>
      <vt:lpstr>MOR投料表</vt:lpstr>
      <vt:lpstr>氨基酸和溶剂信息!_FilterDatabase</vt:lpstr>
      <vt:lpstr>配方!_FilterDatabase</vt:lpstr>
      <vt:lpstr>配方!Print_Titles</vt:lpstr>
      <vt:lpst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Feng Dong11096</cp:lastModifiedBy>
  <dcterms:created xsi:type="dcterms:W3CDTF">2006-09-16T00:00:00Z</dcterms:created>
  <dcterms:modified xsi:type="dcterms:W3CDTF">2026-10-30T01:15:24Z</dcterms:modified>
</cp:coreProperties>
</file>