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VP 批注" sheetId="1" state="visible" r:id="rId1"/>
    <sheet xmlns:r="http://schemas.openxmlformats.org/officeDocument/2006/relationships" name="本轮已改" sheetId="2" state="visible" r:id="rId2"/>
  </sheets>
  <definedNames>
    <definedName name="_xlnm._FilterDatabase" localSheetId="0" hidden="1">'CVP 批注'!$A$1:$F$16</definedName>
    <definedName name="_xlnm._FilterDatabase" localSheetId="1" hidden="1">'本轮已改'!$A$1:$D$6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F7F9FB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9" customWidth="1" min="3" max="3"/>
    <col width="34" customWidth="1" min="4" max="4"/>
    <col width="36" customWidth="1" min="5" max="5"/>
    <col width="92" customWidth="1" min="6" max="6"/>
  </cols>
  <sheetData>
    <row r="1">
      <c r="A1" s="1" t="inlineStr">
        <is>
          <t>序号</t>
        </is>
      </c>
      <c r="B1" s="1" t="inlineStr">
        <is>
          <t>类别</t>
        </is>
      </c>
      <c r="C1" s="1" t="inlineStr">
        <is>
          <t>严重程度</t>
        </is>
      </c>
      <c r="D1" s="1" t="inlineStr">
        <is>
          <t>位置</t>
        </is>
      </c>
      <c r="E1" s="1" t="inlineStr">
        <is>
          <t>内容（Word 中搜索）</t>
        </is>
      </c>
      <c r="F1" s="1" t="inlineStr">
        <is>
          <t>问题与改法</t>
        </is>
      </c>
    </row>
    <row r="2">
      <c r="A2" s="2" t="n">
        <v>1</v>
      </c>
      <c r="B2" s="2" t="inlineStr">
        <is>
          <t>内部数值/逻辑</t>
        </is>
      </c>
      <c r="C2" s="2" t="inlineStr">
        <is>
          <t>高</t>
        </is>
      </c>
      <c r="D2" s="2" t="inlineStr">
        <is>
          <t>表 6-19</t>
        </is>
      </c>
      <c r="E2" s="2" t="inlineStr">
        <is>
          <t>507.39μg /100cm2</t>
        </is>
      </c>
      <c r="F2" s="2" t="inlineStr">
        <is>
          <t>这张表只给了批次间的松限度：擦拭 507.39 μg/100cm²，淋洗 0.00867~0.00950 mg/mL。表 6-10 项目结束后是擦拭 36.03 μg/100cm²、淋洗 0.00062~0.00067 mg/mL。实验室若按表 6-19 放行，项目结束会松 10 倍以上。两套限度都写上，并标明用在批次间还是项目结束。μg 和 cm2 之间的空格也去掉。</t>
        </is>
      </c>
    </row>
    <row r="3">
      <c r="A3" s="3" t="n">
        <v>2</v>
      </c>
      <c r="B3" s="3" t="inlineStr">
        <is>
          <t>与 CMa/CMb 不一致</t>
        </is>
      </c>
      <c r="C3" s="3" t="inlineStr">
        <is>
          <t>高</t>
        </is>
      </c>
      <c r="D3" s="3" t="inlineStr">
        <is>
          <t>表 6-15 合成仪</t>
        </is>
      </c>
      <c r="E3" s="3" t="inlineStr">
        <is>
          <t>29.0~31.0kg</t>
        </is>
      </c>
      <c r="F3" s="3" t="inlineStr">
        <is>
          <t>CVP 把纯化水擦洗 29.0~31.0 kg 列为要记录的关键参数。新版 CMa 的手动清洁仍是 110±5 kg 纯化水淋洗内壁和筛板，没有 29~31 kg 这一档。方案里有、清洁方法里没有。删掉这一行，或补进 CMa。</t>
        </is>
      </c>
    </row>
    <row r="4">
      <c r="A4" s="2" t="n">
        <v>3</v>
      </c>
      <c r="B4" s="2" t="inlineStr">
        <is>
          <t>客户批注未改完</t>
        </is>
      </c>
      <c r="C4" s="2" t="inlineStr">
        <is>
          <t>高</t>
        </is>
      </c>
      <c r="D4" s="2" t="inlineStr">
        <is>
          <t>表 6-17、表 6-18；附件 3</t>
        </is>
      </c>
      <c r="E4" s="2" t="inlineStr">
        <is>
          <t>Sampling glove box</t>
        </is>
      </c>
      <c r="F4" s="2" t="inlineStr">
        <is>
          <t>Novie Atakiwe（礼来）2026-08-27 仍未关闭。附件 3 的图和上一版是同一个文件，仍然只有合成釜上膨胀阀口这 1 个淋洗点，英文仍是 “After string washing”。表 6-17 的搅拌桨、内壁、侧出料口、取样手套箱，以及表 6-18 的在线取样器，都不在图上。把这些点补到图上，或写明附件 3 只画淋洗点 1。</t>
        </is>
      </c>
    </row>
    <row r="5">
      <c r="A5" s="3" t="n">
        <v>4</v>
      </c>
      <c r="B5" s="3" t="inlineStr">
        <is>
          <t>内部数值/逻辑</t>
        </is>
      </c>
      <c r="C5" s="3" t="inlineStr">
        <is>
          <t>高</t>
        </is>
      </c>
      <c r="D5" s="3" t="inlineStr">
        <is>
          <t>表 6-3、表 6-9、表 6-10</t>
        </is>
      </c>
      <c r="E5" s="3" t="inlineStr">
        <is>
          <t>105.63 kg</t>
        </is>
      </c>
      <c r="F5" s="3" t="inlineStr">
        <is>
          <t>最小批量仍是 105.63 kg。10 ppm × 105.63 kg = 1056.3 mg，再除以内表面积 208185 cm²，得到擦拭 507.39 μg/100cm²。按 MOR 取代度 1.0–1.2 mmol/g，下限是 108.84 kg。批量一改，MACO 和擦拭限度都要重算。表 6-3 的下一批产品是 ASYM-141366，表 6-9 是 ASYM-140020。141366 是树脂肽，140020 是片段代号，CMa 的残留目标物是 140020。三处统一。</t>
        </is>
      </c>
    </row>
    <row r="6">
      <c r="A6" s="2" t="n">
        <v>5</v>
      </c>
      <c r="B6" s="2" t="inlineStr">
        <is>
          <t>与 CMa/CMb 不一致</t>
        </is>
      </c>
      <c r="C6" s="2" t="inlineStr">
        <is>
          <t>中</t>
        </is>
      </c>
      <c r="D6" s="2" t="inlineStr">
        <is>
          <t>表 5-1，R22 批次间</t>
        </is>
      </c>
      <c r="E6" s="2" t="inlineStr">
        <is>
          <t>rinse thoroughly with DMF followed by water</t>
        </is>
      </c>
      <c r="F6" s="2" t="inlineStr">
        <is>
          <t>这句话仍放在批次间冲洗那一格。新版 CMb 批次间只加 175±5 kg DMF 后吹干，不加水。加水拆洗在 CMa 项目结束后。表 6-16 的数量和两份方法是对的。把 “followed by water” 移到项目结束后。</t>
        </is>
      </c>
    </row>
    <row r="7">
      <c r="A7" s="3" t="n">
        <v>6</v>
      </c>
      <c r="B7" s="3" t="inlineStr">
        <is>
          <t>与 CMa/CMb 不一致</t>
        </is>
      </c>
      <c r="C7" s="3" t="inlineStr">
        <is>
          <t>中</t>
        </is>
      </c>
      <c r="D7" s="3" t="inlineStr">
        <is>
          <t>表 6-2 手套箱</t>
        </is>
      </c>
      <c r="E7" s="3" t="inlineStr">
        <is>
          <t>Glove box</t>
        </is>
      </c>
      <c r="F7" s="3" t="inlineStr">
        <is>
          <t>新版 CMa 项目结束仍是 DMF 和纯化水各 10±5 kg。CMb 批次内仍是 DMF 后再用甲醇，其中一处没有重量。CVP 两份都批准执行，同一手套箱溶剂不一样。统一后再执行。</t>
        </is>
      </c>
    </row>
    <row r="8">
      <c r="A8" s="2" t="n">
        <v>7</v>
      </c>
      <c r="B8" s="2" t="inlineStr">
        <is>
          <t>与 CMa/CMb 不一致</t>
        </is>
      </c>
      <c r="C8" s="2" t="inlineStr">
        <is>
          <t>中</t>
        </is>
      </c>
      <c r="D8" s="2" t="inlineStr">
        <is>
          <t>表 6-1</t>
        </is>
      </c>
      <c r="E8" s="2" t="inlineStr">
        <is>
          <t>Table 6-1, Intended equipment train</t>
        </is>
      </c>
      <c r="F8" s="2" t="inlineStr">
        <is>
          <t>设备清单仍是 Sy15、R01、R22、AT02。CMa 还清洁配哌啶溶液的 TJ4S-1213-SPS01-AT01 和 AT02，并引用 SOP QM03148。这两台不在表 6-1。要么补进范围，要么在 CMa 写明不由本 CVP 覆盖。</t>
        </is>
      </c>
    </row>
    <row r="9">
      <c r="A9" s="3" t="n">
        <v>8</v>
      </c>
      <c r="B9" s="3" t="inlineStr">
        <is>
          <t>内部数值/逻辑</t>
        </is>
      </c>
      <c r="C9" s="3" t="inlineStr">
        <is>
          <t>中</t>
        </is>
      </c>
      <c r="D9" s="3" t="inlineStr">
        <is>
          <t>表 6-3、表 6-9</t>
        </is>
      </c>
      <c r="E9" s="3" t="inlineStr">
        <is>
          <t>OEL:10-100</t>
        </is>
      </c>
      <c r="F9" s="3" t="inlineStr">
        <is>
          <t>健康数据仍是 10–100 μg/m³ 的范围，计算只用 10 μg/m³，得到 100 ppm，再和 10 ppm 比。应写明取下限的理由。表 6-9 仍写成 =1000mg，缺 /day。公式名仍是 MTDDnext=。</t>
        </is>
      </c>
    </row>
    <row r="10">
      <c r="A10" s="2" t="n">
        <v>9</v>
      </c>
      <c r="B10" s="2" t="inlineStr">
        <is>
          <t>内部数值/逻辑</t>
        </is>
      </c>
      <c r="C10" s="2" t="inlineStr">
        <is>
          <t>中</t>
        </is>
      </c>
      <c r="D10" s="2" t="inlineStr">
        <is>
          <t>表 6-3，R22</t>
        </is>
      </c>
      <c r="E10" s="2">
        <f>1 μg/m3×10 m3/day/1000 mg/day</f>
        <v/>
      </c>
      <c r="F10" s="2" t="inlineStr">
        <is>
          <t>算出的 ARL 正好是 10 ppm。表头仍写 “which is lower”。这一行是相等，不是更低。Sy15 那行 100 ppm 才高于 10 ppm。R22 改成等于 10 ppm。</t>
        </is>
      </c>
    </row>
    <row r="11">
      <c r="A11" s="3" t="n">
        <v>10</v>
      </c>
      <c r="B11" s="3" t="inlineStr">
        <is>
          <t>客户批注未改完</t>
        </is>
      </c>
      <c r="C11" s="3" t="inlineStr">
        <is>
          <t>中</t>
        </is>
      </c>
      <c r="D11" s="3" t="inlineStr">
        <is>
          <t>第 4 节、附件 1</t>
        </is>
      </c>
      <c r="E11" s="3" t="inlineStr">
        <is>
          <t>CMa-TJ414002001</t>
        </is>
      </c>
      <c r="F11" s="3" t="inlineStr">
        <is>
          <t>Novie 2026-08-19 仍未关闭：要求写上执行本方案的清洁 MOR/MBR。正文仍只引用 CMa-TJ414002001 和 CMb-TJ414002001，没有记录本或 MBR 编号。</t>
        </is>
      </c>
    </row>
    <row r="12">
      <c r="A12" s="2" t="n">
        <v>11</v>
      </c>
      <c r="B12" s="2" t="inlineStr">
        <is>
          <t>与 CMa/CMb 不一致</t>
        </is>
      </c>
      <c r="C12" s="2" t="inlineStr">
        <is>
          <t>低</t>
        </is>
      </c>
      <c r="D12" s="2" t="inlineStr">
        <is>
          <t>表 6-10 项目结束淋洗；CMa 同一限度</t>
        </is>
      </c>
      <c r="E12" s="2" t="inlineStr">
        <is>
          <t>0.00062~0.00067mg/mL</t>
        </is>
      </c>
      <c r="F12" s="2" t="inlineStr">
        <is>
          <t>124852 批次间淋洗这一版已经改成和 CVP 一样的 0.00867~0.00950 mg/mL，10 倍差没有了。项目结束后两行 CMa 仍写成 “≤.0.00062~0.00067”，多一个点。CVP 是 0.00062~0.00067 mg/mL。把 CMa 的点去掉。</t>
        </is>
      </c>
    </row>
    <row r="13">
      <c r="A13" s="3" t="n">
        <v>12</v>
      </c>
      <c r="B13" s="3" t="inlineStr">
        <is>
          <t>笔误/格式</t>
        </is>
      </c>
      <c r="C13" s="3" t="inlineStr">
        <is>
          <t>低</t>
        </is>
      </c>
      <c r="D13" s="3" t="inlineStr">
        <is>
          <t>表 6-9、表 6-10</t>
        </is>
      </c>
      <c r="E13" s="3" t="inlineStr">
        <is>
          <t>NMT 10ppm</t>
        </is>
      </c>
      <c r="F13" s="3" t="inlineStr">
        <is>
          <t>NMT10 ppm 这一处已经补上空格。还剩两处 NMT 10ppm，ppm 前少空格。统一成 NMT 10 ppm。Novie 要求的 NMT 已经加上，批注可关。</t>
        </is>
      </c>
    </row>
    <row r="14">
      <c r="A14" s="2" t="n">
        <v>13</v>
      </c>
      <c r="B14" s="2" t="inlineStr">
        <is>
          <t>笔误/格式</t>
        </is>
      </c>
      <c r="C14" s="2" t="inlineStr">
        <is>
          <t>低</t>
        </is>
      </c>
      <c r="D14" s="2" t="inlineStr">
        <is>
          <t>表 6-19 标题</t>
        </is>
      </c>
      <c r="E14" s="2" t="inlineStr">
        <is>
          <t>Test methed</t>
        </is>
      </c>
      <c r="F14" s="2" t="inlineStr">
        <is>
          <t>methed 应为 method。</t>
        </is>
      </c>
    </row>
    <row r="15">
      <c r="A15" s="3" t="n">
        <v>14</v>
      </c>
      <c r="B15" s="3" t="inlineStr">
        <is>
          <t>笔误/格式</t>
        </is>
      </c>
      <c r="C15" s="3" t="inlineStr">
        <is>
          <t>低</t>
        </is>
      </c>
      <c r="D15" s="3" t="inlineStr">
        <is>
          <t>表 6-1、表 6-2</t>
        </is>
      </c>
      <c r="E15" s="3" t="inlineStr">
        <is>
          <t>Activation tank2</t>
        </is>
      </c>
      <c r="F15" s="3" t="inlineStr">
        <is>
          <t>tank 和 2 之间少空格。AT02 那行仍多一个右括号 “AT02))”。上一版的双左括号和 TJ4S1200-PDP040 已经改对。</t>
        </is>
      </c>
    </row>
    <row r="16">
      <c r="A16" s="2" t="n">
        <v>15</v>
      </c>
      <c r="B16" s="2" t="inlineStr">
        <is>
          <t>笔误/格式</t>
        </is>
      </c>
      <c r="C16" s="2" t="inlineStr">
        <is>
          <t>低</t>
        </is>
      </c>
      <c r="D16" s="2" t="inlineStr">
        <is>
          <t>放行和变更</t>
        </is>
      </c>
      <c r="E16" s="2" t="inlineStr">
        <is>
          <t>will summarized</t>
        </is>
      </c>
      <c r="F16" s="2" t="inlineStr">
        <is>
          <t>will summarized 应为 will be summarized。同页 “will shall be evaluated” 重复。报告一句 “shall be completeted” 应为 completed。表 6-12 和上一句之间少空格：“Table 6-12.The”。</t>
        </is>
      </c>
    </row>
  </sheetData>
  <autoFilter ref="A1:F16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6" customWidth="1" min="3" max="3"/>
    <col width="30" customWidth="1" min="4" max="4"/>
  </cols>
  <sheetData>
    <row r="1">
      <c r="A1" s="1" t="inlineStr">
        <is>
          <t>序号</t>
        </is>
      </c>
      <c r="B1" s="1" t="inlineStr">
        <is>
          <t>核对项</t>
        </is>
      </c>
      <c r="C1" s="1" t="inlineStr">
        <is>
          <t>内容（Word 中搜索）</t>
        </is>
      </c>
      <c r="D1" s="1" t="inlineStr">
        <is>
          <t>现状</t>
        </is>
      </c>
    </row>
    <row r="2">
      <c r="A2" s="2" t="n">
        <v>1</v>
      </c>
      <c r="B2" s="2" t="inlineStr">
        <is>
          <t>Johan：sight glass 和 U-bend</t>
        </is>
      </c>
      <c r="C2" s="2" t="inlineStr">
        <is>
          <t>sight glass, U-bend</t>
        </is>
      </c>
      <c r="D2" s="2" t="inlineStr">
        <is>
          <t>已加逗号，按两个部件写。批注可关。condenser 上一轮已经改对。</t>
        </is>
      </c>
    </row>
    <row r="3">
      <c r="A3" s="3" t="n">
        <v>2</v>
      </c>
      <c r="B3" s="3" t="inlineStr">
        <is>
          <t>设备号</t>
        </is>
      </c>
      <c r="C3" s="3" t="inlineStr">
        <is>
          <t>TJ4S-1200-PDP040</t>
        </is>
      </c>
      <c r="D3" s="3" t="inlineStr">
        <is>
          <t>少连字符的 TJ4S1200-PDP040 已改。R22 策略段多出来的左括号已删。</t>
        </is>
      </c>
    </row>
    <row r="4">
      <c r="A4" s="2" t="n">
        <v>3</v>
      </c>
      <c r="B4" s="2" t="inlineStr">
        <is>
          <t>软管</t>
        </is>
      </c>
      <c r="C4" s="2" t="inlineStr">
        <is>
          <t>The flexible hose</t>
        </is>
      </c>
      <c r="D4" s="2" t="inlineStr">
        <is>
          <t>单词之间的连字符已去掉。还剩 “for project”，可写成 for the project。</t>
        </is>
      </c>
    </row>
    <row r="5">
      <c r="A5" s="3" t="n">
        <v>4</v>
      </c>
      <c r="B5" s="3" t="inlineStr">
        <is>
          <t>CMa 回收率</t>
        </is>
      </c>
      <c r="C5" s="3" t="inlineStr">
        <is>
          <t>290~310kg</t>
        </is>
      </c>
      <c r="D5" s="3" t="inlineStr">
        <is>
          <t>CMa 的 1evel 已改成 Level。CMb 的 “he Agitation” 已改成 The，drain 后已加 to。合成仪、R22、AT02 的主要加料量仍和两份方法一致。</t>
        </is>
      </c>
    </row>
    <row r="6">
      <c r="A6" s="2" t="n">
        <v>5</v>
      </c>
      <c r="B6" s="2" t="inlineStr">
        <is>
          <t>124852 批次间淋洗</t>
        </is>
      </c>
      <c r="C6" s="2" t="inlineStr">
        <is>
          <t>0.00867~0.00950</t>
        </is>
      </c>
      <c r="D6" s="2" t="inlineStr">
        <is>
          <t>CMa 已从 0.000867~0.000950 改成 0.00867~0.00950 mg/mL，与 CVP 一致。项目结束后 “≤.0.” 那个多余的点还在，见上一张表。</t>
        </is>
      </c>
    </row>
  </sheetData>
  <autoFilter ref="A1:D6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2026-10-28T13:47:59Z</dcterms:created>
  <dcterms:modified xmlns:dcterms="http://purl.org/dc/terms/" xmlns:xsi="http://www.w3.org/2001/XMLSchema-instance" xsi:type="dcterms:W3CDTF">2026-10-28T13:47:59Z</dcterms:modified>
</cp:coreProperties>
</file>